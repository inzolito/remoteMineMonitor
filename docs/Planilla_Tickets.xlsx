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https://hexmet-my.sharepoint.com/personal/paulina_aedo_hexagon_com/Documents/Desktop/"/>
    </mc:Choice>
  </mc:AlternateContent>
  <xr:revisionPtr revIDLastSave="0" documentId="8_{C3A92991-74FF-47E3-B3C2-73EC96A67BBF}" xr6:coauthVersionLast="47" xr6:coauthVersionMax="47" xr10:uidLastSave="{00000000-0000-0000-0000-000000000000}"/>
  <bookViews>
    <workbookView xWindow="-28920" yWindow="15" windowWidth="29040" windowHeight="15990" firstSheet="1" activeTab="1" xr2:uid="{80944FB1-39B1-40F6-BA14-A61EE0865980}"/>
  </bookViews>
  <sheets>
    <sheet name="Tickets 2023" sheetId="5" state="hidden" r:id="rId1"/>
    <sheet name="Tickets 2024" sheetId="1" r:id="rId2"/>
    <sheet name="Previa a correo" sheetId="3" r:id="rId3"/>
    <sheet name="Previa a correo Tarde" sheetId="4" r:id="rId4"/>
    <sheet name="Configuraciones" sheetId="2" r:id="rId5"/>
    <sheet name="Tickets Diarios"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6" l="1"/>
  <c r="C7" i="6"/>
  <c r="E13" i="6" a="1"/>
  <c r="E13" i="6" s="1"/>
  <c r="D13" i="6" a="1"/>
  <c r="D13" i="6" s="1"/>
  <c r="C13" i="6" a="1"/>
  <c r="C13" i="6" s="1"/>
  <c r="B13" i="6" a="1"/>
  <c r="B13" i="6" s="1"/>
  <c r="D10" i="6"/>
  <c r="D9" i="6"/>
  <c r="D8" i="6"/>
  <c r="D6" i="6"/>
  <c r="C6" i="6"/>
  <c r="C10" i="6"/>
  <c r="C9" i="6"/>
  <c r="C8" i="6"/>
  <c r="D3" i="6"/>
  <c r="B3"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<sst xmlns="http://schemas.openxmlformats.org/spreadsheetml/2006/main" count="34424" uniqueCount="14716">
  <si>
    <t>Reporte</t>
  </si>
  <si>
    <t>Numero Ticket</t>
  </si>
  <si>
    <t>Cliente</t>
  </si>
  <si>
    <t>Descripción</t>
  </si>
  <si>
    <t>Solución</t>
  </si>
  <si>
    <t>Estado</t>
  </si>
  <si>
    <t>Fecha Inicio</t>
  </si>
  <si>
    <t>Fecha Fin</t>
  </si>
  <si>
    <t>Contacto</t>
  </si>
  <si>
    <t>Creado Por</t>
  </si>
  <si>
    <t>Derivado a</t>
  </si>
  <si>
    <t>Fecha Derivado</t>
  </si>
  <si>
    <t xml:space="preserve"> AMSA</t>
  </si>
  <si>
    <t>Zaldivar</t>
  </si>
  <si>
    <t xml:space="preserve"> Ignacio, Maikol, para recordar me está llegando pero del día 6, debiera ser del 8 turno en ejecución y después de cada hora considerar 15 minutos por el tema deface del servidor de Re portabilidad.</t>
  </si>
  <si>
    <t xml:space="preserve"> Se aplicaron los cambios solicitados. hasta ahora (07:12)el correo ha llegado con lo esperando.</t>
  </si>
  <si>
    <t xml:space="preserve"> Resuelto</t>
  </si>
  <si>
    <t>Miguel Caceres</t>
  </si>
  <si>
    <t xml:space="preserve"> Maikol Salas</t>
  </si>
  <si>
    <t xml:space="preserve"> </t>
  </si>
  <si>
    <t>AMSA</t>
  </si>
  <si>
    <t>Centinela</t>
  </si>
  <si>
    <t xml:space="preserve"> Se detectan 3 procesos de sumarización ejecutándose al mismo tiempo</t>
  </si>
  <si>
    <t xml:space="preserve"> Se mata el proceso de sumarización mas antiguo y se monitorea el resultado. Se ve todo sin problemas</t>
  </si>
  <si>
    <t xml:space="preserve">  Resuelto</t>
  </si>
  <si>
    <t xml:space="preserve"> Monitoreo</t>
  </si>
  <si>
    <t xml:space="preserve">  Maikol Salas</t>
  </si>
  <si>
    <t xml:space="preserve"> CODELCO</t>
  </si>
  <si>
    <t>Teniente</t>
  </si>
  <si>
    <t xml:space="preserve"> En monitoreo remoto se detecta que el túnel está caído.</t>
  </si>
  <si>
    <t xml:space="preserve"> Se espera respuesta para cerrar el ticket</t>
  </si>
  <si>
    <t xml:space="preserve"> Seeking Customer Clarification</t>
  </si>
  <si>
    <t>Monitoreo</t>
  </si>
  <si>
    <t>Ministro Hales</t>
  </si>
  <si>
    <t xml:space="preserve"> Procesos de sumarización pegados y posrgres.</t>
  </si>
  <si>
    <t xml:space="preserve">  Al liberar el proceso de sumarización pegado se liberó de inmediato el proceso de postgres. Se monitorea y no ha vuelto a suceder.</t>
  </si>
  <si>
    <t>OTROS</t>
  </si>
  <si>
    <t>Veladero</t>
  </si>
  <si>
    <t>Se encontraron 18 procesos del run pegados. Se encolaron en un corto periodo de tiempo segun el análisis</t>
  </si>
  <si>
    <t>Se liberan los procesos y vuelve a la normalidad. al igual que la cpu bajó su rendimiento a niveles normales.</t>
  </si>
  <si>
    <t>Resuelto</t>
  </si>
  <si>
    <t>Maikol Salas</t>
  </si>
  <si>
    <t> </t>
  </si>
  <si>
    <t xml:space="preserve"> Zaldivar</t>
  </si>
  <si>
    <t xml:space="preserve"> Por favor puedes poner del día en desarrollo, es decir Turno A ( Inicial ) y Turno B( Como Final). Te adjunto lo que necesitamos que llegue cada hora. Y que mañana 10 a partir de las 07:00:00 se inicia un nuevo día y por lo tanto este reporte debiera cambiar y partir de 07:00:00 del día 10 al 07:00:00 del día 11, y así sucesivamente.</t>
  </si>
  <si>
    <t xml:space="preserve">Se modificaron los parametros de fecha con la siguiente logica:
Si la hora es entre las 08 y las 23:59, mostrará la fecha actual
Si la hora es entre las 00:00 y 07:59 , Restará un dia ( ya que se deben mostrar los datos del dia anterior turno B )
Los turnos por defecto son Ay B.
</t>
  </si>
  <si>
    <t xml:space="preserve"> Centinela</t>
  </si>
  <si>
    <t xml:space="preserve"> En monitoreo remoto  se detecta que el load average estaba marcando mas de 4 y habian dos procesos de sumarización ejecutándose al mismo tiempo</t>
  </si>
  <si>
    <t xml:space="preserve">Se encuentra lo siguiente ;
-Consultas de mas de un dia en idle
-sumarizador duplicado
-importador pegado desde media noche , llamado : interface_parametros_pl.log (Cron interface Parametros PL - OCTOPUS)
Se elimina todo lo mencionado , se revisa el log del importador y se haboa ejecutado correctamente. no habian errores por lo que se eliminó tambien. se monitorea y se ve la ejecución cada 5 minutos.
despues de eso la cpu baja a 1.12
</t>
  </si>
  <si>
    <t>Antucoya</t>
  </si>
  <si>
    <t>no se ven las mallas F04_1432_12
F04_1432_prec_20
Para Perforadora D01</t>
  </si>
  <si>
    <t>Según lo hablado por teléfono, envío imagen de que la malla está cargada correctamente y el operador está situado sobre ella. La señal es muy baja por lo que no pude abrir el vnc ya que se cerraba a los pocos segundos.</t>
  </si>
  <si>
    <t>Juan Ortuño</t>
  </si>
  <si>
    <t>Se ve bien la ejecución de este reporte( Frecuencia de Camiones en Chancado ). Por Favor puedes hacer lista distribución a los mismos correos de Chancado por hora. Sacarla del la vista Jvew Chacado por hora.</t>
  </si>
  <si>
    <t>Se actualizó la lista de correos según lo solicitado.</t>
  </si>
  <si>
    <t>Otros</t>
  </si>
  <si>
    <t>En nuestro sistema de monitoreo se encontro el proceso de run_sql encolado.</t>
  </si>
  <si>
    <t>Se mataron los procesos pegados y el log volvio a la normalidad. se monitorea y no vuelve a suceder.</t>
  </si>
  <si>
    <t>AMZAL-freddie de sim informa que D10 tiene el sistema pegado</t>
  </si>
  <si>
    <t>se reinicia el equipo , queda operativo.</t>
  </si>
  <si>
    <t>Freddie empresa Sim</t>
  </si>
  <si>
    <t>Hugo Carvajal</t>
  </si>
  <si>
    <t>Amcen-Luis rios solicita asistencia ya que existen polígonos que no se han subido.</t>
  </si>
  <si>
    <t>para poder subir los archivos fue necesario subirlos de 1 en 1 y no forzar el importador.</t>
  </si>
  <si>
    <t>Luis Rios</t>
  </si>
  <si>
    <t>AMZAL- las palas no aparecen en su vnc</t>
  </si>
  <si>
    <t>según el log del jspanel Las palas internamente apuntaban a otro icono , se corrige y vuelven a aparecer en el VNC, se cambio el tipo de la pala en ingeniería a pala hidráulica , ya que antes estaban como pala cable para que apuntara al icono correcto</t>
  </si>
  <si>
    <t>Miguel caceeres</t>
  </si>
  <si>
    <t>AMZAL-bloques no aparecen en una pala</t>
  </si>
  <si>
    <t>bloques habían sido previamente eliminados, se vuelven a habilitar y quedan operativos.</t>
  </si>
  <si>
    <t>AMCEN - Perfo 53 sin GPS</t>
  </si>
  <si>
    <t>Se reinicia la perforadora, recuperando asi su GPS.</t>
  </si>
  <si>
    <t>Claudio Ponce</t>
  </si>
  <si>
    <t>AMZAL - Perfo 14 sin gps</t>
  </si>
  <si>
    <t>Alexis SIM</t>
  </si>
  <si>
    <t>CNN - Sumarizacion mes de Noviembre</t>
  </si>
  <si>
    <t xml:space="preserve"> Otros</t>
  </si>
  <si>
    <t xml:space="preserve"> (no tengo el n de ticket)</t>
  </si>
  <si>
    <t>Cerro Negro</t>
  </si>
  <si>
    <t>Problema con el sumarizador, se detenía mostrando un error.</t>
  </si>
  <si>
    <t xml:space="preserve"> El error del sumarizador mostraba una query que en su ejecución llamaba a esta función : pattern_profiles_in_range('2023-06-09 00:00:00','2023-06-09 12:00:00')
Con esos parámetros mostraba el mensaje “Integer out o frange” . al analizar la estructura de la función se encuentra que hay una consulta que relaciona la drill_patterns, drill_holes y drill_points donde se manipulan valores integer producto de el campo sample_time.
al reducir el rango de tiempo de la función que produce el error pattern_profiles_in_range('2023-06-09 00:00:00','2023-06-09 12:00:00')
  se encuentra la hora exacta del registro que provoca este error y al analizarlo se ve que el campo sample_time de este registro tiene valores demasiado grandes (1958505087) en relación al resto de registros (34,50,121, etc). Se hace un update =0 a este campo lo cual soluciona el problema. 
</t>
  </si>
  <si>
    <t xml:space="preserve">  Derivado</t>
  </si>
  <si>
    <t xml:space="preserve">
00495930</t>
  </si>
  <si>
    <t>AMCEN - Problemas para cambiar asignaciones</t>
  </si>
  <si>
    <t>Al ser de manera globalizada en un área se determina que son problemas de conexión en dicha zona, debido a que en otras zonas del rajo se sigue trabajando con normalidad.</t>
  </si>
  <si>
    <t>10/17/2023 5:45 PM</t>
  </si>
  <si>
    <t>10/18/2023 2:17 AM</t>
  </si>
  <si>
    <t xml:space="preserve">Henry </t>
  </si>
  <si>
    <t>Gustavo Cheng</t>
  </si>
  <si>
    <t>0047094</t>
  </si>
  <si>
    <t>AMZAL - Consulta de información tabla by_shovel_idle</t>
  </si>
  <si>
    <t>Miguel Caceres solicita información de la tabla by_shovel_idle para conocer la data de la tabla</t>
  </si>
  <si>
    <t>7/31/2023 8:18 PM</t>
  </si>
  <si>
    <t>7/31/2023 8:20 PM</t>
  </si>
  <si>
    <t>Nicolás Carrasco</t>
  </si>
  <si>
    <t>Codelco</t>
  </si>
  <si>
    <t>00480997</t>
  </si>
  <si>
    <t>CN DMH</t>
  </si>
  <si>
    <t>CNDMH - Mantención de Disco BD</t>
  </si>
  <si>
    <t>Queda ok una mantención a la Base de datos jmineops y el espacio de servidor .58 queda en 517 GB libres y ya se vé reflejado en la página</t>
  </si>
  <si>
    <t xml:space="preserve">Paola </t>
  </si>
  <si>
    <t>Ignacio Jara</t>
  </si>
  <si>
    <t>00481000</t>
  </si>
  <si>
    <t xml:space="preserve">
AMANT - Reporte KPI Operaciones desactualizado</t>
  </si>
  <si>
    <t>El servicio de agente de servidor .248 no estaba ejecutando, lo activo y reporte queda actualizado</t>
  </si>
  <si>
    <t>Despacho</t>
  </si>
  <si>
    <t>Otro</t>
  </si>
  <si>
    <t>00481020</t>
  </si>
  <si>
    <t>Caserones</t>
  </si>
  <si>
    <t>MLCC - borrar cuenta de usuario</t>
  </si>
  <si>
    <t>Daniel Godoy indica que No existe en sistema, lo acabo de revisar. Quizás usaba un usuario de otro colega, pero no existe en los usuarios de despacho.</t>
  </si>
  <si>
    <t>Daniel Godoy</t>
  </si>
  <si>
    <t>00481026</t>
  </si>
  <si>
    <t>CN CHQ</t>
  </si>
  <si>
    <t>CNCHQ - Pala230 no reinicia pantalla</t>
  </si>
  <si>
    <t>Técnico indica que pala esta encajonada, por eso el ping alto que mantiene, 2 horas despuès lo revisé y pude entrar por ip de tunel y reiniciarlo, puedo ver la pantalla ahora pero no restaura calidad de antenas gps, la 2da antena no conecta a ningún satélite</t>
  </si>
  <si>
    <t>Tecnico, Jose</t>
  </si>
  <si>
    <t>00481029</t>
  </si>
  <si>
    <t>CN RT</t>
  </si>
  <si>
    <t>CNRT - C923 no cambia de estado a operativo</t>
  </si>
  <si>
    <t>El mensaje aparece cuando el estado no está configurado como auto aceptar en los códigos(reasons) adjunto pantallazo los que que se modificaron y le indico a técnico que avise en caso que vuelva a pasar</t>
  </si>
  <si>
    <t>Técnico, Francisco Castillo</t>
  </si>
  <si>
    <t>00481154</t>
  </si>
  <si>
    <t>CNDMH - No pueden entrar a jview</t>
  </si>
  <si>
    <t>Bajo el tamaño del archivo log de la BD jmineops a través de una query, luego empieza a replicar correctamente y ya se puede aceder a jview, el Despacho confirma</t>
  </si>
  <si>
    <t> 30-05-2023 21:16</t>
  </si>
  <si>
    <r>
      <rPr>
        <sz val="11"/>
        <color rgb="FF000000"/>
        <rFont val="Calibri"/>
        <family val="2"/>
        <scheme val="minor"/>
      </rPr>
      <t> 30-05-</t>
    </r>
    <r>
      <rPr>
        <sz val="10.5"/>
        <color rgb="FF000000"/>
        <rFont val="Calibri"/>
        <family val="2"/>
      </rPr>
      <t>2023 21:42</t>
    </r>
  </si>
  <si>
    <t>00481158</t>
  </si>
  <si>
    <t xml:space="preserve">
AMZAL - Grafica Caex en cola en Chancado</t>
  </si>
  <si>
    <t>Queda en revisión por ser requerimiento</t>
  </si>
  <si>
    <t>Derivado</t>
  </si>
  <si>
    <t>31-05-2023 00:01</t>
  </si>
  <si>
    <t>Nelson Donoso</t>
  </si>
  <si>
    <t>00481160</t>
  </si>
  <si>
    <t>AMZAL - Chancado por Hora</t>
  </si>
  <si>
    <t>Usuario agregado</t>
  </si>
  <si>
    <t>31-05-2023 00:14</t>
  </si>
  <si>
    <t>31-05-2023 00:45</t>
  </si>
  <si>
    <t>00481180</t>
  </si>
  <si>
    <t>AMANT - Jefe De perforación pide cargar malla denuevo</t>
  </si>
  <si>
    <t>Guardo malla en carpeta compartida y el importador la guarda en save</t>
  </si>
  <si>
    <t>31-05-2023 03:49</t>
  </si>
  <si>
    <t>31-05-2023 04:05</t>
  </si>
  <si>
    <t>Cesar Martinez</t>
  </si>
  <si>
    <t>00481246</t>
  </si>
  <si>
    <t>AMZAL - Sumarizacion 22 al 28 Mayo</t>
  </si>
  <si>
    <t>Se realiza Sumarizacion solicitada.</t>
  </si>
  <si>
    <t>31-05-2023 15:21</t>
  </si>
  <si>
    <t>31-05-2023 16:07</t>
  </si>
  <si>
    <t>Sebastian Fernandez</t>
  </si>
  <si>
    <t>00481279</t>
  </si>
  <si>
    <t>CNDMH - Revisión servicios de servidores 31-05-2023 fin de turno DMH</t>
  </si>
  <si>
    <t>La ruta del archivo habia cambiado pero seguian usando el mismo comando</t>
  </si>
  <si>
    <t>31-05-2023 18:35</t>
  </si>
  <si>
    <t>31-05-2023 20:01</t>
  </si>
  <si>
    <t>Diego Gonzalez</t>
  </si>
  <si>
    <t>00481282</t>
  </si>
  <si>
    <t>AMANT - Cargador frontal L01</t>
  </si>
  <si>
    <t>Se revisa el equipo, pero este no tiene comunicación, se le devuelve el llamado a Rodrigo indicando el problema</t>
  </si>
  <si>
    <t>31-05-2023 20:39</t>
  </si>
  <si>
    <t>31-05-2023 20:48</t>
  </si>
  <si>
    <t>Rodrigo Montenegro</t>
  </si>
  <si>
    <t>00481285</t>
  </si>
  <si>
    <t>CNDMH - C329 pegado en jsmina</t>
  </si>
  <si>
    <t>Se realizaron una serie de seguimientos, primero el equipo no tenia conexión wifi , el problema era la versión del jams que estaba sin actualizar, posteriormente se revisa el log del JAMS, el cual daba error con la tabla sensors, donde acusaba datos duplicados , se hace un respaldo de la tabla para posteriormente borrar los datos correspondientes al equipo, se monitorea nuevamente y ya no manda el error, el equipo ahora se actualiza en el jsmina y las vueltas que tenia acumuladas, se agregan al descarga sumario.</t>
  </si>
  <si>
    <t>31-05-2023 21:38</t>
  </si>
  <si>
    <t>01-06-2023 01:02</t>
  </si>
  <si>
    <t>00481289</t>
  </si>
  <si>
    <t>AMZAL - Planes mensuales no cargan</t>
  </si>
  <si>
    <t>Se revisa el archivo de los planes de junio, detectando un día de julio al final de los datos, se le envía un correo a Miguel para que corrijan la situación , a la espera de una respuesta.
Se revisa nuevamente y archivo sube correctamente por el Cron</t>
  </si>
  <si>
    <t>31-05-2023 22:00</t>
  </si>
  <si>
    <t>01-06-2023 00:15</t>
  </si>
  <si>
    <t>00481305</t>
  </si>
  <si>
    <t>AMCEN - RE: GPS C09</t>
  </si>
  <si>
    <t>Se revisa el equipo, encontrándose el gps funcionando correctamente, a los minutos queda fuera de servicio por cambio de operador, vuelve a revisarse después, y el equipo sigue con el gps en buenas condiciones</t>
  </si>
  <si>
    <t>01-06-2023 02:15</t>
  </si>
  <si>
    <t>01-06-2023 02:25</t>
  </si>
  <si>
    <t>00481312</t>
  </si>
  <si>
    <t>AMCEN - RE: GPS C154</t>
  </si>
  <si>
    <t>Se revisa el equipo el cual no tenia conexión , se entra por la IP física y se logra reiniciar el equipo , recuperando así el GPS</t>
  </si>
  <si>
    <t>01-06-2023 06:36</t>
  </si>
  <si>
    <t>01-06-2023 06:51</t>
  </si>
  <si>
    <t>00481332</t>
  </si>
  <si>
    <t>CNDMH - Problemas en Eejcucion de Script InicioTurno</t>
  </si>
  <si>
    <t>Se revisa y es Log del Secundario se queda pegado por mostrar Error en la replicacion. Se solucion recargando la tabla sensors.Se monitorea y queda funcionando correctamente.</t>
  </si>
  <si>
    <t>01-06-2023 08:17</t>
  </si>
  <si>
    <t>01-06-2023 09:17</t>
  </si>
  <si>
    <t>Alejandro</t>
  </si>
  <si>
    <t>00481352</t>
  </si>
  <si>
    <t>AMZAL - Problemas de Instalacion D17</t>
  </si>
  <si>
    <t>Despues de un Par de pruebas de instalacion y creacion de nuevo setup.sqfs se confirma la instalacion del sistema en la Perfo.</t>
  </si>
  <si>
    <t>01-06-2023 11:26</t>
  </si>
  <si>
    <t>05-06-2023 16:30</t>
  </si>
  <si>
    <t>Alexis Cataldo</t>
  </si>
  <si>
    <t>00481364</t>
  </si>
  <si>
    <t>MLCC - Sumarizacion Mes de Mayo</t>
  </si>
  <si>
    <t>Se sumariza el mes, terminando correctamente. Se avisa a Daniel al monitorear procesos de Sumarizarion y Replicacion al SQL funcionan correctamente.</t>
  </si>
  <si>
    <t>01-06-2023 14:05</t>
  </si>
  <si>
    <t>01-06-2023 16:50</t>
  </si>
  <si>
    <t>00481370</t>
  </si>
  <si>
    <t>AMZAL - Sumarizacion 29 al 31 de Mayo</t>
  </si>
  <si>
    <t>Se realiza Sumarizacion, segun solicitud. Sebastian confirma sumarizacion.</t>
  </si>
  <si>
    <t>01-06-2023 15:39</t>
  </si>
  <si>
    <t>01-06-2023 17:28</t>
  </si>
  <si>
    <t>00481395</t>
  </si>
  <si>
    <t>MLCC - Solicita Baja de Servicios: JONATHAN ALEXIS OLIVARES</t>
  </si>
  <si>
    <t>Se revisa y no hay una cuenta asociada a la persona indicada.</t>
  </si>
  <si>
    <t>01-06-2023 20:15</t>
  </si>
  <si>
    <t>01-06-2023 20:30</t>
  </si>
  <si>
    <t>00481396</t>
  </si>
  <si>
    <t>MLCC - Solicita Baja de Servicios: GUERRA PARRAGUEZ HUGO ISMAEL</t>
  </si>
  <si>
    <t>00481397</t>
  </si>
  <si>
    <t>CNTTE - certificado de OpenVPN</t>
  </si>
  <si>
    <t>Se actualiza el C302 y el WT391</t>
  </si>
  <si>
    <t>Trabajando</t>
  </si>
  <si>
    <t>00481399</t>
  </si>
  <si>
    <t>CNN - Nuevo Cargador frontal</t>
  </si>
  <si>
    <t>Se crea el archivo setup nuevo y este es enviado a Juan por correo electrónico para que realicen la instalación</t>
  </si>
  <si>
    <t>01-06-2023 21:15</t>
  </si>
  <si>
    <t>00481400</t>
  </si>
  <si>
    <t>CNN - Jmineops en ingles</t>
  </si>
  <si>
    <t>Se le dan instrucciones por telefono para cambiar el idioma</t>
  </si>
  <si>
    <t>01-06-2023 20:44</t>
  </si>
  <si>
    <t>01-06-2023 20:47</t>
  </si>
  <si>
    <t>Cristian Despacho CNN</t>
  </si>
  <si>
    <t>00481403</t>
  </si>
  <si>
    <t>AMCEN - RE: GPS C125</t>
  </si>
  <si>
    <t>Se revisa el equipo, se logra reiniciar y se recupera el GPS y la pantalla.</t>
  </si>
  <si>
    <t>01-06-2023 22:25</t>
  </si>
  <si>
    <t>01-06-2023 23:15</t>
  </si>
  <si>
    <t>00481404</t>
  </si>
  <si>
    <t>AMZAL - L13 no ve los poligonos</t>
  </si>
  <si>
    <t>Se revisa el cargador, el polígono que tenia asignado estaba lejos de donde se encontraba trabajando, se llama a Fredy para indicarle la situación.
Llama nuevamente para preguntar si esta correcta la ubicación a lo que se le responde que esa información la debería manejar despacho, mientras se revisa el equipo, le asignan un nuevo polígono, pero este también estaba alejado del lugar de trabajo del cargador, los polígonos se veían correctamente en el mapa, pero estaban lejos del equipo</t>
  </si>
  <si>
    <t>01-06-2023 22:54</t>
  </si>
  <si>
    <t>01-06-2023 23:25</t>
  </si>
  <si>
    <t>Fredy SIM</t>
  </si>
  <si>
    <t>00481405</t>
  </si>
  <si>
    <t>AMZAL - Chancado por Hora se ejecutó a las 01/06/2023 23:00:01</t>
  </si>
  <si>
    <t>Se cambia la hora del envio del informe</t>
  </si>
  <si>
    <t>01-06-2023 23:37</t>
  </si>
  <si>
    <t>01-06-2023 23:54</t>
  </si>
  <si>
    <t>00481419</t>
  </si>
  <si>
    <t>AMCEN - Pala 1 no ve los equipos</t>
  </si>
  <si>
    <t>Se revisa el equipo, se reinicia y al cabo de un rato se recupera el GPS, mostrando nuevamente los equipos como corresponde</t>
  </si>
  <si>
    <t>02-06-2023 06:56</t>
  </si>
  <si>
    <t>02-06-2023 07:15</t>
  </si>
  <si>
    <t>00481459</t>
  </si>
  <si>
    <t>CNDMH - C327 no cambia de estado</t>
  </si>
  <si>
    <t>Existe un error en un insert en la tabla sensors para el equipo C327. Se revisa y eliminan registros.  Alejandro revisa en terreno y las pruebas con los cambios de asignacion funcionan correctamente.</t>
  </si>
  <si>
    <t>00481463</t>
  </si>
  <si>
    <t>MLCC - Sumarizacion de 1 de Mayo a 1 de Junio</t>
  </si>
  <si>
    <t>Se realiza Sumarizacion Solicitada. Se avisa a Daniel el termino del proceso.</t>
  </si>
  <si>
    <t>00481494</t>
  </si>
  <si>
    <t>AMZAL - Sumarizacion 31 de Mayo</t>
  </si>
  <si>
    <t>Se realiza Sumarizacion Solicitada.</t>
  </si>
  <si>
    <t>00481497</t>
  </si>
  <si>
    <t>CNN - Forecast junio Leyes Acopio</t>
  </si>
  <si>
    <t>Se realiza Carga de Nuevo Plan y se agregan Leyes en los Acopios.</t>
  </si>
  <si>
    <t>Juan Nuñez</t>
  </si>
  <si>
    <t>00481502</t>
  </si>
  <si>
    <t>AMZAL - RE: Chancado por Hora se ejecutó a las 01/06/2023 23:00:01</t>
  </si>
  <si>
    <t>Se configura envio de Reporte segun solicitud</t>
  </si>
  <si>
    <t>00481525</t>
  </si>
  <si>
    <t>AMCEN - Apoyo con revision de viaje</t>
  </si>
  <si>
    <t>Se actualiza ubicacion de destino segun lo solicitado</t>
  </si>
  <si>
    <t>Armando Pompa</t>
  </si>
  <si>
    <t>00481526</t>
  </si>
  <si>
    <t>MLCC - P10 no actualiza ubicacion en OP Pro Manager</t>
  </si>
  <si>
    <t>No se tiene comunicacion con la pantalla del equipo, se avisa para revision en terreno</t>
  </si>
  <si>
    <t>Liliana Herrera</t>
  </si>
  <si>
    <t>00481528</t>
  </si>
  <si>
    <t>MLCC - Revision de procesos sumarizador</t>
  </si>
  <si>
    <t>Se termina proceso que esta demorando excesivamente, y monitorea finalizacion de procesos encolados</t>
  </si>
  <si>
    <t>Carlos contreras</t>
  </si>
  <si>
    <t>00481531</t>
  </si>
  <si>
    <t>AMCEN - Sumarizacion 5 y 6</t>
  </si>
  <si>
    <t>Se realiza la sumarizacion solicitada</t>
  </si>
  <si>
    <t>00481532</t>
  </si>
  <si>
    <t>AMCEN - GPS PA211</t>
  </si>
  <si>
    <t>El equipo se encontraba trabajando correctamente</t>
  </si>
  <si>
    <t>00481533</t>
  </si>
  <si>
    <t>CNRT - Perfo 111 no visualiza la malla</t>
  </si>
  <si>
    <t>Se actualiza la fecha de la malla, quedando visible nuevamente</t>
  </si>
  <si>
    <t>Rodrigo Despacho</t>
  </si>
  <si>
    <t>00481535</t>
  </si>
  <si>
    <t>CNCHQ - Equipos sin conexion</t>
  </si>
  <si>
    <t>Se entra al servidor, encontrándose todo normal, dentro del jsmine, los equipos tambien figuran con conexión, en el minemap los equipos aparecen moviéndose y los informes presentan información actualizada, se llama a Miguel de vuelta para indicarle que debe ser un problema de ellos con la red, puesto que en el servidor esta todo funcionando correctamente.</t>
  </si>
  <si>
    <t>00481540</t>
  </si>
  <si>
    <t>AMCEN - GPS PA7 no ve los equipos</t>
  </si>
  <si>
    <t>El equipo esta en una zona con mala comunicacion, lo que afecta su correcto funcionamiento</t>
  </si>
  <si>
    <t>00481545</t>
  </si>
  <si>
    <t>CNCHQ - Revision de equipos por problemas en comunicacion</t>
  </si>
  <si>
    <t>Revision de procesos del sistema los cuales se estan ejecutando normalmente, se observa problemas de comunicacion y se da aviso para revision en terreno</t>
  </si>
  <si>
    <t>00481548</t>
  </si>
  <si>
    <t>CNDMH - Camion C327 con problemas para descargar</t>
  </si>
  <si>
    <t>No se esta recibiendo datos de vims de camion se indica que se tiene que revisar en terreno</t>
  </si>
  <si>
    <t>00481551</t>
  </si>
  <si>
    <t>AMZAL - Ingreso de medidas y validacion perforadora D17</t>
  </si>
  <si>
    <t>Ingreso de medidas tomadas en terreno, validacion con topografia</t>
  </si>
  <si>
    <t>Mario Mancilla</t>
  </si>
  <si>
    <t>00481552</t>
  </si>
  <si>
    <t>AMZAL - Datos de enero a mayo de la tabla by_cycle_time</t>
  </si>
  <si>
    <t>Se obtienen datos solicitados, se copia a carpeta compartida y se comunica a cliente.</t>
  </si>
  <si>
    <t>00481561</t>
  </si>
  <si>
    <t>AMCEN - Pantalla C161</t>
  </si>
  <si>
    <t>Se reinicia el equipo y de forma remota se tiene acceso al VNC, se llama a Luis para que confirme si el operador lo ve bien, pero aun sigue con problemas, se le indica que deben revisarlo en terreno porque debe ser un problema fisico</t>
  </si>
  <si>
    <t>00481653</t>
  </si>
  <si>
    <t>AMZAL - Revision de Medidas Perforadora D17</t>
  </si>
  <si>
    <t>Seguimiento</t>
  </si>
  <si>
    <t>00481654</t>
  </si>
  <si>
    <t>CNN - Cambio Mayo</t>
  </si>
  <si>
    <t>Se realiza Cambio de Factor de Carga. Se reinicia JAMS y se Realiza sumaricion de Mayo a la Fecha.</t>
  </si>
  <si>
    <t>00481675</t>
  </si>
  <si>
    <t>Soldado</t>
  </si>
  <si>
    <t>AAS - Sistema de Monitoreo detecta un alto consumo de RAM</t>
  </si>
  <si>
    <t>Sistema muestra un alto consumo de RAM, pero no se encuentran procesos pegados, pero si hay un alto indice de procesos en cache. Se realiza limpieza de Cache y queda en indices normales.</t>
  </si>
  <si>
    <t>00481680</t>
  </si>
  <si>
    <t>MLCC -  RE: consulta sobre indicador de Jview</t>
  </si>
  <si>
    <t>Masashi Inoue</t>
  </si>
  <si>
    <t>00481686</t>
  </si>
  <si>
    <t>CNN - Modificar sumarizador y dejarlo por servicio</t>
  </si>
  <si>
    <t>Se realizan los cambios correspondientes y se procede a hacer el monitoreo del funcionamiento del sumarizador por servicio, el cual termina de manera correcta, pero no esta actualizando los datos correctamente, se devuelve el servicio a cron y se sigue monitoreando.</t>
  </si>
  <si>
    <t>00481691</t>
  </si>
  <si>
    <t>CNRT - Instalación de mineops</t>
  </si>
  <si>
    <t>Se ayuda a Rodrigo a instalar y configurar el mineops, ademas de agregar la sesión al putty para que pueda ingresar al servidor.</t>
  </si>
  <si>
    <t>Rodrigo Valenzuela</t>
  </si>
  <si>
    <t>00481723</t>
  </si>
  <si>
    <t>AMCEN - Consumo de memoria alto</t>
  </si>
  <si>
    <t>Se detecta un alto consumo de CPU a través de la pagina del monitoreo, se eliminan unos procesos y baja el consumo</t>
  </si>
  <si>
    <t>00481738</t>
  </si>
  <si>
    <t>MLCC - Sistema de Monitoreo detecta Sumarizador Encolado</t>
  </si>
  <si>
    <t>Sistema de monitoreo detecto varios procesos de sumarizacion pegados, estos se eliminan y queda funcionando en forma normal.</t>
  </si>
  <si>
    <t>00481756</t>
  </si>
  <si>
    <t>Manto Verde</t>
  </si>
  <si>
    <t>AAM - Cambio IP Servidor SMData</t>
  </si>
  <si>
    <t>Se realiza cambio ded IP y se apaga el servidor posterior solicitd de Ricardo, ya que deben migrar la maquina virtual.</t>
  </si>
  <si>
    <t>Ricardo Rocco</t>
  </si>
  <si>
    <t>00481796</t>
  </si>
  <si>
    <t>AMCEN - Sumarizacion mes de Mayo</t>
  </si>
  <si>
    <t>Se revisa que la sumarizacion termine correctamente, posteriormente se levantan los servicios y se monitorea para verificar que todo funciona correctamente</t>
  </si>
  <si>
    <t>00481801</t>
  </si>
  <si>
    <t>AMCEN - GPS Pala 1</t>
  </si>
  <si>
    <t>Se reinicia el equipo , recuperando asi el GPS</t>
  </si>
  <si>
    <t>00481803</t>
  </si>
  <si>
    <t>AAM - Importador pegado</t>
  </si>
  <si>
    <t>Se elimina el archivo el cual tenia un problema, Miguel después vuelve a subir el archivo corregido y nos confirma que paso sin ningún problema</t>
  </si>
  <si>
    <t>Marcelo Romero</t>
  </si>
  <si>
    <t>00481808</t>
  </si>
  <si>
    <t>AMCEN - GPS C134</t>
  </si>
  <si>
    <t>Se revisa el equipo y el operador se encuentra en su colación, a la espera que este operativo nuevamente.
El gps trabaja de manera correcta.</t>
  </si>
  <si>
    <t>00481834</t>
  </si>
  <si>
    <t>CNN - [EXTERNO]RE: Coordenadas Pozo N°03 malla 1052.5N045 FASE 1</t>
  </si>
  <si>
    <t>queda creado el hazard en mineops, adjunto evidencia</t>
  </si>
  <si>
    <t>00481891</t>
  </si>
  <si>
    <t>AMCEN- Ricardo Figueroa- Problemas Equipos mina</t>
  </si>
  <si>
    <t>• La PA9 se reinicia desde el botón del mineop y vuelve a mostrar el mapa. Se monitorea por un tiempo y se ve que sigue operativa.
• El ca46 está en mantención , se encuentra ofline por lo que no se puede acceder. Al terminar de monitorear la PA09 se ve el C46 en operativo pero no tiene ping. Si la conexión no vuelve se sugiere revisión en terreno.
• El C123 se monitorea y no se aprecia ningún reinicio. Se ven los parámetros de la pantalla y todo esta en orden.</t>
  </si>
  <si>
    <t>Alberto Gallardo</t>
  </si>
  <si>
    <t>00481896</t>
  </si>
  <si>
    <t>AMZAL - Miguel Cáceres - Incluir a nsalazar@aminerals.cl en los reportes
- Reporte Hora-Hora % Mgf CMZ a :
-Reporte Chancado Por Hora.</t>
  </si>
  <si>
    <t>Se agregó a nsalazar en las sjuscripciones de los reportes solicitados.</t>
  </si>
  <si>
    <t>00481898</t>
  </si>
  <si>
    <t>AMZAL- Enviar Frecuencia camiones a chancado  cada hora a mcaceres</t>
  </si>
  <si>
    <t>Se configura envío de correo segun lo solicitado</t>
  </si>
  <si>
    <t>00481903</t>
  </si>
  <si>
    <t>AMCEN- Ricardo Figueroa- llamada : 02:57
Llama para avisar que a la 01 am hubo un problema donde varios operadores no veian los caex cargando.</t>
  </si>
  <si>
    <t>El problema fue a las 01 am y la llamada fue a las 02:57
Se consulta por telefono si el problema persistia y dijo que no sabia. Quedó de llamar a despacho y si el problema continuaba, volveria a llamar para la revisión.</t>
  </si>
  <si>
    <t>00481906</t>
  </si>
  <si>
    <t xml:space="preserve">MLCC - Internal - Estimado Nelson,
Buenas tardes, según lo conversado, le informo 1) nombre de reporte “indicadores Equipos Manten”
2) Se requería saber ¿cómo se calcula “denominador”, “numerador” y “formula de MTBF”?
Desde ya muchas gracias.
</t>
  </si>
  <si>
    <t>Haciendo el seguimiento del calculo al que hace referencia el correo de arrastre. Encontré que la formula es :
machine_activity + delay + inact_delay/3600.0) / cant_contractual.
Al consultar la cant_contractual me da que efectivamente toma el valor de 10.
Por otro lado cuando ejecutamos la consulta para sacar los valores de machine_activity,delay e inact_delay tenemos lo siguiente :
El algoritmo del reporte suma los tiempos de machine activity , delay e inact_delay que nos da : 559.970 Que se dividen por 3600 para llevarlos a horas y finalmente por 10 que es la cantidad de falla imprevista (No programado, MARC).
El resultado de esto nos da 15,554722 que es el valor que podemos ver en el reporte para la p210</t>
  </si>
  <si>
    <t>00481907</t>
  </si>
  <si>
    <t>AMCEN - Belen Salgado -  Llamada 04:34
Favor su apoyo con señal de PE3, esta con la pantalla pegada. Aparece el mensaje de waiting for time core</t>
  </si>
  <si>
    <t>Según lo hablado por teléfono se ingreso al equipo por la ip de terreno y se llegó directamente al core. Al intentar ingresar a la pantalla no la encuentra y envía mensaje de error.
Esto indica problema físico, deben revisarla en terreno y comenzar por el cableado que es lo mas común en estos casos</t>
  </si>
  <si>
    <t>00481909</t>
  </si>
  <si>
    <t>RT - Internal - Problema red ripios</t>
  </si>
  <si>
    <t>La red Ripios B presentó hace minutos alarmas y cambios de estado. Se envío el WhatsApp informativo a Codelco norte y a Nivel 2 lte Hexagon.
Adjunto evidencia</t>
  </si>
  <si>
    <t>00481923</t>
  </si>
  <si>
    <t>CNDMH - cobertura de sector 7b</t>
  </si>
  <si>
    <t>Elias Jara indica que carro de comunicación se encontraba con problemas, ya al medio dia se pudo terminar con el arreglo quedando operativo el sector</t>
  </si>
  <si>
    <t>Gilmer Pompa</t>
  </si>
  <si>
    <t>00481926</t>
  </si>
  <si>
    <t>Teck QB</t>
  </si>
  <si>
    <t>TECKQB - Reporte ME</t>
  </si>
  <si>
    <t>ME actualizado</t>
  </si>
  <si>
    <t>Diego Lazo</t>
  </si>
  <si>
    <t>00481954</t>
  </si>
  <si>
    <t>MLCC - Pala no registra poligono</t>
  </si>
  <si>
    <t>Revisando la pala, pude chequear que la tronada donde está trabajando tiene una elevación según mineops muy elevada a lo que corresponde al polígono, cuando existe una diferencia de 10 o más metros, el balde de la pala no detecta el polígono, por lo tanto hay que cambiar la elevación de la tronada, aquí está en 4097.984.</t>
  </si>
  <si>
    <t>Joseph Anes</t>
  </si>
  <si>
    <t>00482007</t>
  </si>
  <si>
    <t>Reporte actualizado y enviado por Maikol Salas</t>
  </si>
  <si>
    <t>00482010</t>
  </si>
  <si>
    <t>CNDMH - cambio de clave</t>
  </si>
  <si>
    <t>cliente responde por correo que todo ok</t>
  </si>
  <si>
    <t>00482063</t>
  </si>
  <si>
    <t>MLCC - Modelo de bloque no queda guardado</t>
  </si>
  <si>
    <t>script de drill_pattern estaba pegado, se elimina este proceso y tb se ejecuta el script de modelo de bloque y se exportan los archivos</t>
  </si>
  <si>
    <t>Rodrigo Santelices</t>
  </si>
  <si>
    <t>00482064</t>
  </si>
  <si>
    <t>CNN - Reportes desactualizados</t>
  </si>
  <si>
    <t>al actualizar registro de variable sample_time, queda operativa la sumarización, el reporte está actualizado al dia 10/06/2023</t>
  </si>
  <si>
    <t>00482067</t>
  </si>
  <si>
    <t>MLCC - mantención a dumping</t>
  </si>
  <si>
    <t>queda regularizado la cantidad de dumping, ninguno repetido</t>
  </si>
  <si>
    <t>00482068</t>
  </si>
  <si>
    <t>AAS - Ram de Servidor primario está elevada</t>
  </si>
  <si>
    <t>1. sudo su
sync; echo 3 &gt; /proc/sys/vm/drop_caches
2. swapoff -a &amp;&amp; swapon -a</t>
  </si>
  <si>
    <t>00482069</t>
  </si>
  <si>
    <t>AMZAL - ,cambio de segmentos geometricos de D17</t>
  </si>
  <si>
    <t>las medidas fueron enviadas por personal de hexagon, las cuales se escribieron en planilla De calculo de ejes y,x,z y Despuès los valores quedaron puestos en los segmentos geometricos de mineops y listos para poder calibrar</t>
  </si>
  <si>
    <t>Francisco Perez</t>
  </si>
  <si>
    <t>00482070</t>
  </si>
  <si>
    <t>TECKQB Reporte ME</t>
  </si>
  <si>
    <t>reporte actualizado y enviado</t>
  </si>
  <si>
    <t>00482095</t>
  </si>
  <si>
    <t>TECKQB - Revisión de ME</t>
  </si>
  <si>
    <t>Revisiòn enviada, me actualizada</t>
  </si>
  <si>
    <t>00482142</t>
  </si>
  <si>
    <t>En el sistema de monitoreo se encontraron 4 procesos de sumarizacion encolados.</t>
  </si>
  <si>
    <t>Se limpian los procesos de sumarizacion para que no interfieran con la reportabilidad. Se monitorea y se ve que todo va con normalidad.</t>
  </si>
  <si>
    <t>00482150</t>
  </si>
  <si>
    <t>Reporte enviado, ME actualizado</t>
  </si>
  <si>
    <t>00482151</t>
  </si>
  <si>
    <t>CNTTE - Revisiòn RAM Servidor secundario</t>
  </si>
  <si>
    <t>queda regularizada la ram cache en el servidor secundario</t>
  </si>
  <si>
    <t>00482154</t>
  </si>
  <si>
    <t>CNCHQ - Revisión De ME</t>
  </si>
  <si>
    <t>también indico que existen 2 scheduler de alarmas, hay que averiguar cual es el que debe quedar funcionando, Aldo Olate realiza un trabajo que ahora permite revisar las alarmas y están actualizadas</t>
  </si>
  <si>
    <t>Ingeniero Gonzalo Nuñez</t>
  </si>
  <si>
    <t>00482171</t>
  </si>
  <si>
    <t>AAM - Poligono no queda guardado</t>
  </si>
  <si>
    <t>actualizo a eliminado los poligonos que están con un nombre asociado al poligono que quieren cargar y que estèn con fecha actual y despuès de eso ya el archivo csv queda cargado en la carpeta save</t>
  </si>
  <si>
    <t>00482193</t>
  </si>
  <si>
    <t>AMZAL - D15 Medidas y Calibraciòn</t>
  </si>
  <si>
    <t>personal de terreno y perforaciòn confirman que quedo una diferencia de entre 10 y 20 cm</t>
  </si>
  <si>
    <t>00482214</t>
  </si>
  <si>
    <t>CNRT - Red LT Area Ripios B</t>
  </si>
  <si>
    <t>Red Activa nuevamente</t>
  </si>
  <si>
    <t>00482267</t>
  </si>
  <si>
    <t>AAS - Solicitud de sumarización</t>
  </si>
  <si>
    <t>Sumarizaciòn OK</t>
  </si>
  <si>
    <t>Carolina Morales</t>
  </si>
  <si>
    <t>00482268</t>
  </si>
  <si>
    <t>AAS - Ram muy alta en ambos servidores</t>
  </si>
  <si>
    <t>queda con espacio libre de ram ambos servidores</t>
  </si>
  <si>
    <t>00482276</t>
  </si>
  <si>
    <t>CNRT - MRT Oeste A con problemas de conectividad</t>
  </si>
  <si>
    <t>está en revisión</t>
  </si>
  <si>
    <t>00482290</t>
  </si>
  <si>
    <t>CNN - Reporte de Ticket 00482064</t>
  </si>
  <si>
    <t>Reporte enviado</t>
  </si>
  <si>
    <t>00482310</t>
  </si>
  <si>
    <t>CNRT - proceso de importador grade importer diglimit</t>
  </si>
  <si>
    <t>se elimian proceso de rb que no se estaba ejecutando</t>
  </si>
  <si>
    <t>00482329</t>
  </si>
  <si>
    <t>CNDMH - Camiòn C313 con problemas de asignaciòn</t>
  </si>
  <si>
    <t>evisando el camión c313, en mineops no existen problemas relacionados a las asignaciones, sin embargo al revisar la configuración del jams del camion detectamos que existe un error de hardware, mientras no se regularice eso las soluciones no serán tan efectivas</t>
  </si>
  <si>
    <t>Francisco Castillo(Tècnico)</t>
  </si>
  <si>
    <t>00482347</t>
  </si>
  <si>
    <t>MLCC - La baja de usuarios de mineops</t>
  </si>
  <si>
    <t>no se encuentra usuario de mineops indicado en correo enviado por mesa de ayuda de caserones</t>
  </si>
  <si>
    <t>Mesa De Ayuda</t>
  </si>
  <si>
    <t>00482348</t>
  </si>
  <si>
    <t>MLCC - eliminar cuenta de usuario Mario Ulloa</t>
  </si>
  <si>
    <t>Daniel, no encuentro al usuario en mineops según su nomenclatura, me puedes indicar cual és o si usaba la cuenta de mineops de otra persona
Quedamos atentos.
Gracias.</t>
  </si>
  <si>
    <t>00482432</t>
  </si>
  <si>
    <t>AMCEN - Sistema Monitoreo detecta Problemas con Replicacion a JView</t>
  </si>
  <si>
    <t>Se revisa y queda pegado en una tabla. Se pide que se reinicie servicio de SQL Server y en monitoreo funciona correctamente.</t>
  </si>
  <si>
    <t>00482443</t>
  </si>
  <si>
    <t>CNRT - No se puede conectar a carpeta Poligonos del Servidor</t>
  </si>
  <si>
    <t>Se enseña a conectar unidad de Red a la IP Flotante del servidor.</t>
  </si>
  <si>
    <t>Yaritza</t>
  </si>
  <si>
    <t>00482452</t>
  </si>
  <si>
    <t>AMCEN - Problemas en Reporte de Mantenimiento</t>
  </si>
  <si>
    <t>Se revisa Query despues de varias pruebas se confirma que tabla Shift_states faltan datos.  Se resincroniza desde postgres a SqlServer y queda Operativo los reportes involucrados.</t>
  </si>
  <si>
    <t>00482453</t>
  </si>
  <si>
    <t>AMCEN - Consultas Sobre sumarizacion por Rajo</t>
  </si>
  <si>
    <t>Se consulta y me indican que solo se puede Sumarizar por Fechas</t>
  </si>
  <si>
    <t>Cristian Chaing</t>
  </si>
  <si>
    <t>00482457</t>
  </si>
  <si>
    <t>AMCEN - Sumarizador encolado</t>
  </si>
  <si>
    <t>Se detecta mediante el monitoreo que el Sumarizador se encontraba encolado</t>
  </si>
  <si>
    <t>00482458</t>
  </si>
  <si>
    <t>CNRT - Red Ripios y MRT Oeste fallo de red</t>
  </si>
  <si>
    <t>Se detecta que Ripio y MRT Oeste estan con problemas en la red, se envia correo y wsp al personal correspondiente</t>
  </si>
  <si>
    <t>00482468</t>
  </si>
  <si>
    <t>AMCEN - Sin reportabilidad Jview</t>
  </si>
  <si>
    <t>Se revisan los procesos encontrándose todo en orden, ningún sumarizador pegado , ni las consultas sql, se pregunta a Juan Ortuño cual es el informe para revisarlo, cuando nos indica cual es, se revisa encontrando datos actualizados, se le devuelve el llamado para indicar la situación y quedo de preguntar para saber si ya tenían data actualizada.</t>
  </si>
  <si>
    <t>00482475</t>
  </si>
  <si>
    <t>MLCC - Sumarizador pegado</t>
  </si>
  <si>
    <t>15-06-2023 (ND) Se revisan servicios, aparte de revisar logs de Sumarizador, Replicador y JAMS Se reinicia Servicio SQL. Conversando con Ingeniero OnSite indica que despacho no ha reportado nuevamente el inconveniente y se procede a cerrar Ticket</t>
  </si>
  <si>
    <t>00482478</t>
  </si>
  <si>
    <t>AMCEN - PE8 sin señal Satelital</t>
  </si>
  <si>
    <t>El equipo se encontraba trabajando con su gps ok</t>
  </si>
  <si>
    <t>00482479</t>
  </si>
  <si>
    <t>AMCEN - C36 sin señal Satelital</t>
  </si>
  <si>
    <t>Se reinicia el equipo, recuperando asi el gps</t>
  </si>
  <si>
    <t>00482582</t>
  </si>
  <si>
    <t>Se revisan los equipos y estos se encontraban trabajando correctamente, se le indica al personal de terreno que aparecen azules en el jsmina porque estan trabajando con asignacion fija y no dinamica</t>
  </si>
  <si>
    <t>Diego Hexagon</t>
  </si>
  <si>
    <t>00482583</t>
  </si>
  <si>
    <t>CNRT - C906 sin GPS</t>
  </si>
  <si>
    <t>Se intenta revisar el equipo, pero no se tiene llegada a el por ningun lado, se le indica a Javier que deben reiniciar manual, posteriormente nos comenta que el equipo quedo fuera de servicio por mantencion</t>
  </si>
  <si>
    <t>Javier Hexagon</t>
  </si>
  <si>
    <t>00482594</t>
  </si>
  <si>
    <t>CNRT - Pala 206 sin sistema</t>
  </si>
  <si>
    <t>Se revisa el equipo el cual se encontraba trabajando con normalidad.</t>
  </si>
  <si>
    <t>AMCEN - Solicitud revision GPS C53</t>
  </si>
  <si>
    <t>El equipo se encontraba con una mantencion programada</t>
  </si>
  <si>
    <t>00482598</t>
  </si>
  <si>
    <t>CNRT - Caex 950 sin GPs</t>
  </si>
  <si>
    <t>El equipo tiene buena comunicacion , se reinicia pero el problema persiste, se revisa la antena, y esta tiene problemas, se llama de vuelta a Javier indicando que deben revisarla en terreno</t>
  </si>
  <si>
    <t>00482629</t>
  </si>
  <si>
    <t>CNN - Problemas de Pantalla con CF03</t>
  </si>
  <si>
    <t>Al momento de la revision existen problemas con ambos GPS. Se revisan configuraciones y estan correctas se reinicia Hub y existe problemas de conectividad en la RED, pero al iniciar carga correctamente el Mapa.</t>
  </si>
  <si>
    <t>Roberto Maldonado</t>
  </si>
  <si>
    <t>00482641</t>
  </si>
  <si>
    <t>AMCEN - Cambio de configuracion en snmp</t>
  </si>
  <si>
    <t>Se realiza configuracion de SNMP en ambos nodos despues de confirmar correcto funcionamiento en nodo A. Se replica configuracion en Nodo B.</t>
  </si>
  <si>
    <t>00482643</t>
  </si>
  <si>
    <t>CNRT - Sin reportabilidad servidor 155</t>
  </si>
  <si>
    <t>Se revisa la solicitud, pero el servidor indicado por Hector, es un replica, se trata de acceder a el para poder reiniciar los servicios, pero no tengo acceso, se llama a Hector para indicar que deben ver el tema con tica.</t>
  </si>
  <si>
    <t>Hector</t>
  </si>
  <si>
    <t>00482647</t>
  </si>
  <si>
    <t>AMCEN - Sin información toneladas por hora</t>
  </si>
  <si>
    <t>Se modifica la tabla summaries, donde no se estaban sumarizando las tablas de los dumps, se espera a que termine la sumarizacion y el informe vuelve a arrojar datos</t>
  </si>
  <si>
    <t>00482648</t>
  </si>
  <si>
    <t>CNRT - Caex 927 no actualiza los ciclos</t>
  </si>
  <si>
    <t>Se monitorea el camion, este hace el cuento de descargas correctamente, pero con un leve retraso, no asi en la descarga sumario, donde la actualización de los datos es casi inmediata.</t>
  </si>
  <si>
    <t>00482650</t>
  </si>
  <si>
    <t>AMCEN -Solicitud revision GPS C42</t>
  </si>
  <si>
    <t>Se revisa el equipo y este se encuentra con su gps ok</t>
  </si>
  <si>
    <t>00482651</t>
  </si>
  <si>
    <t>AMCEN -Solicitud revision C134</t>
  </si>
  <si>
    <t>Se monitorea el equipo, este hace sus cambios de estado de manera correcta y casi al instante.</t>
  </si>
  <si>
    <t>00482654</t>
  </si>
  <si>
    <t>CNCHQ - Problema comunicación fase 49</t>
  </si>
  <si>
    <t>Se realiza monitoreo y seguimiento de actividades de las Palas y camiones trabajando en sector.  No se detectan problemas ya que conversando con Ingeniero OnSite de Chuqui indican que en la mañana con personal de Redes realizaron un Reinicio de los carros que dan cobertura al sector y situacion se normalizo.</t>
  </si>
  <si>
    <t>Waldolfa Celedon</t>
  </si>
  <si>
    <t>00482656</t>
  </si>
  <si>
    <t>AAS - Problemas de Consumo de RAM Servidor Primario</t>
  </si>
  <si>
    <t>Se revisa y no existen procesos pegados. Se procede a realizar liberacion de la memoria cache. Queda Operativo.</t>
  </si>
  <si>
    <t>00482658</t>
  </si>
  <si>
    <t>CRSTEN - Problemas de Consumo de RAM Servidor Primario</t>
  </si>
  <si>
    <t>00482660</t>
  </si>
  <si>
    <t>MAGSA - Reporte Estados de equipos - Carguio no funciona</t>
  </si>
  <si>
    <t>se revisa reporte y dataset esta direccionado directo a postgres. al revisar cada uno de los filtros y relaciones el inconveniente surge ya que la locations a la cual esta recuperando tiene dentro del nombre "&lt;U+FEFF&gt;F7-4250-001" el simbolo "&lt;U+FEFF&gt;" no es capaz de traducirlo reporting services y envie el error. Se revisan todas las tronadas que tienen simbolos estraños en el nombre y queda operativo el reporte.</t>
  </si>
  <si>
    <t>Despacho de Veladero</t>
  </si>
  <si>
    <t>00482679</t>
  </si>
  <si>
    <t>CNDMH - Pala 11 sin taza de excavación</t>
  </si>
  <si>
    <t>18-06-2023 ND - Se cambia la cota de la tronada a un valor mas cercano a la Pala y se elimina Boundarie y Shift_Boundaries para el turno. Equipo esta en Reserva para ver funcionamineto. Se deja en seguimiento.
20-06-2023 ND - Se revisa y pala visualiza correctamente la lines de excavacion.</t>
  </si>
  <si>
    <t>Alana</t>
  </si>
  <si>
    <t>00482680</t>
  </si>
  <si>
    <t>AMCEN - Solicitud revision GPS C42</t>
  </si>
  <si>
    <t>00482687</t>
  </si>
  <si>
    <t>AMCEN - Solicitud revision GPS C156</t>
  </si>
  <si>
    <t>00482693</t>
  </si>
  <si>
    <t>AAM - Sistema funciona lento</t>
  </si>
  <si>
    <t>18-06-2023 ND - Performance del servidor no tiene problemas.
Se revisan logs del Postgres y existe un inconveniente con el equipo TOCA04 que inserta un registro en la topography_quads. Se revisa Topography donde existen registro antiguos no utilizados, se realiza limpieza de ambas tablas y equipo deja de insertar el registro.
Al consulta al despacho indica que el problema persiste, solicitando algo mas espefico es lentitud entre el sistema y los equipos de campo. Se informa a Marcelo que pida que revisen la red de terreno ya que existe ping con los equipos pero con perdidas de paquetes.
Se deja ticket en seguimiento.
20-06-2023 ND - Despues de la revision e informar a marcelo que problema es por parte de la red. No existen llamados. Se cierra Ticket ya que Performance de los servidores estan correctos.</t>
  </si>
  <si>
    <t>Despacho Manot Verde</t>
  </si>
  <si>
    <t>00482697</t>
  </si>
  <si>
    <t>MAGSA - Sistema de Monitoreo detecto Proceos encolados de Replicacion a SQLserver</t>
  </si>
  <si>
    <t>Se revisan alertas de replicador a SQL encoladas y se eliminan. Se monitorea y funciona correctamente las siguientes ejecuciones.</t>
  </si>
  <si>
    <t>00482700</t>
  </si>
  <si>
    <t>AMANT - Recuperar contraseña de JView</t>
  </si>
  <si>
    <t>Se reinicia contraseña cbarrera de jview. Se revisa y queda Operativo.</t>
  </si>
  <si>
    <t>CristianBarrera</t>
  </si>
  <si>
    <t>00482716</t>
  </si>
  <si>
    <t>AMCEN - Solicitud revision GPS C47</t>
  </si>
  <si>
    <t>00482721</t>
  </si>
  <si>
    <t>CNRT - TR446 y C950</t>
  </si>
  <si>
    <t>Se revisan los equipos, el TR446 tenia comunicación de manera correcta y el C950 tenia el GPS trabajando con buena señal</t>
  </si>
  <si>
    <t>00482732</t>
  </si>
  <si>
    <t>00482733</t>
  </si>
  <si>
    <t>CNRT - Bull 457</t>
  </si>
  <si>
    <t>Se recupera el equipo y se borra el TR457_HS, queda en monitoreo porque el GPS no pudo levantar, pero debían dejar apagado el equipo y no se pudo seguir revisando</t>
  </si>
  <si>
    <t>00482736</t>
  </si>
  <si>
    <t>AMCEN - Load average sobre 5</t>
  </si>
  <si>
    <t>Se elimina una sumarizacion pegada del dia 17, ademas de encontrar casi 20 consultas idle , se sigue revisando y el load average baja a menos de 2 que es lo que usualmente tiene</t>
  </si>
  <si>
    <t>00482737</t>
  </si>
  <si>
    <t>AMCEN - Solicitud apoyo revision Pantalla PA7</t>
  </si>
  <si>
    <t>Se revisa la pantalla y los camiones aparecen con la ubicación correcta en el VNC</t>
  </si>
  <si>
    <t>00482744</t>
  </si>
  <si>
    <t>CNRT - Perfo R07</t>
  </si>
  <si>
    <t>Se trata de revisar el equipo, pero no se logra establecer una conexión de ninguna manera, se le avisa a Javier para que puedan reiniciar el equipo de manera manual.</t>
  </si>
  <si>
    <t>00482825</t>
  </si>
  <si>
    <t>MLCC - FW: Iniciativa de Polígonos Mal Asignados</t>
  </si>
  <si>
    <t>00482834</t>
  </si>
  <si>
    <t>CNRT - Consultas IDLE</t>
  </si>
  <si>
    <t>Se eliminan las consultas que iban desde el dia 9 de Junio, dejando solamente las del dia 19</t>
  </si>
  <si>
    <t>00482840</t>
  </si>
  <si>
    <t>CNRT - Perfo 115 no ve la malla</t>
  </si>
  <si>
    <t>Se revisa la malla, primero se detecta que esta no tiene pozos disponibles para perforar, ademas de que se muestra corrida en el mapa vs la ubicación actual del equipo, se le informa a Javier que la malla fue mal creada por eso el problema</t>
  </si>
  <si>
    <t>00482842</t>
  </si>
  <si>
    <t>AMZAL - Pala 4 no esta generando la linea de avance</t>
  </si>
  <si>
    <t>Se revisa la linea de avance , la cual si se estaba creando, la pala la veia en su VNC, pero desde el jsmina debia ponerse el filtro a contar del dia 18 ya que era parte de una linea mas grande de dias anteriores</t>
  </si>
  <si>
    <t>Ricardo Zaldivar</t>
  </si>
  <si>
    <t>00482847</t>
  </si>
  <si>
    <t>AMCEN - Solicitud apoyo en revision asignaciones de fases</t>
  </si>
  <si>
    <t>Se revisa el estado del servidor , encontrándose todo bien, se revisan los equipos del sector, teniendo gran pérdida de paquetes, se recomienda mejorar la señal de dicha zona para que las asignaciones se realicen correctamente.</t>
  </si>
  <si>
    <t>00482863</t>
  </si>
  <si>
    <t>AMCEN - Solicitud de revision GPS C38</t>
  </si>
  <si>
    <t>00482864</t>
  </si>
  <si>
    <t>CNRT - Caex 318</t>
  </si>
  <si>
    <t>Se revisan las vueltas del equipo, este tenia 11, las cuales estaban correctamente identificadas en la pestaña de los camiones y en descarga sumario.</t>
  </si>
  <si>
    <t>00482944</t>
  </si>
  <si>
    <t>MLCC - Consulta por Parches de MineOps</t>
  </si>
  <si>
    <t>Se revisa y accede por anydesk a notebook de cliente. Se revisa y copian los parches para que el equipo este actualizado.copiando los archivos a la carppeta clients del notebook del cliente.Se revisa con daniel y queda operativo.</t>
  </si>
  <si>
    <t>00482945</t>
  </si>
  <si>
    <t>AMCEN - Consulta por Xfer / FTP</t>
  </si>
  <si>
    <t>Se revisa la consulta y el acceso es por capeta compartida a los servidores linux, no por FTP. Se configura SAMBA y queda Operativa la Carpeta para las Cargas de Modular.</t>
  </si>
  <si>
    <t>00482946</t>
  </si>
  <si>
    <t>CNN - Problemas de visualizacion de JLRutas</t>
  </si>
  <si>
    <t>Se revisa configuracion y como CF05 es un equipo nuevo faltaba asignar la Prioridad. Ser asigna prioridad normal y JLRutas queda operativo.</t>
  </si>
  <si>
    <t>Cristopher</t>
  </si>
  <si>
    <t>00482963</t>
  </si>
  <si>
    <t>MLCC - Sumarizacion 1 al 20 de Junio</t>
  </si>
  <si>
    <t>Viviana despacho</t>
  </si>
  <si>
    <t>00482966</t>
  </si>
  <si>
    <t>AMCEN - Solicitud de subir mallas a despacho</t>
  </si>
  <si>
    <t>Se suben los archivos a la carpeta de las mallas para que el sistema las cargue</t>
  </si>
  <si>
    <t>00482970</t>
  </si>
  <si>
    <t>AMCEN - Solicitud de revision GPS C36</t>
  </si>
  <si>
    <t>00483043</t>
  </si>
  <si>
    <t>TECKQB - Reporte De ME</t>
  </si>
  <si>
    <t>reporte enviad, ME actualizado</t>
  </si>
  <si>
    <t>reporte de Me actualizado</t>
  </si>
  <si>
    <t>00483050</t>
  </si>
  <si>
    <t>C155 - gps de camiòn no funciona</t>
  </si>
  <si>
    <t>al revisar camiòn no se presentan problemas de señal, muestra buena calidad(no diferential)</t>
  </si>
  <si>
    <t>Tomas Arias</t>
  </si>
  <si>
    <t>00483054</t>
  </si>
  <si>
    <t>CNDMH - Pala12 no reconoce gps</t>
  </si>
  <si>
    <t>pala212 no reonoce gps, apesar de que se reinicia el sensorbox y se ingresa al master que tambièn se reinicia, no hay ping, por lo tanto pido a despacho que corten chapa y monitorear denuevo la calidad de la señal</t>
  </si>
  <si>
    <t>Walter Ibacache</t>
  </si>
  <si>
    <t>00483075</t>
  </si>
  <si>
    <t>AMCEN - Revisiòn de Pantalla Pa7</t>
  </si>
  <si>
    <t>Revisando la pala, se encuentra con buena calidad de antenas gps pero presenta mucha latencia por señal wifi.
@TICA Terreno favor su apoyo por calidad de conexión de pa7 a carro más cercano</t>
  </si>
  <si>
    <t>00483136</t>
  </si>
  <si>
    <t>AMCEN - tabla no muestra registro</t>
  </si>
  <si>
    <t>se actualiza la tabla summaries en sql server y postgres y se deja en null el valor enable de la tabla custom_by_road_time_truck, pido apoyo a Victor Rojas</t>
  </si>
  <si>
    <t>Scarlet Castillo</t>
  </si>
  <si>
    <t>00483140</t>
  </si>
  <si>
    <t>AMCEN - Revisión C11</t>
  </si>
  <si>
    <t>se deriba a terreno y se sugiere reinstalaciòn de aplicaciòn</t>
  </si>
  <si>
    <t>00483142</t>
  </si>
  <si>
    <t>Revisiòn de ME por desactualizaciòn de equipos en mapa</t>
  </si>
  <si>
    <t>reinicie servicio de sql server en servidor .130 y tambièn reinicio el job production y servicio de cas api, ahora si aparecen equipos en mapa y alarmas actualizadas</t>
  </si>
  <si>
    <t>00483151</t>
  </si>
  <si>
    <t>AAS - La memoria ram està muy elevada</t>
  </si>
  <si>
    <t>se reduce uso de ram quedando en 44,4%</t>
  </si>
  <si>
    <t>00483154</t>
  </si>
  <si>
    <t>TECKQB - Revisiòn de ME</t>
  </si>
  <si>
    <t>Reporte enviado, me actualizado</t>
  </si>
  <si>
    <t>00483228</t>
  </si>
  <si>
    <t>AMCEN - Revisiòn de Calidad GPS en rajo de tesoro</t>
  </si>
  <si>
    <t>El Despacho indica problemas de señal satelital, se revisa reporte noa y no muestra informaciòn de actividad, el mineops no indica problemas de hpgps y los equipos no se mueven dentro de jsmina, se realiza ping a cada equipo que está en el sector pero no responde el cf232 mostro ping pero al rato ya perdiò la comunicaciòn, pido a TICA que revise red en el sector de tesoro</t>
  </si>
  <si>
    <t>00483231</t>
  </si>
  <si>
    <t>TECQB - Reporte ME</t>
  </si>
  <si>
    <t>00483232</t>
  </si>
  <si>
    <t>AMANT - Reporte ALIMENTACION PLANTA HORA GRAFICAD</t>
  </si>
  <si>
    <t>Reporte modificado, adjunto evidencia, ahora se puede ver el material en el gràfico</t>
  </si>
  <si>
    <t>00483233</t>
  </si>
  <si>
    <t>AMCEN - c20 y c154</t>
  </si>
  <si>
    <t>el c20 está con problemas de hardware, pido revisar en terreno por posible cambio de uhp y el c154 está fuera de linea por problemas de cobertura en tesoro</t>
  </si>
  <si>
    <t>00483242</t>
  </si>
  <si>
    <t>AMCEN - PE5</t>
  </si>
  <si>
    <t>la pe5 mantiene buena calidad de señal gps, estado fixed y buena cantidad de satelites conectados, adjunto evidencia</t>
  </si>
  <si>
    <t>00483243</t>
  </si>
  <si>
    <t>AMCEN - PE10</t>
  </si>
  <si>
    <t>la pe5 està con buena calidad de señal gps, tiene ping y estado fixed, adjunto evidencia</t>
  </si>
  <si>
    <t>00483246</t>
  </si>
  <si>
    <t>AMCEN - CR2 y CR3</t>
  </si>
  <si>
    <t>cr2 no tiene comunicaciòn, no se puede llegar a equipo y por eso se pide corte de chapa y revisiòn de sector, tambièn cr3 estaba sin señal pero ahora ya se encuentra en otro destino(cachimba)</t>
  </si>
  <si>
    <t>00483247</t>
  </si>
  <si>
    <t>AMCEN - Pa7 no està en linea, no abre pantalla</t>
  </si>
  <si>
    <t>Pala 7 ok, estaba con mucha latencia pero despuès de reiniciar el core queda operativo y ya se puede visualizar la pantalla.</t>
  </si>
  <si>
    <t>00483295</t>
  </si>
  <si>
    <t>reporte enviado, me actualizado</t>
  </si>
  <si>
    <t>00483296</t>
  </si>
  <si>
    <t>CNDMH - Botadero 1 y 4 problemas de señal, equipos no se mueven</t>
  </si>
  <si>
    <t>Elias Jara indiac que Se revisó y sitio botadero DMH esta con alarmas de energia</t>
  </si>
  <si>
    <t>Andres Aguirre</t>
  </si>
  <si>
    <t>00483299</t>
  </si>
  <si>
    <t>CNRT - Revisiòn de procesos de Servidor primario</t>
  </si>
  <si>
    <t>revisiòn de procesos, importador, jams, sumarizador, ok</t>
  </si>
  <si>
    <t>00483304</t>
  </si>
  <si>
    <t>AMCEN - C155 tonelaje y señal de c160</t>
  </si>
  <si>
    <t>por el c155 se revisa el vims y action tonnage en jams de equipo y muestra informaciòn correcta, existe demora en reflejar en mineops por un tema de cobertura pero el camiòn esta bien configurado
c160 se reinicia y queda con buena</t>
  </si>
  <si>
    <t>00483305</t>
  </si>
  <si>
    <t>AMCEN - C39 pantalla</t>
  </si>
  <si>
    <t>al reiniciar equipo ya se puede ver pantalla y con buena calidad de gps, pasò por un sector que no tenia buena señal y quedó pegado ahí sin comunicación</t>
  </si>
  <si>
    <t>00483346</t>
  </si>
  <si>
    <t>00483349</t>
  </si>
  <si>
    <t>TECKQB - ME Desactualizado, revisiòn por Monitoreo</t>
  </si>
  <si>
    <t>reinicio el servidor de smdata y tb los servicios locales de sharperlight y cas api, y de sql server en servidor de bd, tb forzar la ejecucion de scheduler de alarmas y monitoreo de querys de tablas de sql server, queda actualizado</t>
  </si>
  <si>
    <t>00483353</t>
  </si>
  <si>
    <t>AMCEN - C54</t>
  </si>
  <si>
    <t>se revisan sensores y pantalla, todo está ok, las descargas sumarios muestras las descargas y tonelaje ok segun lo que entrega mineops, buena latencia, se reinicia pantalla de todas maneras y queda ok</t>
  </si>
  <si>
    <t>00483354</t>
  </si>
  <si>
    <t>AMANT - ME no abre</t>
  </si>
  <si>
    <t>reinicio el servicio de hxgn gateway service en servidor 10.16.226.20, adjunto evidencia</t>
  </si>
  <si>
    <t>Eduardo Guerrero</t>
  </si>
  <si>
    <t>00483377</t>
  </si>
  <si>
    <t>AMCEN - C39 y PE49</t>
  </si>
  <si>
    <t>pantalla estable despuès de reiniciarla, existen muchos log de jams para este equipo quedarà en monitoreo, sobre todo de reinicio
pe49 está con mucha latencia, se pide revisar carro de comunicaciòn en terreno</t>
  </si>
  <si>
    <t>00483463</t>
  </si>
  <si>
    <t>CNN - Jview sin acceso</t>
  </si>
  <si>
    <t>al revisar no se pudo replicar el problema, jview estaba funcionando</t>
  </si>
  <si>
    <t>Cristopher Vera</t>
  </si>
  <si>
    <t>00483465</t>
  </si>
  <si>
    <t>Revisiòn enviada, ME actualizado</t>
  </si>
  <si>
    <t>00483468</t>
  </si>
  <si>
    <t>MLCC - Destino repetido Monitoreo</t>
  </si>
  <si>
    <t>se actualiza tabla, se deja solamente un dumping con este nombre DL_E3.4</t>
  </si>
  <si>
    <t>00483478</t>
  </si>
  <si>
    <t>MAGSA - procesos sql_backup Monitoreo</t>
  </si>
  <si>
    <t>se normaliza la cantidad de procesos, adjunto evidencia</t>
  </si>
  <si>
    <t>00483503</t>
  </si>
  <si>
    <t>AMCEN - C132 cambia antes de estado</t>
  </si>
  <si>
    <t xml:space="preserve">el vims de equipo està ok, y el sensor muestra el mismo estado y actividad de mineops, si el jsmina muestra el camion en un lugar y actividad que no corresponde a lo que muestra el sensor, por lo tanto limpio base de datos y la restauro, Tambièn reinicio el JAMS y hago seguimiento de una vuelta de el camiòn y comparo posicion y actividad de mineops y sensor
</t>
  </si>
  <si>
    <t>00483603</t>
  </si>
  <si>
    <t>AMCEN - Revisiòn C49 y C50</t>
  </si>
  <si>
    <t>se restaura bd de ambos camiones y reinicio el hub quedando operativo</t>
  </si>
  <si>
    <t>00483618</t>
  </si>
  <si>
    <t>AAS - Memoria Ram elevada de servidor primario</t>
  </si>
  <si>
    <t>memoria ram restaurada</t>
  </si>
  <si>
    <t>00483624</t>
  </si>
  <si>
    <t>AMCEN - c45 no muestra ubicaciòn real</t>
  </si>
  <si>
    <t>al revisar el camiòn, este si estaba en la ubicaciòn real según el vnc y jsmina, adjunto evidencia</t>
  </si>
  <si>
    <t>00483630</t>
  </si>
  <si>
    <t>MLCC - Destinos no aceptan material</t>
  </si>
  <si>
    <t xml:space="preserve">El problema se genero por los destinos duplicados, estos se eliminan y se corrige el problema </t>
  </si>
  <si>
    <t>00483663</t>
  </si>
  <si>
    <t>AMANT - Comunicación con pala</t>
  </si>
  <si>
    <t>El problema era por un salto extra que se estaba realizando ,estando dentro de la pantalla, se iba al core y después del core quería volver y le arrojaba un error por hosts conocidos, le comente que ya tenia acceso a la pantalla y estaba volviendo de manera errónea, ademas, se reviso el mismo equipo, porque este no tenia actualización correcta del polígono donde estaba trabajando, revisando el VNC se detecto que estaba mal asignado la cota, puesto que había una diferencia de casi 50 metros vs su altura real</t>
  </si>
  <si>
    <t>00483707</t>
  </si>
  <si>
    <t>AMZAL - Reporte no se esta enviando</t>
  </si>
  <si>
    <t>Se crea la nueva suscripción al reporte con los contactos indicados por Miguel.</t>
  </si>
  <si>
    <t>00483711</t>
  </si>
  <si>
    <t>AMZAL - Envío automático Reporte Origen Destino Con Coordenadas ( Excel)</t>
  </si>
  <si>
    <t>00483715</t>
  </si>
  <si>
    <t>CNDMH - Camion 321</t>
  </si>
  <si>
    <t>Se hace ping al equipo, recibiendo respuestas normales, se ve el equipo a través del mineops, se entra al VNC todo normal , ademas se ve su ubicación en el CAS</t>
  </si>
  <si>
    <t>Jordan DMH</t>
  </si>
  <si>
    <t>00483729</t>
  </si>
  <si>
    <t>Durante el monitoreo preventivo de BD, se encuentran conexiones con estado 'idle', las cuales hay que supervisarlas.</t>
  </si>
  <si>
    <t>Se eliminan las conexiones Idle de 2 hrs de antigüedad</t>
  </si>
  <si>
    <t>Jonatan Contreras</t>
  </si>
  <si>
    <t>00483733</t>
  </si>
  <si>
    <t>CNRT</t>
  </si>
  <si>
    <t>Rodrigo Valenzuela informa mediante celular que la pala 209 tiene problemas de gps, además que esta aparece transparente.</t>
  </si>
  <si>
    <t>Se deriva a soporte de terreno, que debe coordinar la atención con despacho</t>
  </si>
  <si>
    <t>00483748</t>
  </si>
  <si>
    <t>Camión C125 problemas de GPS</t>
  </si>
  <si>
    <t>Reinicio de JAMS en equipo recuperando el GPS</t>
  </si>
  <si>
    <t>Luis Ríos</t>
  </si>
  <si>
    <t>00483757</t>
  </si>
  <si>
    <t>Conexiones Postgres pegadas (idle)</t>
  </si>
  <si>
    <t>00483759</t>
  </si>
  <si>
    <t>El C13 no presenta problemas con su GPS, si no más bien de conectividad. En ese instante estaba trabajando en el sector de la PA7, cual también presenta latencia. Se le indica a Luis Ríos que se debería revisar la cobertura del sector del frente Carguío de la PA7. Se adjuntan imágenes que respaldan lo mencionado.</t>
  </si>
  <si>
    <t>00483766</t>
  </si>
  <si>
    <t>MLCC - Sin reportabilidad Jview</t>
  </si>
  <si>
    <t>Se estaban encolando los procesos de replicacion de  datos al servidor 59, lo que por arrastre, tenia detenida la replicacion al servidor 58 y al mismo tiempo, la sumarizacion de los datos, se reinicia la conexión y se sumarizan las ultimas horas quedando todo actualizado</t>
  </si>
  <si>
    <t>00483776</t>
  </si>
  <si>
    <t>AAS - Sumarizacion</t>
  </si>
  <si>
    <t>Carolina Despacho</t>
  </si>
  <si>
    <t>00483787</t>
  </si>
  <si>
    <t>Mantoverde - Unidad C de servidor JView</t>
  </si>
  <si>
    <t>Se revisa el disco, encontrando un Backup de la BD,  ocupando 111 GB de espacio, se mueven al disco D, donde hay disponibilidad para almacenar mayor cantidad de datos, se hace una copia y se eliminan del disco C, liberando así el espacio.</t>
  </si>
  <si>
    <t>00483794</t>
  </si>
  <si>
    <t>CNDMH - Monitoreo interno</t>
  </si>
  <si>
    <t>Se eliminan los procesos encolados, ademas de reiniciar la conexión a la BD, se monitorea para ver como se comporta , estando todo trabajando de manera correcta.</t>
  </si>
  <si>
    <t>00483797</t>
  </si>
  <si>
    <t>CNDMH - C347</t>
  </si>
  <si>
    <t>No se puede trabajar con normalidad en la red sar, se habla con la gente de redes quienes indican que el equipo no tiene conectividad, se habla con Jordan para indicarle lo que sucede para que vean el equipo en terreno</t>
  </si>
  <si>
    <t>00483799</t>
  </si>
  <si>
    <t>CNDMH - C318</t>
  </si>
  <si>
    <t>Se revisa el equipo, encontrándose con conexión e imagen en su VNC</t>
  </si>
  <si>
    <t>Sebastian DMH</t>
  </si>
  <si>
    <t>00483800</t>
  </si>
  <si>
    <t>CNDMH - Se detecta mediante la pagina de Nokia que hay problema de red en multiples sectores de DMH</t>
  </si>
  <si>
    <t>Se informa al personal de terreno sobre el incidente para que lo revisen</t>
  </si>
  <si>
    <t>00483817</t>
  </si>
  <si>
    <t>AMZAL - Pozos corridos perfo 16</t>
  </si>
  <si>
    <t>Se revisa el pozo el cual fue creado correctamente, se le comenta al personal de terreno, que estos problemas son por una mala creación de las mallas de perforación, que es donde se les da las coordenadas a cada pozo</t>
  </si>
  <si>
    <t>00483831</t>
  </si>
  <si>
    <t>El Soldado</t>
  </si>
  <si>
    <t>Michael Ibaceta del despacho de la mina se comunica con soporte remoto Hexagon declarando quen no se puede obtener la data actualizada en los reportes de Jview</t>
  </si>
  <si>
    <t xml:space="preserve">Se reinician los servicios sql </t>
  </si>
  <si>
    <t>Michael Ibaceta</t>
  </si>
  <si>
    <t>00483835</t>
  </si>
  <si>
    <t>Solicita Sumarizar desde el 1 al 28 de junio, quedó de enviar el mail en un momento, pues va viajando</t>
  </si>
  <si>
    <t>00483838</t>
  </si>
  <si>
    <t>Luis Rios, reporta que la pala 7 y pala 9 no reportan posición real.</t>
  </si>
  <si>
    <t>Se revisan los gps de los equipos, estando todo normal</t>
  </si>
  <si>
    <t>00483840</t>
  </si>
  <si>
    <t>L11 tiene problemas al carga el poligono asignado. Se encuentra problema con su antena Gps1.</t>
  </si>
  <si>
    <t>Jean Sandoval /Víctor Rodriguez</t>
  </si>
  <si>
    <t>00483847</t>
  </si>
  <si>
    <t>Dentro de los monitoreos preventivos se encuentran conexiones Idle de la BD de producción Postgres. Las cuales se deben "matar".</t>
  </si>
  <si>
    <t>00483850</t>
  </si>
  <si>
    <t>Revisar C11 "No asigna las actividades" Sic mail.</t>
  </si>
  <si>
    <t>00483867</t>
  </si>
  <si>
    <t>CNDMH - Red</t>
  </si>
  <si>
    <t>00483876</t>
  </si>
  <si>
    <t>AAS - Consumo alto de memoria RAM servidor principal</t>
  </si>
  <si>
    <t>Se libera la memoria del servidor, eliminando datos almacenados en la cache</t>
  </si>
  <si>
    <t>00483878</t>
  </si>
  <si>
    <t>AMZAL - Reporte origen destino diario (Excel)</t>
  </si>
  <si>
    <t>Se revisa el informe el cual esta bien, rescata datos como corresponde, pero depende del rango de fecha al momento de generar el mismo, se le consulta al cliente de cuando quiere que se manden los datos</t>
  </si>
  <si>
    <t>00483898</t>
  </si>
  <si>
    <t>Se estaban encolando los procesos de sumarizacion, se eliminan los mas antiguos, quedando operativo, se monitorea y termina el proceso de manera correcta</t>
  </si>
  <si>
    <t>00483904</t>
  </si>
  <si>
    <t>AMZAL - Avance pala 3</t>
  </si>
  <si>
    <t>Se revisa el equipo pero este se encuentra en mantencion programada, se dejara bajo monitoreo</t>
  </si>
  <si>
    <t>Sebastian Zaldivar</t>
  </si>
  <si>
    <t>00483905</t>
  </si>
  <si>
    <t>Mantoverde - Licencia ME</t>
  </si>
  <si>
    <t>Se carga la licencia correctamente.</t>
  </si>
  <si>
    <t>00483913</t>
  </si>
  <si>
    <t xml:space="preserve">Rodrigo Valenzuela informa que la pala 719 no puede visualizar el poligono. </t>
  </si>
  <si>
    <t>El operador no tiene activado la visualización de Stockpile, la cota Gps esta en una diferencia de 28 mts y la pala según mineops no ha llegado a la zona de carga del stock</t>
  </si>
  <si>
    <t>00483915</t>
  </si>
  <si>
    <t>Se reporta que la unidad de acarreo H64 no registra las vueltas o cargas. Unidad se encuentra sin conectividad de red, se conversa con Jean Sandoval</t>
  </si>
  <si>
    <t>La unidad es derivada a personal de terreno, sin conexión al equipo</t>
  </si>
  <si>
    <t xml:space="preserve">Jean Sandoval </t>
  </si>
  <si>
    <t>00483918</t>
  </si>
  <si>
    <t xml:space="preserve">Luis, informa que la pala 2 esta con problemas de Gps. </t>
  </si>
  <si>
    <t>Se encuentra que los receptores GPS están en modo Float. La pala esta operando en la Fase 08 en el fondo mina, lo cual debería explicar su condición</t>
  </si>
  <si>
    <t>00483921</t>
  </si>
  <si>
    <t>Solicita Sumarización del 1 al 29 de junio.</t>
  </si>
  <si>
    <t>Se ejecuta Sumarización por el período solicitado</t>
  </si>
  <si>
    <t>00483926</t>
  </si>
  <si>
    <t>Luis Rios solicita chequeo al Caex C123, pues no esta cambiando sus actividades y tiempo de espera pegado</t>
  </si>
  <si>
    <t xml:space="preserve">El equipo se encuentra sin conectividad, se informa a Luis para su chequeo en terreno. </t>
  </si>
  <si>
    <t>00483927</t>
  </si>
  <si>
    <t>Cargador 5 no toma actividad de cargando con los camiones 5 y 9</t>
  </si>
  <si>
    <t>Se reinician el JAMS y JsPanel del Caex CE09, se monitorea no presentando problemas.</t>
  </si>
  <si>
    <t>Luis Santana</t>
  </si>
  <si>
    <t>00483931</t>
  </si>
  <si>
    <t>Pala 6 No se pueden ingresar registros , no funciona el Touch</t>
  </si>
  <si>
    <t>El touch del equipo debe ser revisado por personal de terreno. El Gps se encuentra Ok, ambos receptores están en Modo Fixed. Sin embargo existen problemas de comunicaciones lo cual debe ser revisado por personal de redes.</t>
  </si>
  <si>
    <t>00483960</t>
  </si>
  <si>
    <t>Sumarizacion mes de Junio</t>
  </si>
  <si>
    <t>00483962</t>
  </si>
  <si>
    <t>Solicita sumarización del 1 al 30 de junio 2023</t>
  </si>
  <si>
    <t>Se lleva a cabo la actividad sin inconvenientes.</t>
  </si>
  <si>
    <t>02:07:2023 02:59</t>
  </si>
  <si>
    <t>Cristian Chang</t>
  </si>
  <si>
    <t>00483964</t>
  </si>
  <si>
    <t>Problema de GPS en Perforadora 6</t>
  </si>
  <si>
    <t xml:space="preserve">Se ha estado monitoreando la perforadora 6  y ha estado con sus receptores Gps en modo Fixed. </t>
  </si>
  <si>
    <t>00483966</t>
  </si>
  <si>
    <t>Problema de GPS en Pala1</t>
  </si>
  <si>
    <t>Pala 1 no tiene problemas de Gps, si no mas bien se encuentra que tiene un 22% de paquetes perdidos.</t>
  </si>
  <si>
    <t>00483968</t>
  </si>
  <si>
    <t>Sin reportabilidad del turno actual</t>
  </si>
  <si>
    <t>Producto de la sumarizacion del mes el servicio de sumarización de turno debe detenerse, se comprueba que la sumarización del mes haya terminado y se habilita el servicio exitosamente</t>
  </si>
  <si>
    <t>Victor Rodriguez</t>
  </si>
  <si>
    <t>00483971</t>
  </si>
  <si>
    <t>Cargador 231 se congela</t>
  </si>
  <si>
    <t>El cargador presenta un 17% de paquetes perdidos, según información de Luis Rios , puede que el cargador se haya encajonado.</t>
  </si>
  <si>
    <t>00483973</t>
  </si>
  <si>
    <t>Chuquicamata</t>
  </si>
  <si>
    <t>CNCHQ - Sin sistema Mineops</t>
  </si>
  <si>
    <t>El problema se genero por una caída en la red del patio 7 que es justamente donde se encuentran los servidores de Hexagon, estos no se apagaron en ningún momento y cuando se restableció la red de Codelco, estos volvieron a estar con comunicación para el resto de la minera.</t>
  </si>
  <si>
    <t>Miguel Huanchicay</t>
  </si>
  <si>
    <t>00483974</t>
  </si>
  <si>
    <t>CF203, no muestra ubicación real</t>
  </si>
  <si>
    <t>Se revisa el equipo, el cual se encuentra con su GPS trabajando con normalidad, y mostrando la ubicación correcta en el mapa</t>
  </si>
  <si>
    <t>00483997</t>
  </si>
  <si>
    <t>MLCC - Sumarizar mes de Junio</t>
  </si>
  <si>
    <t>00483998</t>
  </si>
  <si>
    <t>CNDMH - T613</t>
  </si>
  <si>
    <t>El equipo no tenia conexion, se llama a Jordan para indicarle la situacion</t>
  </si>
  <si>
    <t>00484017</t>
  </si>
  <si>
    <t>Solicita sumarización para el dia 25 de junio 2023</t>
  </si>
  <si>
    <t>Actividad realizada sin inconvenientes</t>
  </si>
  <si>
    <t>00484025</t>
  </si>
  <si>
    <t xml:space="preserve">Victor Rodriguez reporta problemas de GPS en la perforadora D11. </t>
  </si>
  <si>
    <t>Se verifica que la perforadora debe ser revisada por personal de terreno, pues la antena esta con problema.</t>
  </si>
  <si>
    <t>00484029</t>
  </si>
  <si>
    <t>Reporta que existe problema de Gps en todos los equipos</t>
  </si>
  <si>
    <t>Se monitorea con la funcionalidad HPGPS y estos se encuentran OK</t>
  </si>
  <si>
    <t>00484046</t>
  </si>
  <si>
    <t>C162 problemas con asignaciones y vueltas</t>
  </si>
  <si>
    <t>Se monitorea la unidad y se encuentra funcionando correctamente, cabe señalar que el 24 % de sus paquetes de datos son perdidos, lo que pudiera ser la causa de los problemas que menciona el cliente</t>
  </si>
  <si>
    <t>00484047</t>
  </si>
  <si>
    <t>Luis Rios reporta que la unidad de carga pala 2 presenta problemas de GPS</t>
  </si>
  <si>
    <t>La unidad se encuentra intermitente con sus señal GPS de 5 a 9 satelites, lo cual puede ser explicado por estar posicionada en el fondo mina. Además presenta latencias  de 1 segundo.</t>
  </si>
  <si>
    <t>00484063</t>
  </si>
  <si>
    <t>00484068</t>
  </si>
  <si>
    <t>AMCEN -procesos sql encolados</t>
  </si>
  <si>
    <t>Se eliminan los procesos encolados, se reinicia la conexión a la BD y se monitorea el comportamiento, estando todo normal.</t>
  </si>
  <si>
    <t>00484075</t>
  </si>
  <si>
    <t>00484076</t>
  </si>
  <si>
    <t>AAS - Ingresar camión 830 15</t>
  </si>
  <si>
    <t>Se recupera el equipo y se le hace un create children</t>
  </si>
  <si>
    <t>00484094</t>
  </si>
  <si>
    <t>CNDMH - Revisión sistema ME y SMData DCH-GEL 01-07-23</t>
  </si>
  <si>
    <t>Se recuperan las alarmas, y se monitorea, el proceso es lento por lo que se deja en observacion</t>
  </si>
  <si>
    <t>00484102</t>
  </si>
  <si>
    <t>AMZAL - Digline con desfase pala 3</t>
  </si>
  <si>
    <t>Diferencia se debe a que el equipo tiene perdida de paquetes, esto genera que la pala no tenga alta precisión, lo que produce bajas señales del GPS, por lo que la linea de avance, termina corriéndose</t>
  </si>
  <si>
    <t>00484103</t>
  </si>
  <si>
    <t>AMZAL - Digline con desfase pala 2</t>
  </si>
  <si>
    <t>00484115</t>
  </si>
  <si>
    <t>MLCC - Solicita Baja de Servicios: VELASQUEZ CASTRO FRANCISCO JAVIER</t>
  </si>
  <si>
    <t>No se encuentra un usuario asociado en mineops</t>
  </si>
  <si>
    <t>Mesa ayuda Caserones</t>
  </si>
  <si>
    <t>00484116</t>
  </si>
  <si>
    <t xml:space="preserve">	
CNN - Cambio Junio</t>
  </si>
  <si>
    <t>Se realizan los cambios solicitados a los factores de carga, ademas de crear los de Julio, posteriormente se realiza la sumarizacion del mes completo para ver sus cambios reflejados.</t>
  </si>
  <si>
    <t>00484120</t>
  </si>
  <si>
    <t xml:space="preserve">	
Solicitud resumarización</t>
  </si>
  <si>
    <t>00484126</t>
  </si>
  <si>
    <t xml:space="preserve">	
Mantoverde - Creación de nuevo equipo y dispositivo</t>
  </si>
  <si>
    <t>00484136</t>
  </si>
  <si>
    <t>CNDMH - Procesos sql encolados</t>
  </si>
  <si>
    <t>Se eliminan los procesos encolados, y se monitorea para que termine el ciclo de replicacion de datos correctamente.</t>
  </si>
  <si>
    <t>00484139</t>
  </si>
  <si>
    <t>Víctor Rodriguez, comenta que el operador de la D11 no puede ver las mallas.</t>
  </si>
  <si>
    <t>La unidad al ser revisada presenta tiempos de latencia de 1,3 segundos en promedio, se deriva a terreno para que puedan revisar la cobertura de red del equipo</t>
  </si>
  <si>
    <t>00484147</t>
  </si>
  <si>
    <t>Luis Rios informa que la pala 7 tiene problemas de GPS.</t>
  </si>
  <si>
    <t>Se revisa la pala 7 y esta funcionado de manera correcta, se informa a Luis Rios mediante correo electrónico con imágenes de respaldo.</t>
  </si>
  <si>
    <t xml:space="preserve">     03-07-2023 23:30</t>
  </si>
  <si>
    <t>00484166</t>
  </si>
  <si>
    <t>Mantención preventiva BD Postgres</t>
  </si>
  <si>
    <t>00484236</t>
  </si>
  <si>
    <t>CNN - FW: Lineup</t>
  </si>
  <si>
    <t>La ruta donde se ejecuta el JAMSWeb2, no existía, se recupera una copia de Caserones, posteriormente se le dan los permisos correspondientes para poder ejecutarlo, y listo, se deja un manual de los pasos a seguir.</t>
  </si>
  <si>
    <t>00484250</t>
  </si>
  <si>
    <t>Monitoreo - AAS - Procesos sql encolados</t>
  </si>
  <si>
    <t>Se eliminan los procesos encolados, y se monitorea que no vuelva a pasar, quedando todo trabajando correctamente.</t>
  </si>
  <si>
    <t>00484261</t>
  </si>
  <si>
    <t>AAS - Alarmas exceso de velocidad</t>
  </si>
  <si>
    <t>Se revisan los datos, encontrando velocidades en cero y algunos excesos de velocidad, no muy altos (33 km) se informa lo encontrado y se recomienda como primera instancia, revisar el GPS del equipo en terreno , ademas de verificar la comunicación de los camiones en el sector donde se esta presentando el problema.</t>
  </si>
  <si>
    <t>00484277</t>
  </si>
  <si>
    <t>AMZAL - Excepciones quedaron solo para códigos Mecánicos y hoy actualmente están todos los estados generando excepciones.</t>
  </si>
  <si>
    <t>existen còdigos que estaban no marcados, los de demora no estaban marcados con autoaccept por eso les llegaba una excepcion al mdt, quedaron algunos còdigos de mantenciòn con excepciòn</t>
  </si>
  <si>
    <t>00484278</t>
  </si>
  <si>
    <t>Mantoverde - tabla drill_holes no esta sincronizada enero y junio no hay datos</t>
  </si>
  <si>
    <t>00484279</t>
  </si>
  <si>
    <t>MLCC - Problema para cargad la malla</t>
  </si>
  <si>
    <t>El problema era un importador pegado que no dejaba cargar la malla, se elimina el proceso y la malla se carga correctamente</t>
  </si>
  <si>
    <t>Viviana Despacho</t>
  </si>
  <si>
    <t>00484341</t>
  </si>
  <si>
    <t>AAS - Sin Reportabilidad</t>
  </si>
  <si>
    <t>caso resuelto en ticket 00484347</t>
  </si>
  <si>
    <t>00484347</t>
  </si>
  <si>
    <t>AAS - Jview no abre</t>
  </si>
  <si>
    <t>El Servicio de sql estaba abajo, al ejecutarlo ya se puede abrir jview</t>
  </si>
  <si>
    <t>00484352</t>
  </si>
  <si>
    <t>AMZAL - GPS de equipos inestable</t>
  </si>
  <si>
    <t>adjunto el monitoreo noaa, el cual indica que no hay pronostico de actividad geomagnetica que afecte a la señal gps de la faena</t>
  </si>
  <si>
    <t>monitoreo noaa, el cual indica que no hay pronostico de actividad geomagnetica que afecte a la señal gps de la faena</t>
  </si>
  <si>
    <t>00484354</t>
  </si>
  <si>
    <t>MLCC - Despacho indica que no carga la vista estado</t>
  </si>
  <si>
    <t>Destinos Repetidos, eso provocaba que la vista estado no cargara, adjunto evidencia</t>
  </si>
  <si>
    <t>Piero Acuña</t>
  </si>
  <si>
    <t>Daniel Galvez</t>
  </si>
  <si>
    <t>00484356</t>
  </si>
  <si>
    <t>AAM - Mantoverde - Servidor MPdata muestra fecha futura</t>
  </si>
  <si>
    <t>00484377</t>
  </si>
  <si>
    <t>Monitoreo - MLCC - revisiòn de sumarizador</t>
  </si>
  <si>
    <t>queda actualizado el proceso de sumarizaciòn, no encolado y ejecutandose por crontab</t>
  </si>
  <si>
    <t>00484416</t>
  </si>
  <si>
    <t>MLCC - Creaciòn De Usuario</t>
  </si>
  <si>
    <t>Usuario creado</t>
  </si>
  <si>
    <t>00484420</t>
  </si>
  <si>
    <t>AMZAL - Tabla by_equipment_reasons</t>
  </si>
  <si>
    <t>Se envía a miguel, la tabla solicitada desde Abril 2022 al marzo 2023 en Excel con filtro Equipment_ID para CHANCADO.</t>
  </si>
  <si>
    <t>00484489</t>
  </si>
  <si>
    <t>CNN - Hazard</t>
  </si>
  <si>
    <t>Juan Nuñez reenvia los archivos para cargar en mineops, estos deben tener un encabezado(primera fila) que indique la cota, la fase y Hazard</t>
  </si>
  <si>
    <t>cargado el hazard</t>
  </si>
  <si>
    <t>00484519</t>
  </si>
  <si>
    <t>TTE - No toma configuracion del default_ready</t>
  </si>
  <si>
    <t>Se crearon defauly_ready_code para cada tipo de equipos, se sigue buscando la solución definitiva</t>
  </si>
  <si>
    <t>Marcelo Oliveira</t>
  </si>
  <si>
    <t>00484533</t>
  </si>
  <si>
    <t>Monitoreo - MAGSA - CPU elevada</t>
  </si>
  <si>
    <t>cpu ya está estable</t>
  </si>
  <si>
    <t>Claudio Ruiz</t>
  </si>
  <si>
    <t>00484561</t>
  </si>
  <si>
    <t>Monitoreo - AMANT - Proceso sql server y sql backup</t>
  </si>
  <si>
    <t>procesos de sql server y backup encolados, se eliminan con
ps aux | grep sql_backup | wc -l
for i in 'ps aux | grep "/opt/Jigsaw/Tools/sql_backup" | awk '{print $2}''; do kill -9 $i; done</t>
  </si>
  <si>
    <t>00484565</t>
  </si>
  <si>
    <t>CNDMH - B408 con icono wifi gris</t>
  </si>
  <si>
    <t>despues de revisar el sarhm, crear key, crt y el setup nuevamente, revisar errores conocidos, y log de jams y jspanel, todo indica que existe un error en la replica, porque al cargar el mapa despues de la instalacion de setup. arroja un mensaje de a problema was encountered, el log de jspanel indica un problema de la tabla drawings y que no estaba replicando, al agregar en replicas la tabla drawings a los dispositivos de tractores, carga el mapa y aparecen también la señales gps y wifi, ahora le indicaremos a tecnico que cargue pantalla en dozer y realize la configuración</t>
  </si>
  <si>
    <t>Francisco Castillo</t>
  </si>
  <si>
    <t>00484689</t>
  </si>
  <si>
    <t>TECKQB - Revisión ME</t>
  </si>
  <si>
    <t>revisión enviada, me actualizado</t>
  </si>
  <si>
    <t>00484723</t>
  </si>
  <si>
    <t>Revisión de Me enviada, me actualizado</t>
  </si>
  <si>
    <t>00484727</t>
  </si>
  <si>
    <t>Monitoreo - MLCC - Destinos repetidos</t>
  </si>
  <si>
    <t>queda actualizada la tabla dumping, ya no hay destinos repetidos</t>
  </si>
  <si>
    <t>00484729</t>
  </si>
  <si>
    <t xml:space="preserve">	
Monitoreo - AMCEN - revisión de monitoreo</t>
  </si>
  <si>
    <t>el monitoreo muestra que los procesos no están encolados y los servidores no muestran grandes consumos de recursos de cpu ni de memoria ram</t>
  </si>
  <si>
    <t>00484730</t>
  </si>
  <si>
    <t>CNDMH - Revisión de P205</t>
  </si>
  <si>
    <t>revisó el sarmh de el equipo y está todo ok, reviso el jams, lo actualizo:
P205:~$ sudo -i
root@P205:~# /opt/Jigsaw/Services/JAMSRouter update 2.8-002.020
y después reinicio la pantalla y queda ok</t>
  </si>
  <si>
    <t>00484732</t>
  </si>
  <si>
    <t>Monitoreo - AAS - El servidor primario está con ram elevada</t>
  </si>
  <si>
    <t>ya está ok la memoria ram</t>
  </si>
  <si>
    <t>00484806</t>
  </si>
  <si>
    <t>AAM - Operación De Limpieza</t>
  </si>
  <si>
    <t>00484830</t>
  </si>
  <si>
    <t>CNN - Revisión GPS CF01</t>
  </si>
  <si>
    <t>Se verifica que versión de plataforma de equipo se encontraba desactualizada por lo que se procede a actualizar instalando aplicación de manera remota, por otro lado, también se actualiza JAMS , sin embargo, problema de GPS persiste como se puede apreciar en imagen adjunta. Se indica a Juan que verifique antenas en terreno.</t>
  </si>
  <si>
    <t>00484834</t>
  </si>
  <si>
    <t>MLCC - Creación de Usuario MO</t>
  </si>
  <si>
    <t>Creación de cuenta para MineOperate</t>
  </si>
  <si>
    <t>00484856</t>
  </si>
  <si>
    <t>AAS - Problema base de datos en Grades</t>
  </si>
  <si>
    <t>indican que el archivo estaba con problemas de información y lo envian denuevo para poder subirlo, queda guardado en la carpeta save</t>
  </si>
  <si>
    <t>Daniel Gajardo</t>
  </si>
  <si>
    <t>00484906</t>
  </si>
  <si>
    <t>AAS - Reivisiòn de JVIEW</t>
  </si>
  <si>
    <t>el servicio estába abajo, se levanta y ademas se reinicia el iis y queda ok</t>
  </si>
  <si>
    <t>00484908</t>
  </si>
  <si>
    <t>AMZAL - Realizar sumarizaciòn</t>
  </si>
  <si>
    <t>ok la sumarización</t>
  </si>
  <si>
    <t>00484914</t>
  </si>
  <si>
    <t>AMZAL - Envio de información de reasons</t>
  </si>
  <si>
    <t>adjunto correo enviado</t>
  </si>
  <si>
    <t>07/11/2023 09:41</t>
  </si>
  <si>
    <t>07/11/2023 11:14</t>
  </si>
  <si>
    <t>00484916</t>
  </si>
  <si>
    <t>AAS - Requieren sumarización</t>
  </si>
  <si>
    <t>sumarización ok, usuario informado</t>
  </si>
  <si>
    <t>00484927</t>
  </si>
  <si>
    <t>Monitoreo - AAS - Ram elevada</t>
  </si>
  <si>
    <t>ram ok, adjunto procedimiento</t>
  </si>
  <si>
    <t>00484933</t>
  </si>
  <si>
    <t>MLCC - Requieren sumarización</t>
  </si>
  <si>
    <t>la sumarización queda ok</t>
  </si>
  <si>
    <t>00484935</t>
  </si>
  <si>
    <t>Monitoreo - AMCEN - Procesos de sql y backup</t>
  </si>
  <si>
    <t>procesos encolados son eliminados y se reinicia el servicio de sql server, queda ok</t>
  </si>
  <si>
    <t>00484990</t>
  </si>
  <si>
    <t>correo enviado, me actualizado</t>
  </si>
  <si>
    <t>00485000</t>
  </si>
  <si>
    <t>Monitoreo - CNDMH - Revisión de Nokia LTE</t>
  </si>
  <si>
    <t>Elias Jara indica qué Estimados,
Estos sitios están afectados según una Gestion de Cambio.</t>
  </si>
  <si>
    <t>00485006</t>
  </si>
  <si>
    <t>AMCEN - PE53 no está con señal</t>
  </si>
  <si>
    <t>no hay ping a la perf53, pido a Tica que revisen en terreno</t>
  </si>
  <si>
    <t>Cristian Chiang</t>
  </si>
  <si>
    <t>00485073</t>
  </si>
  <si>
    <t>MLCC - Creación cuenta Mine Operate OP Pro</t>
  </si>
  <si>
    <t>La cuenta ya se encontraba creada en sistema por lo que solo se realiza una actualización de la clave y se envía al cliente.</t>
  </si>
  <si>
    <t>Alvaro Tapia</t>
  </si>
  <si>
    <t>00485122</t>
  </si>
  <si>
    <t>AAM - Ingreso litros de agua en jspanel</t>
  </si>
  <si>
    <t>00485124</t>
  </si>
  <si>
    <t>Mantoverde - Error en vista de Ingreso de Pozo (MineOperate)</t>
  </si>
  <si>
    <t>00485134</t>
  </si>
  <si>
    <t>MLCC - Sumarizacion Manual</t>
  </si>
  <si>
    <t>Se realiza sumarizacion manual, se realiza desde las fechas 30/06 al 13/07 para abarcar todo lo requerido por el cliente.</t>
  </si>
  <si>
    <t>7/13/2023 5:37</t>
  </si>
  <si>
    <t>00485152</t>
  </si>
  <si>
    <t>MLCC - Pala 10 no toma el destino</t>
  </si>
  <si>
    <t>Problema se debio a los destinos duplicados, estos se eliminan y las asignaciones se hacen correctamente</t>
  </si>
  <si>
    <t>00485161</t>
  </si>
  <si>
    <t>AMCEN - Falla GPS Caex 162</t>
  </si>
  <si>
    <t>El camion estaba fuera de servicio por mantencion, posteriormente se revisa el GPS estando correcto</t>
  </si>
  <si>
    <t>00485174</t>
  </si>
  <si>
    <t>AMCEN - Falla GPS PE4</t>
  </si>
  <si>
    <t>El GPS estaba funcionando correctamente</t>
  </si>
  <si>
    <t>00485185</t>
  </si>
  <si>
    <t>AMZAL - Tabla que alimenta Reporte de exceso velocidades en JView</t>
  </si>
  <si>
    <t>Se le indica a Miguel de donde saca la informacion de las velocidades</t>
  </si>
  <si>
    <t>00485250</t>
  </si>
  <si>
    <t>AAM - Problemas al visualizar pantalla de pala por VNC</t>
  </si>
  <si>
    <t>Se realiza conexión a servidor para realizar pruebas de comunicación hacia el equipo de campo; se ejecuta un ping y no hay perdida de paquetes</t>
  </si>
  <si>
    <t>7-13-2023 11:09 AM</t>
  </si>
  <si>
    <t>7/13/2023 11:18</t>
  </si>
  <si>
    <t>Nicolás Cararsco</t>
  </si>
  <si>
    <t>00485257</t>
  </si>
  <si>
    <t>CAPCNN - Sumarizacion manual</t>
  </si>
  <si>
    <t>Se realiza sumarizacion manual solicitada pro el cliente</t>
  </si>
  <si>
    <t>7-13-2023 12:05 PM</t>
  </si>
  <si>
    <t>7/13/2023 2:54</t>
  </si>
  <si>
    <t>00485281</t>
  </si>
  <si>
    <t>CNDMH - Sin reportabilidad jview</t>
  </si>
  <si>
    <t>Se realiza el cierre de procesos y de cuentas activas sin uso en el servidor para liberar el consumo de la cpu.</t>
  </si>
  <si>
    <t>7/13/2023 5:36 PM</t>
  </si>
  <si>
    <t>7/14/2023 3:56</t>
  </si>
  <si>
    <t>7/14/2023</t>
  </si>
  <si>
    <t>Se reinician los procesos SQL recuperando asi la reportabilidad (Se debio hacer en multiples ocaciones, porque se seguian quedando sin informacion)</t>
  </si>
  <si>
    <t>Walter Despacho</t>
  </si>
  <si>
    <t>00485285</t>
  </si>
  <si>
    <t>AMCEN - Polígono _hazard no se actualiza</t>
  </si>
  <si>
    <t>El problema se produjo por un importador pegado, se elimina el proceso y los demas pasan correctamente</t>
  </si>
  <si>
    <t>00485322</t>
  </si>
  <si>
    <t>CNRT - C315 GPS</t>
  </si>
  <si>
    <t>Se reinicia el core del equipo, recuperando asi el GPS</t>
  </si>
  <si>
    <t>Javier RT</t>
  </si>
  <si>
    <t>00485371</t>
  </si>
  <si>
    <t>Se realiza sumarizacion manual a petición de Daniel Godoy, la cual la solicita vía teléfono.</t>
  </si>
  <si>
    <t>7/14/2023 9:59</t>
  </si>
  <si>
    <t>7/14/2023 1:52</t>
  </si>
  <si>
    <t>00485380</t>
  </si>
  <si>
    <t>DMH - Cambio de password app JVIEW</t>
  </si>
  <si>
    <t>Se realiza reseteo de la password para el ingreso a jview</t>
  </si>
  <si>
    <t>7/14/2023 12:15</t>
  </si>
  <si>
    <t>7/14/2023 1:47</t>
  </si>
  <si>
    <t>Carlos Aguilera</t>
  </si>
  <si>
    <t>00485396</t>
  </si>
  <si>
    <t>AMCEN - Solicitud de revision C11 no realiza el cambio de actividad</t>
  </si>
  <si>
    <t>Se revisa el equipo, el cual tenia problemas para hacer los cambios, este presenta mala comunicacion con perdidas considerables de paquetes, se reinicia quedando con una mejor comunicacion</t>
  </si>
  <si>
    <t>00485400</t>
  </si>
  <si>
    <t>AMCEN - Problema con los GPS</t>
  </si>
  <si>
    <t>Se revisa la pagina de monitoreo del NOA , puesto que los GPS estaban todos como fixed pero sin un correcto funcionamiento, resulta que las tormentas solares estaban altas en ese momento, se reporta la situación a Juan</t>
  </si>
  <si>
    <t>00485404</t>
  </si>
  <si>
    <t>CNDMH - Sin reportabilidad</t>
  </si>
  <si>
    <t>Se reinician los servicios SQL, recuperando asi los reportes jview</t>
  </si>
  <si>
    <t>00485407</t>
  </si>
  <si>
    <t>AMCEN - Revision de GPS C125</t>
  </si>
  <si>
    <t>Se revisa el camion, el cual estaba trabajando de manera correcta</t>
  </si>
  <si>
    <t>00485414</t>
  </si>
  <si>
    <t>CNRT - 911 y RT2</t>
  </si>
  <si>
    <t>Se tratan de revisar los equipos, pero no hay llegada por el tunel, ni por la ip de terreno</t>
  </si>
  <si>
    <t>00485415</t>
  </si>
  <si>
    <t>Se reinician nuevamente los servicios SQL, recuperando asi los reportes jview</t>
  </si>
  <si>
    <t>00485432</t>
  </si>
  <si>
    <t>Se realiza limpieza de log del servidor de base de datos para mejorar el rendimiento de la reportabilidad.</t>
  </si>
  <si>
    <t>7/15/2023 9:17</t>
  </si>
  <si>
    <t>Enrique Ibacache</t>
  </si>
  <si>
    <t>00485520</t>
  </si>
  <si>
    <t>MLCC - Pala 10 sin conexión</t>
  </si>
  <si>
    <t>Se reinicia la pala, recuperando asi la conexion</t>
  </si>
  <si>
    <t>00485528</t>
  </si>
  <si>
    <t>Monitoreo - AAS - Servidor principal alto consumo de memoria RAM</t>
  </si>
  <si>
    <t>Se eliminan los datos de la memoria cache, recuperando asi memoria ram en el servidor</t>
  </si>
  <si>
    <t>00485552</t>
  </si>
  <si>
    <t>AAM - Revisar dispositivo CEKO052</t>
  </si>
  <si>
    <t>Se realizan modificaciones en las configuraciones para que se pueda visualizar el equipo, se debe realizar nuevamente la carga del setup en el equipo para que pueda tomar las nuevas configuraciones</t>
  </si>
  <si>
    <t>7/17/2023 6:03 AM</t>
  </si>
  <si>
    <t>00485620</t>
  </si>
  <si>
    <t>Monitoreo - DMH - Proceso sql server no avanza</t>
  </si>
  <si>
    <t>Se realiza le ejecución del comando for i in `ps aux | grep "/opt/Jigsaw/Backups/sqlserver/run" | awk '{print $2}'`; do kill -9 $i; done en el servidor primario, esto mata los procesos encolados, después se reinicia el sql server para permitir que la replicación de los datos vuelva a realizarse desde el servidor primario.</t>
  </si>
  <si>
    <t>7/17/2023 3:07 PM</t>
  </si>
  <si>
    <t>7/17/2023 3:09 PM</t>
  </si>
  <si>
    <t>00485624</t>
  </si>
  <si>
    <t>AMZAL - Sin reportabilidad jview</t>
  </si>
  <si>
    <t>Se realiza reinicio de los procesos del servidor jview</t>
  </si>
  <si>
    <t>7/17/2023 3:16 PM</t>
  </si>
  <si>
    <t>7/17/2023 3:18 PM</t>
  </si>
  <si>
    <t>Carolina Vera</t>
  </si>
  <si>
    <t>00485630</t>
  </si>
  <si>
    <t>CNRT - Cambio clave mineops</t>
  </si>
  <si>
    <t>Se realiza el cambio de clave</t>
  </si>
  <si>
    <t>00485661</t>
  </si>
  <si>
    <t>AMCEN - Solicitud de revision de GPS C11</t>
  </si>
  <si>
    <t>Se le hace seguimiento al equipo, este presenta constantes perdidas de conexión , lo que provoca la descomunicacion con el servidor</t>
  </si>
  <si>
    <t>00485663</t>
  </si>
  <si>
    <t>CNDMH - Mala cobertura botaderos</t>
  </si>
  <si>
    <t>Se revisa el servidor, estando todo dentro de los parametros normales, los equipos pierden conexión solamente al estar llegando al bot 4 por lo que se detecta un error en la cobertura</t>
  </si>
  <si>
    <t>Oscar Despacho</t>
  </si>
  <si>
    <t>00485666</t>
  </si>
  <si>
    <t>AMANT - Sin reportabilidad Jview</t>
  </si>
  <si>
    <t>El problema ocurrió porque el servidor espejo tenia un proceso pegado, que encolada al resto</t>
  </si>
  <si>
    <t>00485699</t>
  </si>
  <si>
    <t>MLCC - Apagado de servidores</t>
  </si>
  <si>
    <t>Se realiza apagado de servidores según requerimiento del cliente</t>
  </si>
  <si>
    <t>7/18/2023 7:24</t>
  </si>
  <si>
    <t>7/18/2023 11:10</t>
  </si>
  <si>
    <t>Carlos Contreras</t>
  </si>
  <si>
    <t>00485719</t>
  </si>
  <si>
    <t>AAM - Creacion de equipos, dispositivos y actualización de setup</t>
  </si>
  <si>
    <t>Se realiza la creación de los dispositivos</t>
  </si>
  <si>
    <t>7/18/2023 10:33</t>
  </si>
  <si>
    <t>00485827</t>
  </si>
  <si>
    <t>AMCEN - Respaldo del paso a paso de cambio de actividades de un CAEX</t>
  </si>
  <si>
    <t>Se creó un nuevo usuario tipo Despachador en MineOps para revisar lo solicitado. Se cambió la actividad del camión de "esperando" a "en cola" para que el operador cambiara de nuevo al verdadero estado y se puede observar que no necesita ser aprobado por despachador el cambio de actividad.</t>
  </si>
  <si>
    <t>07/19/2023 07:17</t>
  </si>
  <si>
    <t>Scarlett Castillo Muñoz</t>
  </si>
  <si>
    <t>00485845</t>
  </si>
  <si>
    <t>AMCEN - Perforadora no visualiza pozo que realizó</t>
  </si>
  <si>
    <t>Se revisaron los Logs de la perforadora PE1 en MineOps, Base de datos y VNC Y en todos coincide los pozos trabajados.</t>
  </si>
  <si>
    <t>07/19/2023 09:57</t>
  </si>
  <si>
    <t>00485857</t>
  </si>
  <si>
    <t>MLCC - Problema importadores</t>
  </si>
  <si>
    <t>Se revisa el contenido de los archivos y no se encuentra ningún error de formato por lo que se procede a intentar encontrar el problema de otra manera. Se respaldan los importadores en otra carpeta para eliminarlos y correr archivo por archivo para encontrar el origen del problema. Finalmente todos los importadores pasaron sin problemas.</t>
  </si>
  <si>
    <t>07/19/2023 06:55</t>
  </si>
  <si>
    <t>07/20/2023 06:55</t>
  </si>
  <si>
    <t>00485858</t>
  </si>
  <si>
    <t>AMCEN - Camión con problemas de GPS</t>
  </si>
  <si>
    <t>Se intentó revisar el camión de manera remota sin éxito ya que no tenemos comunicación. Se solicitó un corte de chapa para intentar nuevamente acceder al camión. Si no existe comunicación posterior al reinicio del camión se deberá revisar en terreno.
Con el corte de chapa y reinicio del camión se solucionó el problema.</t>
  </si>
  <si>
    <t>07/19/2023 11:54</t>
  </si>
  <si>
    <t>07/20/2023 06:54</t>
  </si>
  <si>
    <t>00485892</t>
  </si>
  <si>
    <t>MLCC - Pregunta si existe consulta para auditar despachadores</t>
  </si>
  <si>
    <t xml:space="preserve">Se revisa la posibilidad de crear una sección para el perfil del contacto en MineOps donde tenga la capacidad de auditar los cambios realizados por despachadores
</t>
  </si>
  <si>
    <t>07/19/2023  16:33</t>
  </si>
  <si>
    <t>00485946</t>
  </si>
  <si>
    <t>MLCC - Problema de destinos duplicados</t>
  </si>
  <si>
    <t>Llama Daniel para pedir apoyo con fin de encontrar el origen del problema que se duplican los destinos, tienen una primera idea de buscar usuarios que utilicen el software en una versión anterior.</t>
  </si>
  <si>
    <t>00485980</t>
  </si>
  <si>
    <t>AMCEN - Problemas GPS C42</t>
  </si>
  <si>
    <t>Se mantuvo monitoreando el camión en cuestión, el cual operó con normalidad por lo que se determina que fue un problema de señal o red en la mina.</t>
  </si>
  <si>
    <t>07/20/2023 08:30</t>
  </si>
  <si>
    <t>07/20/2023 13:36</t>
  </si>
  <si>
    <t>00486029</t>
  </si>
  <si>
    <t>Para solucionar el problema en el sistema del camión C19, se llevó a cabo una revisión y se procedió a reiniciar la base de datos y reiniciar completamente el equipo. Estas acciones permitieron restablecer el funcionamiento normal del camión</t>
  </si>
  <si>
    <t>07/20/2023 14:36</t>
  </si>
  <si>
    <t>00486090</t>
  </si>
  <si>
    <t>AMZAL - Consulta por GPS de pala</t>
  </si>
  <si>
    <t>Se entra a revisar la pala encontrando que la calidad de los gps es la optima y se encuentra con buena cantidad de satélites conectados.
Además el contacto también solicita apoyo con información sobre las tormentas solares del día y se le entrega esa información.</t>
  </si>
  <si>
    <t>07/21/2023 07:36</t>
  </si>
  <si>
    <t>07/21/2023 11:21</t>
  </si>
  <si>
    <t>00486094</t>
  </si>
  <si>
    <t>AMCEN - Camión pegado en sistema</t>
  </si>
  <si>
    <t>Se realiza ping desde JSMina recibiendo No Communications. Por lo que se conecta al equipo por red wifi y se reinicia el sistema lo que normaliza la situación.</t>
  </si>
  <si>
    <t>07/21/2023 08:03</t>
  </si>
  <si>
    <t>07/21/2023 08:27</t>
  </si>
  <si>
    <t>00486099</t>
  </si>
  <si>
    <t>CNDMH - Jview pegado</t>
  </si>
  <si>
    <t>Se mantuvo un monitoreo del servidor jview y los reportes que se actualizan por hora. No se observa ningún problema.</t>
  </si>
  <si>
    <t>07/21/2023 09:58</t>
  </si>
  <si>
    <t>07/21/2023 12:20</t>
  </si>
  <si>
    <t>00486121</t>
  </si>
  <si>
    <t>Al revisar el camión C19 por JSMina es imposible visualizar el VNC. No se cuenta con ping al equipo. Luego intentando por putty tampoco se logra acceder al camión para realizar algo. Se deriva para que revisen en terreno</t>
  </si>
  <si>
    <t>07/21/2023 15:45</t>
  </si>
  <si>
    <t>07/21/2023 16:56</t>
  </si>
  <si>
    <t>00486122</t>
  </si>
  <si>
    <t>AMCEN - Aljibe con problemas de GPS</t>
  </si>
  <si>
    <t>Se intenta revisar equipo remotamente sin éxito por problemas de conexión. Finalmente se recomienda revisión en terreno.</t>
  </si>
  <si>
    <t>07/21/2023 15:59</t>
  </si>
  <si>
    <t>07/21/2023 16:04</t>
  </si>
  <si>
    <t>00486123</t>
  </si>
  <si>
    <t>CNDRT - Error en configuración de MineOps</t>
  </si>
  <si>
    <t>Se eliminaron flotas que ya no tenían equipos activos para poder agregar en su lugar las que el cliente solicitaba ( KOM-CHQ y KOM PC-5500).</t>
  </si>
  <si>
    <t>07/21/2023 16:06</t>
  </si>
  <si>
    <t>07/22/2023 17:01</t>
  </si>
  <si>
    <t>Elmer Cruz</t>
  </si>
  <si>
    <t>00486160</t>
  </si>
  <si>
    <t>Se intenta dar apoyo pero es imposible conectarse al equipo de manera remota. Se deriva a revisión en terreno.</t>
  </si>
  <si>
    <t>07/22/2023 06:00</t>
  </si>
  <si>
    <t>07/22/2023 07:03</t>
  </si>
  <si>
    <t>00486199</t>
  </si>
  <si>
    <t>CNDMH - Camión no registra vueltas</t>
  </si>
  <si>
    <t>El contacto solicita apoyo con la revisión de un camión que en un principio tenía error en sus vueltas, se revisa su descarga sumario donde si estuvo registrando datos en el periodo que los logs no guardan información. Se intenta apoyar al camión sin éxito debido a que no tenemos conexión remota. llaman nuevamente solicitando apoyo para revisar estado del SarHm del equipo (SarHm_081), al realizar este apoyo se determina que el Sar del equipo se encuentra en mal estado.</t>
  </si>
  <si>
    <t>07/23/2023 09:44</t>
  </si>
  <si>
    <t>07/23/2023 12:03</t>
  </si>
  <si>
    <t>Francisco</t>
  </si>
  <si>
    <t>00486215</t>
  </si>
  <si>
    <t>Monitoreo - Encolamiento de sumarizador</t>
  </si>
  <si>
    <t>Se detiene el cron del sumarizador para esperar a que pase sin seguir encolando más, finalmente se queda un tiempo considerable sin avanzar por lo que se matan esos procesos y se vuelve a dejar el cron activado.</t>
  </si>
  <si>
    <t>07/23/2023 16:39</t>
  </si>
  <si>
    <t>07/23/2023 17:30</t>
  </si>
  <si>
    <t>00486292</t>
  </si>
  <si>
    <t>AAS - Sumarización manual</t>
  </si>
  <si>
    <t>Se realiza sumarización manual en la fecha solicitada</t>
  </si>
  <si>
    <t>07/24/2023 08:48</t>
  </si>
  <si>
    <t>07/20/2023 12:56</t>
  </si>
  <si>
    <t>Carolina Morales Astorga</t>
  </si>
  <si>
    <t>00486294</t>
  </si>
  <si>
    <t>CNN - Problema JRuta con polígono</t>
  </si>
  <si>
    <t>Se revisa sin encontrar posibles problemas. Finalmente el cliente detecta que el error fue al momento de generar el polígono. Lo generaron de nuevo correctamente y funciona todo ok.</t>
  </si>
  <si>
    <t>07/24/2023 06:53</t>
  </si>
  <si>
    <t>07/24/2023 08:50</t>
  </si>
  <si>
    <t>Luis</t>
  </si>
  <si>
    <t>00486302</t>
  </si>
  <si>
    <t>AAS - Problemas con envío automático de reporte flash</t>
  </si>
  <si>
    <t>Se detecta que el servicio MySQLServerAgent estaba detenido por lo que se vuelve a iniciar y se le cambia la hora de envío al reporte de las 08:15 a las 10:30 con esto se envía correctamente el informe. (Se vuelve a dejar configurado a las 08:15)</t>
  </si>
  <si>
    <t>07/24/2023 07:38</t>
  </si>
  <si>
    <t>07/24/2023 12:56</t>
  </si>
  <si>
    <t>00486316</t>
  </si>
  <si>
    <t>AMZAL - Pala con problemas de GPS</t>
  </si>
  <si>
    <t>Se revisa la conexión con satélites y estado de los GPS, ambos se encuentran en óptimas condiciones por lo que se concluye el apoyo remoto. Adicionalmente se analizan informes de tormentas solares y se informa al contacto.</t>
  </si>
  <si>
    <t>07/24/2023 09:20</t>
  </si>
  <si>
    <t>07/24/2023 11:30</t>
  </si>
  <si>
    <t>00486470</t>
  </si>
  <si>
    <t>CNN - Sumarización manual</t>
  </si>
  <si>
    <t>Se realiza sumarización manual como lo solicitaron.</t>
  </si>
  <si>
    <t>07/25/2023 08:26</t>
  </si>
  <si>
    <t>07/25/2023 09:20</t>
  </si>
  <si>
    <t>00486501</t>
  </si>
  <si>
    <t>AMCEN - Problema configuración VIMS</t>
  </si>
  <si>
    <t>Se detectó que internamente se realizaron trabajos de prueba en un camión por lo que se desactivó/eliminó la configuración general VIMS para todos los dispositivos de la mina. Se investigó cual era la misma y se aplicó nuevamente, esto normalizando la situación.</t>
  </si>
  <si>
    <t>07/25/2023 10:00</t>
  </si>
  <si>
    <t>07/25/2023 12:00</t>
  </si>
  <si>
    <t xml:space="preserve">Alberto </t>
  </si>
  <si>
    <t>00486589</t>
  </si>
  <si>
    <t>MLCC - Pala 201 no aparece en el sjmina</t>
  </si>
  <si>
    <t>Se revisa el equipo, encontrando que se modifico su tipo de equipo, se regulariza el cambio, mostrando nuevamente su ubicación en el mapa</t>
  </si>
  <si>
    <t>07/26/2023 08:00</t>
  </si>
  <si>
    <t>07/26/2023 10:25</t>
  </si>
  <si>
    <t>00486600</t>
  </si>
  <si>
    <t>AMZAL - Actualización horómetros carguío -EEAA</t>
  </si>
  <si>
    <t>En primera instancia, se revisa el trigger el cual esta configurado correctamente, se le solicita al cliente activar una opcion para que coordine la hora de envio con la del servidor, funciona, pero en vez de quedar el envio para las 7:15, queda para las 6:15, por lo que se le indica a Mario que mejor borren ese trigger, y lo creen nuevamente, quedando funcional, pero ahora se dan cuenta que los archivos estan siendo generados, con un decimal adicional en uno de sus campos, se modifica el script para que solo se muestren 2 decimales, se envia la correccion y fotos por correo a Mario.</t>
  </si>
  <si>
    <t>07/26/2023 12:50</t>
  </si>
  <si>
    <t>07/27/2023 15:29</t>
  </si>
  <si>
    <t>00486616</t>
  </si>
  <si>
    <t>Monitoreo - CNDMH - Procesos SQL</t>
  </si>
  <si>
    <t>Se eliminan los procesos encolados, se reinicia la conexion y se monitorea que siga trabajando como corresponde, no se vuelven a encolar los procesos.</t>
  </si>
  <si>
    <t>07/26/2023 12:31</t>
  </si>
  <si>
    <t>07/26/2023 13:10</t>
  </si>
  <si>
    <t>00486630</t>
  </si>
  <si>
    <t>Se realiza el cambio solicitado por Miguel</t>
  </si>
  <si>
    <t>07/26/2023 13:22</t>
  </si>
  <si>
    <t>07/26/2023 13:42</t>
  </si>
  <si>
    <t>00486639</t>
  </si>
  <si>
    <t>Monitoreo - CNCHQ - reconcilie sin datos</t>
  </si>
  <si>
    <t>El archivo estaba siendo creado en otra ruta, que no coincide con ningún otro cliente, se corrige y ahora muestra los datos correctamente</t>
  </si>
  <si>
    <t>07/26/2023 15:47</t>
  </si>
  <si>
    <t>07/26/2023 16:32</t>
  </si>
  <si>
    <t>00486658</t>
  </si>
  <si>
    <t>AMCEN - Replica pegado</t>
  </si>
  <si>
    <t>Se modifica el cron para activar la replicacion de datos al servidor replica</t>
  </si>
  <si>
    <t>07/26/2023 19:47</t>
  </si>
  <si>
    <t>07/26/2023 20:08</t>
  </si>
  <si>
    <t>00486681</t>
  </si>
  <si>
    <t>El problema se origino porque el sql server agent no estaba iniciado, se levanta y vuelve a funcionar correctamente</t>
  </si>
  <si>
    <t>07/27/2023 08:11</t>
  </si>
  <si>
    <t>07/27/2023 08:35</t>
  </si>
  <si>
    <t>00486682</t>
  </si>
  <si>
    <t>Monitoreo - AMANT - Consultas pegadas</t>
  </si>
  <si>
    <t>Se eliminan los procesos pegados, se monitorea y revisa que no vuelvan a encolarse</t>
  </si>
  <si>
    <t>07/27/2023 08:25</t>
  </si>
  <si>
    <t>07/27/2023 08:54</t>
  </si>
  <si>
    <t>00486691</t>
  </si>
  <si>
    <t>AMZAL - Reportes no se estan enviando</t>
  </si>
  <si>
    <t>Se revisan las suscripciones, se les modifican las horas de envio, y estas vuelven a funcionar</t>
  </si>
  <si>
    <t>07/27/2023 10:07</t>
  </si>
  <si>
    <t>07/27/2023 10:53</t>
  </si>
  <si>
    <t>00486716</t>
  </si>
  <si>
    <t>AMANT - D04 No levanta el JAMS</t>
  </si>
  <si>
    <t>Se revisa el log del equipo el cual nos arroja un error con la tabla topography , se corrige y se ve todo bien , pero aun no levanta, en terreno Rodrigo se da cuenta que al llegar otra perforadora al mismo sector, esta presenta el mismo problema por lo que se deduce que hay un problema de cobertura o de interferencia en el sector.</t>
  </si>
  <si>
    <t>07/27/2023 12:24</t>
  </si>
  <si>
    <t>07/27/2023 13:12</t>
  </si>
  <si>
    <t>00486729</t>
  </si>
  <si>
    <t>CNDMH - Job integration Master</t>
  </si>
  <si>
    <t>Se revisa el job, este tenia 2 problemas, el primero es que al momento de hacer la consulta, estaba trayendo datos repetidos de un camion, el segundo es que tarda mas ed 5 minutos en ejecutarse , se reprograma para que sea cada 15 y se le indica a Paola que revise el camion puesto que es solo un equipo que tiene datos duplicados</t>
  </si>
  <si>
    <t>07/27/2023 11:24</t>
  </si>
  <si>
    <t>07/27/2023 17:02</t>
  </si>
  <si>
    <t>Paola Ledezma</t>
  </si>
  <si>
    <t>00486739</t>
  </si>
  <si>
    <t>TECKQB - QB - Mine Enterprise sin datos</t>
  </si>
  <si>
    <t>Se reiniciaron los servicios de Hxgn y Sharperlight, posteriormente se reinicia el servidor SMDATA , se monitorea y se recuperan las conexiones</t>
  </si>
  <si>
    <t>07/27/2023 16:23</t>
  </si>
  <si>
    <t>07/27/2023 16:53</t>
  </si>
  <si>
    <t>Ricardo</t>
  </si>
  <si>
    <t>00486784</t>
  </si>
  <si>
    <t>AMCEN - CAMION 40 TIENE PROBLEMAS DE GPS</t>
  </si>
  <si>
    <t>Se detecta que el problema era de hardware, se llama a Hugo para que lo vean en terreno</t>
  </si>
  <si>
    <t>7/28/2023 1:03 AM</t>
  </si>
  <si>
    <t>7/30/2023 1:41 AM</t>
  </si>
  <si>
    <t>00486785</t>
  </si>
  <si>
    <t>AMANT - PERFORADORA D03 SE REINICIA</t>
  </si>
  <si>
    <t>El problema se produjo porque el operador no estaba finalizando los pozos , dejando pegado el equipo.</t>
  </si>
  <si>
    <t>07/28/2023 09:00</t>
  </si>
  <si>
    <t>07/28/2023 09:56</t>
  </si>
  <si>
    <t>Angelo Hexagon</t>
  </si>
  <si>
    <t>07/28/2023 08:15</t>
  </si>
  <si>
    <t>00486786</t>
  </si>
  <si>
    <t>AMZAL - NO SE PUEDE INGRESAR AL APP MINEOPERATE</t>
  </si>
  <si>
    <t>SE MATAN LO SPROCESOS QUE OCACIONAN LOS PROBLEMAS Y SE RESTABLECEN LOS SERVICIOS Y PROCESOS DEL SERVIDOR PRIMARIO. SE REALIZAN PRUEBAS DE FUNCIONAMIENTO DEL APP LOS CUALES SE EJECUTAN SIN INCONVENIENTES. SE SOLICITA AL CLIENTE REVISAR QUIEN COMENTA QUE TODO ESTA EN ORDEN. SE ADJUNTAN IMAGENES DE LAS REVISIONES REALIZADAS.</t>
  </si>
  <si>
    <t>7/28/2023 1:19 AM</t>
  </si>
  <si>
    <t>7/28/2023 1:27 AM</t>
  </si>
  <si>
    <t>Miguel caceres</t>
  </si>
  <si>
    <t>00486787</t>
  </si>
  <si>
    <t>MLCC - NO SE CARGA HAZARD</t>
  </si>
  <si>
    <t>SE REALIZA REVISIÓN EN SERVIDOR Y SE ENCUENTRA PROCESO DE IMPORTADOR ENCOLADO, LO QUE OCACIONA EL PROBLEMA, SE PROCEDE A MATAR DICHO PROCESO PARA LUEGO EJECUTAR DE MANERA MANUAL EL SCRIP DEL IMPORTADOR PARA TERMINAR CON LA CARGA DEL ARCHIVO.</t>
  </si>
  <si>
    <t>7/28/2023 1:30 AM</t>
  </si>
  <si>
    <t>7/28/2023 1:44 AM</t>
  </si>
  <si>
    <t>Karim Campos</t>
  </si>
  <si>
    <t>00486797</t>
  </si>
  <si>
    <t>AMANT - Bulls y Perfos sin VNC</t>
  </si>
  <si>
    <t>El problema se genero porque habían muchos dibujos en el servidor, estos se eliminan, corrigiendo el problema</t>
  </si>
  <si>
    <t>07/28/2023 09:45</t>
  </si>
  <si>
    <t>07/28/2023 11:20</t>
  </si>
  <si>
    <t>00486799</t>
  </si>
  <si>
    <t>CNDMH - Bull 408</t>
  </si>
  <si>
    <t>Se revisa el equipo, pero este no tenia comunicacion con su core, se les indica al personal de terreno que vean las conexiones del bull</t>
  </si>
  <si>
    <t>07/28/2023 11:30</t>
  </si>
  <si>
    <t>07/28/2023 11:46</t>
  </si>
  <si>
    <t>Jordan Hexagon</t>
  </si>
  <si>
    <t>00486816</t>
  </si>
  <si>
    <t>CNDMH - Mine Enterprise</t>
  </si>
  <si>
    <t>Se reinician los servicios recuperando la conexion</t>
  </si>
  <si>
    <t>07/28/2023 12:05</t>
  </si>
  <si>
    <t>07/28/2023 12:55</t>
  </si>
  <si>
    <t>00486823</t>
  </si>
  <si>
    <t>Monitoreo - MAGSA - Procesos sql</t>
  </si>
  <si>
    <t>Se eliminan los procesos pegados , y se monitorea para ver que todo siga funcionando correctamente.</t>
  </si>
  <si>
    <t>07/28/2023 13:15</t>
  </si>
  <si>
    <t>07/28/2023 14:00</t>
  </si>
  <si>
    <t>00486832</t>
  </si>
  <si>
    <t>Monitoreo - MLCC - Sin acceso al servidor</t>
  </si>
  <si>
    <t>Daniel nos indica que tienen problemas con el proveedor de internet que en este caso seria Entel, se estará monitoreando cuando vuelva la conexión
Vuelve correctamente , se hace un monitoreo al servidor estando todo ok</t>
  </si>
  <si>
    <t>07/28/2023 13:45</t>
  </si>
  <si>
    <t>07/28/2023 16:00</t>
  </si>
  <si>
    <t>00486836</t>
  </si>
  <si>
    <t>AMANT - Puntos borrados</t>
  </si>
  <si>
    <t>Se solicita mayor información al cliente e informa que todo está en orden por lo que se da por cerrado el ticket</t>
  </si>
  <si>
    <t>07/28/2023 15:45</t>
  </si>
  <si>
    <t>7/30/2023 1:46 AM</t>
  </si>
  <si>
    <t>07/28/2023 20:00</t>
  </si>
  <si>
    <t>00486854</t>
  </si>
  <si>
    <t>AMCEN - CAMION 08 y 48 TIENEN PROBLEMAS DE GPS</t>
  </si>
  <si>
    <t>SE REVISAN LOS CAMIONES COMENTADOS POR EL CLIENTE, PERO NO HAY PROBLEMAS, EL EQUIPO C08 SE MUESTRA EN TODO MOMENTO EN EL MAPA DEL SISTEMA. EL C48 SE VISUALIZA FUERA DE SERVICIO POR LO QUE SE REVISRA CON DESPACHO.</t>
  </si>
  <si>
    <t>7/29/2023 8:38 PM</t>
  </si>
  <si>
    <t>7/29/2023 12:53 AM</t>
  </si>
  <si>
    <t>LUIS RIOS</t>
  </si>
  <si>
    <t>00486863</t>
  </si>
  <si>
    <t>SIN ACCESO A MINEOPERATE</t>
  </si>
  <si>
    <t>SE REALIZA MONITOREO A LAS 23:45 Y SE ENCUENTRA CON EL SERVIDOR PRIMARIO SIN ACCESO A INTERNET LO QUE POROVOCA CAIDA DEL JAMS Y EL ACCESO AL APLICATIVO MINEOEPRATE, LUEGO DE UNOS MINUTOS SE RESTABLECE LA CONEXIÓN A INTERNET Y LEVANTAN TODOS LOS SERVICIOS DEL SERVIDOR. SE LLAMA A DESPACHO PARA QUE PUEDAN REALIZAR PRUEBAS LAS CUALES NO PRESENTAN PROBLEMAS. SE ADJUNTAN IMAGENES DE LAS REVISIONES</t>
  </si>
  <si>
    <t>7/29/2023 12:33 AM</t>
  </si>
  <si>
    <t>7/29/2023 12:51 AM</t>
  </si>
  <si>
    <t>Pedro Herrera</t>
  </si>
  <si>
    <t>00486867</t>
  </si>
  <si>
    <t>Se realizan los cambios solicitados por Mario</t>
  </si>
  <si>
    <t>07/29/2023 08:05</t>
  </si>
  <si>
    <t>07/29/2023 09:45</t>
  </si>
  <si>
    <t>00486870</t>
  </si>
  <si>
    <t>MLCC - P202 con comunicación intermitente</t>
  </si>
  <si>
    <t>Se reinicia el equipo, recuperando asi la comunicacion</t>
  </si>
  <si>
    <t>07/29/2023 10:56</t>
  </si>
  <si>
    <t>07/29/2023 11:23</t>
  </si>
  <si>
    <t>00486874</t>
  </si>
  <si>
    <t>Monitoreo - MLCC - Sumarizador encolado</t>
  </si>
  <si>
    <t>Se elimina la sumarizacion encolada, se monitorea para que siga trabajando de forma normal</t>
  </si>
  <si>
    <t>07/29/2023 12:10</t>
  </si>
  <si>
    <t>07/29/2023 12:50</t>
  </si>
  <si>
    <t>00486881</t>
  </si>
  <si>
    <t>AMZAL - T13 problemas con GPS</t>
  </si>
  <si>
    <t>El equipo no  tenia conexion con su pantalla, se le hace ping desde el core pero no hay respuesta</t>
  </si>
  <si>
    <t>07/29/2023 19:40</t>
  </si>
  <si>
    <t>07/29/2023 19:56</t>
  </si>
  <si>
    <t>Victor despacho</t>
  </si>
  <si>
    <t>00486888</t>
  </si>
  <si>
    <t>Monitoreo - DMH - Problemas de ejecución de replica</t>
  </si>
  <si>
    <t>Se matan los procesos pegados para permitir la ejecución del servicio, queda operativo</t>
  </si>
  <si>
    <t>7/30/2023 1:54 AM</t>
  </si>
  <si>
    <t>7/30/2023 1:55 AM</t>
  </si>
  <si>
    <t>00486893</t>
  </si>
  <si>
    <t>Se realizan los cambios solicitados por Mario, cargando archivos desde el dia 09-07-2023 a la fecha</t>
  </si>
  <si>
    <t>07/30/2023 08:47</t>
  </si>
  <si>
    <t>07/30/2023 09:56</t>
  </si>
  <si>
    <t>00486908</t>
  </si>
  <si>
    <t>AMZAL - modelo bloques banco 3125</t>
  </si>
  <si>
    <t>Los bloques habian sido borrados por la gente de geologia quines estaban intentando cargarlos nuevamente, Armando finalmente recupera los bloques borrados</t>
  </si>
  <si>
    <t>07/30/2023 16:19</t>
  </si>
  <si>
    <t>07/30/2023 16:50</t>
  </si>
  <si>
    <t>00486911</t>
  </si>
  <si>
    <t>Se vuelven a realizar las modificaciones solicitadas por Mario, esta vez nos pidio eliminar 2 equipos.</t>
  </si>
  <si>
    <t>07/30/2023 16:05</t>
  </si>
  <si>
    <t>07/30/2023 17:40</t>
  </si>
  <si>
    <t>00486914</t>
  </si>
  <si>
    <t>AMZAL - GPS pala 02</t>
  </si>
  <si>
    <t>Se reinicia el core y la pantalla del equipo, recuperando asi el GPS</t>
  </si>
  <si>
    <t>07/30/2023 17:57</t>
  </si>
  <si>
    <t>07/30/2023 18:15</t>
  </si>
  <si>
    <t>00486926</t>
  </si>
  <si>
    <t>Se elimina un sumarizador pegado , liberando los demas</t>
  </si>
  <si>
    <t>07/30/2023 18:25</t>
  </si>
  <si>
    <t>07/30/2023 18:45</t>
  </si>
  <si>
    <t>00486949</t>
  </si>
  <si>
    <t>MLCC - Sumarizar descargas sumarias mes de julio 2023</t>
  </si>
  <si>
    <t>Se realiza sumarización de todo el mes de julio según indicaciones en correo adjunto, una vez finalizado el proceso se reactiva el servicio del crontab</t>
  </si>
  <si>
    <t>7/30/2023 9:23 PM</t>
  </si>
  <si>
    <t>7/30/2023 9:43 PM</t>
  </si>
  <si>
    <t>Alejandro Larenas</t>
  </si>
  <si>
    <t>00486950</t>
  </si>
  <si>
    <t>AMCEN - Problemas con la visualización de reportes</t>
  </si>
  <si>
    <t>Revisión de los logs del servidor muestran un reinicio lo que provoco perdida de conexión con el servicio de reportes, una vez restablecido el sistema operativo se inician los servicios de sql de manera manual para recuperar acceso a los reportes, se adjuntan imágenes de lo revisado y realizado. Cliente me informa que los servicios ya están con acceso por los usuarios de la mina.</t>
  </si>
  <si>
    <t>7/30/2023 9:28 PM</t>
  </si>
  <si>
    <t>7/30/2023 9:51 PM</t>
  </si>
  <si>
    <t>00486951</t>
  </si>
  <si>
    <t>Monitoreo - AMZAL - Monitoreo servidor primario</t>
  </si>
  <si>
    <t>Se realiza monitoreo al servidor primario durante turno de noche, se adjuntan imágenes de lo realizado</t>
  </si>
  <si>
    <t>7/30/2023 9:34 PM</t>
  </si>
  <si>
    <t>7/31/2023 4:12 AM</t>
  </si>
  <si>
    <t>00486986</t>
  </si>
  <si>
    <t>AMCEN - Lentitud del aplicativo mineoperate</t>
  </si>
  <si>
    <t>Consultas postgres pegadas generan alto consumo de la cpu, se procede a limpiar los registros con mucho tiempo y sobre consumo de recursos para mejorar la performance del servidor. Se solicita a usuario revisar y validar.</t>
  </si>
  <si>
    <t>7/31/2023 3:28 AM</t>
  </si>
  <si>
    <t>7/31/2023 4:15 AM</t>
  </si>
  <si>
    <t>00486991</t>
  </si>
  <si>
    <t>Mantoverde - Lentitud en mineops</t>
  </si>
  <si>
    <t>07/31/2023 08:23</t>
  </si>
  <si>
    <t>07/31/2023 13:05</t>
  </si>
  <si>
    <t>00487004</t>
  </si>
  <si>
    <t>AMZAL - Sumarizacion 1 al 27 de Julio</t>
  </si>
  <si>
    <t>07/31/2023 10:44</t>
  </si>
  <si>
    <t>07/31/2023 11:20</t>
  </si>
  <si>
    <t>00487025</t>
  </si>
  <si>
    <t>Se eliminan procesos de sumarizacion antiguos que estaban ocupando recursos del servidor, ademas de reiniciar la conexion de la BD, y los servicios de sql, se monitorea puesto que se encola cada x horas</t>
  </si>
  <si>
    <t>07/31/2023 12:28</t>
  </si>
  <si>
    <t>07/31/2023 13:47</t>
  </si>
  <si>
    <t>00487030</t>
  </si>
  <si>
    <t>CNN - Caida de JAMSRouter</t>
  </si>
  <si>
    <t>07/31/2023 12:10</t>
  </si>
  <si>
    <t>07/31/2023 12:40</t>
  </si>
  <si>
    <t>00487035</t>
  </si>
  <si>
    <t>Estimado Claudio:
Según lo conversado, favor realizar sumarización desde el día 15 al 30 de julio.
Agradeciendo tu apoyo.
Saludos</t>
  </si>
  <si>
    <t>07/31/2023 14:13</t>
  </si>
  <si>
    <t>07/31/2023 14:42</t>
  </si>
  <si>
    <t>Carolina</t>
  </si>
  <si>
    <t>00487066</t>
  </si>
  <si>
    <t>07/31/2023 17:51</t>
  </si>
  <si>
    <t>07/31/2023 18:02</t>
  </si>
  <si>
    <t>00487067</t>
  </si>
  <si>
    <t>CNN - Sumarizar mes de Julio</t>
  </si>
  <si>
    <t>07/31/2023 17:49</t>
  </si>
  <si>
    <t>07/31/2023 18:20</t>
  </si>
  <si>
    <t>00487072</t>
  </si>
  <si>
    <t>Sumarizar descargas sumarias desde 12 al 17 de julio</t>
  </si>
  <si>
    <t>7/31/2023 6:35 PM</t>
  </si>
  <si>
    <t>7/31/2023 8:16 PM</t>
  </si>
  <si>
    <t>AMZAL - pantalla D16</t>
  </si>
  <si>
    <t>1. Se revisa el equipo, pero este se encontraba apagado.
2. A las 23:00 se realiza revisión del equipo d16 el cual se encuentra operativo y con comunicación al servidor, se llama al cliente para tener más información y este comenta que realizaron movimientos de carros de red para darle comunicación al equipo de campo, dado que se encontraba en un lugar muy encajonado. Se da por cerrado el ticket.</t>
  </si>
  <si>
    <t>07/31/2023 18:21</t>
  </si>
  <si>
    <t>7/31/2023 8:14 PM</t>
  </si>
  <si>
    <t>Victor SIM</t>
  </si>
  <si>
    <t>07/31/2023 19:40</t>
  </si>
  <si>
    <t>00487111</t>
  </si>
  <si>
    <t>Monitoreo - MLCC - Caída de conexión vpn</t>
  </si>
  <si>
    <t>Conexión a servidor se mantiene estable, pero hay lentitud en la red del servidor de BD oficial, se informará en cambio de turno para que puedan ponerse en contacto con la mina e informar.</t>
  </si>
  <si>
    <t>8/1/2023 1:44 AM</t>
  </si>
  <si>
    <t>8/1/2023 3:09 AM</t>
  </si>
  <si>
    <t>00487113</t>
  </si>
  <si>
    <t>AMZAL - pantalla D10 queda pegada al cargar malla</t>
  </si>
  <si>
    <t>Se revisa el equipo el cual esta trabajando con normalidad, con su malla asignada.</t>
  </si>
  <si>
    <t>08/01/2023 08:00</t>
  </si>
  <si>
    <t>08/01/2023 09:10</t>
  </si>
  <si>
    <t>00487125</t>
  </si>
  <si>
    <t>Monitoreo - MLCC - procesos sql encolados</t>
  </si>
  <si>
    <t>Se modifica el cron para que el run se ejecute cada 12 minutos, esto porque se esta encolando constantemente, se deben estar eliminando los proceso y hacer reinicio a la conexión del sql</t>
  </si>
  <si>
    <t>08/01/2023 08:20</t>
  </si>
  <si>
    <t>08/01/2023 10:35</t>
  </si>
  <si>
    <t>00487139</t>
  </si>
  <si>
    <t>AMZAL - Sumarizacion de Julio</t>
  </si>
  <si>
    <t>08/01/2023 10:38</t>
  </si>
  <si>
    <t>08/01/2023 11:16</t>
  </si>
  <si>
    <t>Camila despacho</t>
  </si>
  <si>
    <t>00487149</t>
  </si>
  <si>
    <t>MLCC - Pala 10</t>
  </si>
  <si>
    <t>Se reinicia la pala recuperando asi su GPS</t>
  </si>
  <si>
    <t>08/01/2023 12:26</t>
  </si>
  <si>
    <t>08/01/2023 12:50</t>
  </si>
  <si>
    <t>00487161</t>
  </si>
  <si>
    <t>MLCC - Sumarizacion mes de Julio</t>
  </si>
  <si>
    <t>08/01/2023 16:06</t>
  </si>
  <si>
    <t>08/01/2023 18:2</t>
  </si>
  <si>
    <t>00487219</t>
  </si>
  <si>
    <t>Factor de carga con error</t>
  </si>
  <si>
    <t>Se realiza la sumarización de lo solicitado, pero problema del factor de carga continúa. Al revisar a nivel de bd la información esta correcta y el problema se presenta en el aplicativo por lo que se revisara por parte de Guillermo Lamas el detalle encontrado. Se envía correo al cliente informando.</t>
  </si>
  <si>
    <t>08/02/2023 12:16 AM</t>
  </si>
  <si>
    <t>Guillermo Lamas</t>
  </si>
  <si>
    <t>00487220</t>
  </si>
  <si>
    <t>Monitoreo - Replica de bd encolado</t>
  </si>
  <si>
    <t>Réplica del sql backup se encola por lo que se matan los procesos del servicio. Se intenta revisar el servidor de bd espejo, pero no hay acceso por lo que deja comentado el script para evitar que el proceso se siga encolando, dado que no se logra revisar el servidor espejo para revisar problemas en el sql. Se adjunta imagen indicando lo realizado.</t>
  </si>
  <si>
    <t>08/02/2023 12:20 AM</t>
  </si>
  <si>
    <t>00487300</t>
  </si>
  <si>
    <t>MAGSA - Perforadora 460</t>
  </si>
  <si>
    <t>la malla cargada estaba con espacios, la regularizò Claudio Ruiz y Despuès se cargò correctamente el mapa en la perforadora 460, todo ok</t>
  </si>
  <si>
    <t>00487531</t>
  </si>
  <si>
    <t>TECKQB - Revisiòn ME</t>
  </si>
  <si>
    <t>ME actualizado, correo enviado</t>
  </si>
  <si>
    <t>00487541</t>
  </si>
  <si>
    <t>MLCC - Daniel Godoy requiere sumarizaciòn de Todo Julio</t>
  </si>
  <si>
    <t>queda ok la sumarizaciòn</t>
  </si>
  <si>
    <t>00487543</t>
  </si>
  <si>
    <t>MLCC - Creaciòn de Usuario Mineops</t>
  </si>
  <si>
    <t>Creaciòn OK jrobledo</t>
  </si>
  <si>
    <t>00487565</t>
  </si>
  <si>
    <t>AMZAL - cambio de clave usuario jview</t>
  </si>
  <si>
    <t>acesso ok, clave enviada a usuario</t>
  </si>
  <si>
    <t>Hector Brito</t>
  </si>
  <si>
    <t>00487622</t>
  </si>
  <si>
    <t>AMANT - Perforadora no visualiza malla de perforación</t>
  </si>
  <si>
    <t>Se vuelve a cargar el importador de la malla correspondiente F05_1528_PREC60.csv</t>
  </si>
  <si>
    <t>08/02/2023 18:39</t>
  </si>
  <si>
    <t>Manuel Ramos Flores</t>
  </si>
  <si>
    <t>00487706</t>
  </si>
  <si>
    <t>me actualizado, correo enviado</t>
  </si>
  <si>
    <t>08/03/2023 15:11</t>
  </si>
  <si>
    <t>00487732</t>
  </si>
  <si>
    <t>AMANT - cambiar distancia de ciclo de camiòn</t>
  </si>
  <si>
    <t>al tratar de cambiar el valor de forma manual en mineops aparecia un error de jams exception, que deriva en una vista, shift_cycle_details_t, al revisar en postgres esta vista se puede revisar que està compuesta por la tabla shift_dumps y shift_hauls, la tabla shift_hauls es la que contiene el valor distancia que en el caso del camiòn c21 estaba con un registro de distancia muy alto, se cambia a 282 por postgress y queda operativo.</t>
  </si>
  <si>
    <t>08/03/2023 17:49</t>
  </si>
  <si>
    <t>Daniel Barboza</t>
  </si>
  <si>
    <t>00487734</t>
  </si>
  <si>
    <t>AMANT - Recargar mallas</t>
  </si>
  <si>
    <t>Se copia el .csv del save a la carpeta anterior nuevamente para que se suba automático.</t>
  </si>
  <si>
    <t>00487752</t>
  </si>
  <si>
    <t>Monitoreo - AMANT - Procesos SQL Server</t>
  </si>
  <si>
    <t>Se matan los procesos antes de que comiencen a fallar servicios.</t>
  </si>
  <si>
    <t>00487756</t>
  </si>
  <si>
    <t>Monitoreo - DMH - Procesos encolados</t>
  </si>
  <si>
    <t>Se matan los procesos para evitar un encolamiento y eventuales fallas en los servicios</t>
  </si>
  <si>
    <t>00487758</t>
  </si>
  <si>
    <t>AMANT - Recargar malla</t>
  </si>
  <si>
    <t>Se copia la malla F05_1512_PREC40 del save a la carpeta Mallas para que se suba nuevamente</t>
  </si>
  <si>
    <t>Ronaldo</t>
  </si>
  <si>
    <t>00487766</t>
  </si>
  <si>
    <t>Monitoreo - AMANT - Proceso encolado sql server</t>
  </si>
  <si>
    <t>aproximadamente a las 7am se estaban quedando encolados los procesos, gustavo Cheng realiza mantenciòn a esos procesos quedan 1 proceso operativo de sql backup y de sql server</t>
  </si>
  <si>
    <t>08/04/2023 08:24</t>
  </si>
  <si>
    <t>00487772</t>
  </si>
  <si>
    <t>08/04/2023 09:08</t>
  </si>
  <si>
    <t>00487789</t>
  </si>
  <si>
    <t>Monitoreo - CNRT - device c-05 mal configurado</t>
  </si>
  <si>
    <t>por monitoreo se detecta que el device_type de C-05 no està bien escrito(gsaw) se cambia y queda operativo</t>
  </si>
  <si>
    <t>08/04/2023 12:11</t>
  </si>
  <si>
    <t>00487798</t>
  </si>
  <si>
    <t>Monitoreo - AAS - Memoria Ram elevada de servidor primario</t>
  </si>
  <si>
    <t>memoria ram ok</t>
  </si>
  <si>
    <t>08/04/2023 13:38</t>
  </si>
  <si>
    <t>00487825</t>
  </si>
  <si>
    <t>Monitoreo - AMANT - perforadora d02 no abre pantalla</t>
  </si>
  <si>
    <t>D02 ya está operativa, ingeniero onsite reinstaló el firmware de gps y quedó ok</t>
  </si>
  <si>
    <t>08/04/2023 19:03</t>
  </si>
  <si>
    <t>00487844</t>
  </si>
  <si>
    <t>MLCC - Recargar Mallas</t>
  </si>
  <si>
    <t>Se vuelven a cargar las mallas</t>
  </si>
  <si>
    <t>00487845</t>
  </si>
  <si>
    <t>AMCEN - Señal GPS C32</t>
  </si>
  <si>
    <t>Se revisa el camión y se determina que si bien no tiene ping perfecto, se ve en JSMina operativo.</t>
  </si>
  <si>
    <t>Tomás Arias</t>
  </si>
  <si>
    <t>00487846</t>
  </si>
  <si>
    <t>AMCEN - Señal PE3</t>
  </si>
  <si>
    <t>Se revisa el estado de los gps del equipo y la conexión de satélites sin encontrar problemas. el equipo se mantiene funcionando bien</t>
  </si>
  <si>
    <t>00487847</t>
  </si>
  <si>
    <t>ACMEN - Señal GPS C22</t>
  </si>
  <si>
    <t>Se revisa el camión y no se encuentran problemas</t>
  </si>
  <si>
    <t>00487849</t>
  </si>
  <si>
    <t>AMCEN - Señal PE10</t>
  </si>
  <si>
    <t>Se revisa el estado de los gps encontrándose en perfecto estado</t>
  </si>
  <si>
    <t>00487852</t>
  </si>
  <si>
    <t>AMCEN - Problema señal PA2</t>
  </si>
  <si>
    <t>La gente de despacho solicitan un apoyo en mejorar la señal de la pala en fase 10. Se le comenta que el estado de los gps es el óptimo, todo el equipo se encuentra operando sin problemas y que probablemente los problemas sean por que están en Fase 10 por lo que no se puede hacer más desde nuestro lado.</t>
  </si>
  <si>
    <t>00487855</t>
  </si>
  <si>
    <t>AMCEN - Señal CAEX 40</t>
  </si>
  <si>
    <t>Se monitorea el equipo con dificultad por problemas de conexión. Finalmente se logra reiniciar el equipo remotamente y levanta VNC. El camión presenta problemas de intermitencias persistentes por lo que se deriva a revisión en terreno.</t>
  </si>
  <si>
    <t>Belen Salgado</t>
  </si>
  <si>
    <t>00487857</t>
  </si>
  <si>
    <t>AMCEN - Señal CAEX 42</t>
  </si>
  <si>
    <t>Se le realiza seguimiento al camión sin encontrar mayores problemas. Lo más probable es que el camión se haya encajonado un momento o haya pasado por una zona de menor señal/conectividad.</t>
  </si>
  <si>
    <t>00487858</t>
  </si>
  <si>
    <t>MLCC - Problemas reportabilidad</t>
  </si>
  <si>
    <t>Se revisan los servicios de MySQL tanto en el servidor Jview como en el servidor principal. Se reinician los servicios en el servidor Jview y se monitorea el comportamiento en el servidor primario.</t>
  </si>
  <si>
    <t>Karim</t>
  </si>
  <si>
    <t>00487871</t>
  </si>
  <si>
    <t>CNRT - Tècnico indica que el c376 no refleja las vueltas segùn despacho no estàn</t>
  </si>
  <si>
    <t>reinicio a bd interna y aparecen las vueltas en descarga sumario, equipo ok</t>
  </si>
  <si>
    <t>08/05/2023 11:44</t>
  </si>
  <si>
    <t>Tecnico RT</t>
  </si>
  <si>
    <t>00487878</t>
  </si>
  <si>
    <t>AAM - Apagado de Servidor</t>
  </si>
  <si>
    <t>los servidores prendieron correctamente despuès de el corte de energia, adjunto correo</t>
  </si>
  <si>
    <t>08/05/2023 15:16</t>
  </si>
  <si>
    <t>00487880</t>
  </si>
  <si>
    <t>AMANT - Revisiòn de D03 y D04</t>
  </si>
  <si>
    <t>perforadoras se encuentran ok en señal gps</t>
  </si>
  <si>
    <t>08/05/2023 17:00</t>
  </si>
  <si>
    <t>00487881</t>
  </si>
  <si>
    <t>TECQB - Revisiòn de ME</t>
  </si>
  <si>
    <t>08/05/2023 17:15</t>
  </si>
  <si>
    <t>00487887</t>
  </si>
  <si>
    <t>Monitoreo - MLCC - Dumping duplicado</t>
  </si>
  <si>
    <t>destinos quedan ok</t>
  </si>
  <si>
    <t>08/05/2023 20:20</t>
  </si>
  <si>
    <t>00487900</t>
  </si>
  <si>
    <t>MLCC - Problemas con reportabilidad</t>
  </si>
  <si>
    <t>reinicio servicio de sql de servidor 10.66.153.59
al realizar un tail -F al jmineops28 ya se puede ver que se realiza correctamente el backup de la bd</t>
  </si>
  <si>
    <t>00487902</t>
  </si>
  <si>
    <t>Se revisa el camión, se resetea la base de datos interna y el equipo normalizando la situación.</t>
  </si>
  <si>
    <t>00487922</t>
  </si>
  <si>
    <t>08/06/2023 05:35</t>
  </si>
  <si>
    <t>00487926</t>
  </si>
  <si>
    <t>Monitioreo - MLCC - no hay enlace</t>
  </si>
  <si>
    <t>por monitoreo se revisa que el enlace a caserones està caido, pregunto a Daniel Godoy por informaciòn pero no responde, a la media hora vuelve la señal y ya se vè operativo</t>
  </si>
  <si>
    <t>08/06/2023 09:40</t>
  </si>
  <si>
    <t>00487927</t>
  </si>
  <si>
    <t>Monitoreo - CNDMH - procesos encolados</t>
  </si>
  <si>
    <t>procesos ok, ya no estàn encolados</t>
  </si>
  <si>
    <t>08/06/2023 11:19</t>
  </si>
  <si>
    <t>00487928</t>
  </si>
  <si>
    <t>CNDMH - jview no actualiza</t>
  </si>
  <si>
    <t>Alvaro indica que reporte cargas por hora no està actualizado,
realizo reinicio de servicio sql server</t>
  </si>
  <si>
    <t>08/06/2023 12:00</t>
  </si>
  <si>
    <t>Alvaro , de Despacho</t>
  </si>
  <si>
    <t>00487955</t>
  </si>
  <si>
    <t>AMANT - no hay acceso a servidor de ME</t>
  </si>
  <si>
    <t>ya hay acceso a portal de ME, acceder a través de 10.16.226.200 (usuario usrcas, clave está en confluence), y ahí entrar al servidor 226.20 y a la url http://localhost:8181/#/sitemap y usuario me test1 y clave test1</t>
  </si>
  <si>
    <t>08/07/2023 19:24</t>
  </si>
  <si>
    <t>00487963</t>
  </si>
  <si>
    <t>TECQB - Revisión de ME</t>
  </si>
  <si>
    <t>Se revisa fecha, esapacio en disco, equipos conectados, alarmas y ultima conexión con equipos. Todo correcto</t>
  </si>
  <si>
    <t>08/06/2023 19:55</t>
  </si>
  <si>
    <t>00487998</t>
  </si>
  <si>
    <t>AMCEN - Señal CF232</t>
  </si>
  <si>
    <t>Es imposible conectarse al camión remotamente por lo que se deriva a revisión en terreno.</t>
  </si>
  <si>
    <t>00488004</t>
  </si>
  <si>
    <t>AMZAL - Señal GPS Perforadora PE15</t>
  </si>
  <si>
    <t>Se revisan el estado de los sensores y antenas gps del equipo ambos encontrándose en buen estado. También se investiga por la presencia de actividad geomagnética la cual se encontrará normal durante la noche.</t>
  </si>
  <si>
    <t>00488005</t>
  </si>
  <si>
    <t>AMCEN - Señal CAEX 38</t>
  </si>
  <si>
    <t>Se monitorea el camión sin encontrar fallas por lo que se queda a disposición de realizar acciones si persisten fallas en el equipo.</t>
  </si>
  <si>
    <t>00488015</t>
  </si>
  <si>
    <t>CNRT - Pala no visualiza polígono</t>
  </si>
  <si>
    <t>Daniel</t>
  </si>
  <si>
    <t>la cota era incorrecta, fué modificada y ahora si se puede visualizar el poligono</t>
  </si>
  <si>
    <t>08/06/2023 14:56</t>
  </si>
  <si>
    <t>00488035</t>
  </si>
  <si>
    <t>MLCC - Problemas de reportabilidad</t>
  </si>
  <si>
    <t>Se reinician los servicios de MySQL en el servidor de base de datos (10.66.153.59)</t>
  </si>
  <si>
    <t>00488048</t>
  </si>
  <si>
    <t xml:space="preserve">	
AMZAL - Revisión y corrección de reporte JView Resumen ejecutivo</t>
  </si>
  <si>
    <t>Se modificaron algunos formatos en columnas de los dataset de transporte y palas</t>
  </si>
  <si>
    <t>08/07/2023 09:51</t>
  </si>
  <si>
    <t>00488051</t>
  </si>
  <si>
    <t>AMZAL - Tablas Correr y entregar por favor.</t>
  </si>
  <si>
    <t>adjunto correo con tablas en archivos csv que pidió Miguel Caceres</t>
  </si>
  <si>
    <t>08/07/2023 09:57</t>
  </si>
  <si>
    <t>00488061</t>
  </si>
  <si>
    <t>TECKQB - Revisión De ME</t>
  </si>
  <si>
    <t>08/07/2023 11:40</t>
  </si>
  <si>
    <t>00488088</t>
  </si>
  <si>
    <t>CNN - Requieren sumarizar Agosto</t>
  </si>
  <si>
    <t>Queda ok la sumarización de Agosto.</t>
  </si>
  <si>
    <t>08/07/2023 15:34</t>
  </si>
  <si>
    <t>00488106</t>
  </si>
  <si>
    <t>AMZAL - revisión de cargas H45</t>
  </si>
  <si>
    <t>en el reconciliador se puede ver un problema con el modulo de action, shovel, default_ready_code que genera error de duplicado, tb se borran las descargas que no tenian asignada una carga por mineops, se sumariza y los reportes se actualizan con las descargas correctas a chancado</t>
  </si>
  <si>
    <t>08/07/2023 18:40</t>
  </si>
  <si>
    <t>Raul Torres</t>
  </si>
  <si>
    <t>00488114</t>
  </si>
  <si>
    <t>AMCEN - Señal GPS C22</t>
  </si>
  <si>
    <t>Se revisa la cobertura de la zona indicada encontrándose justamente que se pierde en ese sector. Se monitorea el camión el cual trabaja sin problemas.</t>
  </si>
  <si>
    <t>00488117</t>
  </si>
  <si>
    <t>AMCEN - Problema hora C135</t>
  </si>
  <si>
    <t>Se reinicia la base de datos del equipo y luego el equipo lo cual normaliza la situación.</t>
  </si>
  <si>
    <t>Ricardo Figueroa</t>
  </si>
  <si>
    <t>00488133</t>
  </si>
  <si>
    <t>CNDMH - Problema camión con vueltas perdidas</t>
  </si>
  <si>
    <t>Se monitorea el camión 370 y se encuentra registrando vuletas de manera normal. Sin embargo, existe un periodo, entre las 21:10:32 y las 22:28:32 en el cuál estaba trabajando y no registró vueltas.
Se le confirma que el reconciliador está trabajando.</t>
  </si>
  <si>
    <t>Alvaro</t>
  </si>
  <si>
    <t>00488148</t>
  </si>
  <si>
    <t>MLCC - Problemas con reportes</t>
  </si>
  <si>
    <t>Se reinician los servicios MySQL del servidor jview</t>
  </si>
  <si>
    <t>00488180</t>
  </si>
  <si>
    <t>08/08/2023 10:44</t>
  </si>
  <si>
    <t>00488229</t>
  </si>
  <si>
    <t>AMANT - ME desactualizado</t>
  </si>
  <si>
    <t>reincio servicio de sharperlight y puedo entrar a ME, luego fuerzo el scheduler y empieza a llegar la informaciòn desde el mpdata</t>
  </si>
  <si>
    <t>08/08/2023 15:09</t>
  </si>
  <si>
    <t>Maria Nuñez</t>
  </si>
  <si>
    <t>00488239</t>
  </si>
  <si>
    <t>CNN - requieren sumarizar Agosto</t>
  </si>
  <si>
    <t>creado correctamente el respaldo de bd</t>
  </si>
  <si>
    <t>08/08/2023 16:22</t>
  </si>
  <si>
    <t>00488240</t>
  </si>
  <si>
    <t>CN MS</t>
  </si>
  <si>
    <t>CNMS - respaldo de bd</t>
  </si>
  <si>
    <t>08/08/2023 16:26</t>
  </si>
  <si>
    <t>00488271</t>
  </si>
  <si>
    <t>MLCC - Sumarización manual</t>
  </si>
  <si>
    <t>Se le comentó a Karim que debe enviar un correo especificando la fecha de inicio y fin de la sumarización. No se ha recibido este correo</t>
  </si>
  <si>
    <t>00488276</t>
  </si>
  <si>
    <t>AMZAL - Reportes automáticos fallan</t>
  </si>
  <si>
    <t>Se revisa en el servidor de reportes las subscripciones y se detecta que el envío del informe cada hora estaba deshabilitado. Respecto al otro informe se le aplica filtro para que solo entregue información de Chancado.</t>
  </si>
  <si>
    <t>00488288</t>
  </si>
  <si>
    <t>Se revisa el servidor JView y se reinician los servicios MySQL.</t>
  </si>
  <si>
    <t>00488289</t>
  </si>
  <si>
    <t>AMANT - Problemas con mallas</t>
  </si>
  <si>
    <t>Se revisa las mallas y son detectadas por todo el aplicativo y también la perforadora trabajando los visualiza bien.</t>
  </si>
  <si>
    <t>Manuel</t>
  </si>
  <si>
    <t>00488292</t>
  </si>
  <si>
    <t>AMANT - Problemas con reportabilidad</t>
  </si>
  <si>
    <t>Se reinician los servicios MySQL y se limpian procesos encolados de sql</t>
  </si>
  <si>
    <t>00488298</t>
  </si>
  <si>
    <t>AMCEN - Señal GPS C19</t>
  </si>
  <si>
    <t>Se revisa el camión y se determina que tiene en mal estado el GPS por lo que se deriva a revisión en terreno.</t>
  </si>
  <si>
    <t>00488304</t>
  </si>
  <si>
    <t>MLCC-Daniel informa que no tiene conexion al servidor SQL</t>
  </si>
  <si>
    <t>Existían Consultas pegada dentro del servidor sql , se eliminan y se reinician los servicios . se llama a Daniel Godoy para informar y preguntar si se actualizaron los datos siendo positiva su respuesta.</t>
  </si>
  <si>
    <t>00488325</t>
  </si>
  <si>
    <t>CNDMH-Paola Ledezma solicita apoyo ya que Equipos CAEX enviados a reserva</t>
  </si>
  <si>
    <t>Equipos de carguio tenían una capacidad de cola de 2 equipos y el total de caex asignados a esa pala eran 13 por lo que mandaba algunos a reserva. se le informa a despacho para aumentar la capacidad de la cola.Durante la tarde no reportaron que persistiera el error.</t>
  </si>
  <si>
    <t>00488380</t>
  </si>
  <si>
    <t>MLCC - Equipos cargados / descargados inicio de turno</t>
  </si>
  <si>
    <t>Llama Masashi solicitando una forma de ver que equipos terminaron cargados y descargados al inicio / fin de un turno</t>
  </si>
  <si>
    <t>00488382</t>
  </si>
  <si>
    <t>CNDMH - Cargador frontal 757 no esta creado</t>
  </si>
  <si>
    <t>Se crea el equipo según lo solicitado, pero queda pendiente su asignación de IP y la creación del setup nuevo</t>
  </si>
  <si>
    <t>Alvaro despacho</t>
  </si>
  <si>
    <t>00488383</t>
  </si>
  <si>
    <t>AMCEN - Solicitud de revision GPS PA3 y C48</t>
  </si>
  <si>
    <t>Se revisan los equipos, se recupero la PA3 y la pantalla del C48, pero este tiene problemas con el GPs y debe ser revisado en físico.</t>
  </si>
  <si>
    <t>00488391</t>
  </si>
  <si>
    <t>CNDMH - GPS perfo 101</t>
  </si>
  <si>
    <t>Se revisa el equipo, el cual tenia problemas con la antena N°2 , se le indica a Alvaro que deben revisarla en terreno, ver sus conexiones y en ultima instancia cambiar la antena.</t>
  </si>
  <si>
    <t>00488475</t>
  </si>
  <si>
    <t>MLCC - reiniciar equipos</t>
  </si>
  <si>
    <t>Se reinician los equipos solicitados por Viviana</t>
  </si>
  <si>
    <t>00488476</t>
  </si>
  <si>
    <t>AMCEN - Solicitud de revision GPS PA1</t>
  </si>
  <si>
    <t>Se revisa el equipo, el cual tenia el GPS trabajando correctamente, pero una conexion deficiente a la red.</t>
  </si>
  <si>
    <t>00488481</t>
  </si>
  <si>
    <t>AMCEN - Solicitud de revision GPS de C56</t>
  </si>
  <si>
    <t>Se revisa el equipo el cual esta en mantención, pero su ubicación es la correcta dentro del mapa.</t>
  </si>
  <si>
    <t>00488482</t>
  </si>
  <si>
    <t>AMCEN - Solicitud de revision GPS de C42</t>
  </si>
  <si>
    <t>Se reinicia el equipo, recuperando asi su GPS</t>
  </si>
  <si>
    <t>00488484</t>
  </si>
  <si>
    <t>AMCEN - Solicitud de revision GPS de C34</t>
  </si>
  <si>
    <t>Se reinicia el equipo y su gps figura bien , pero la ubicacion mostrada es extraña, se le consulta a Juan , pero no hay respuesta.</t>
  </si>
  <si>
    <t>00488485</t>
  </si>
  <si>
    <t>AMCEN - Solicitud de revision GPS de C195</t>
  </si>
  <si>
    <t>00488493</t>
  </si>
  <si>
    <t>AMCEN - Solicitud de revision GPS</t>
  </si>
  <si>
    <t>El C61 esta trabajando sin ningún problema, pero el C152, no tiene conexión, se reinicia el equipo, pero aun así no tenemos llegada con el VNC, se le indica a Juan que se haga una revisión en terreno.</t>
  </si>
  <si>
    <t>00488494</t>
  </si>
  <si>
    <t>AMCEN - Solicitud de revision CF232</t>
  </si>
  <si>
    <t xml:space="preserve">El equipo se encuentra en mantencion </t>
  </si>
  <si>
    <t>00488526</t>
  </si>
  <si>
    <t>AMZAL-Sebastian reporta que le faltan bloques don trabaja la pala 04</t>
  </si>
  <si>
    <t>existían bloques eliminados en los archivos , se reviven y vuelven a aparecer en el sistema.</t>
  </si>
  <si>
    <t>sebastian fernandez</t>
  </si>
  <si>
    <t>00488535</t>
  </si>
  <si>
    <t>Se eliminan los procesos encolados, y se hace constante monitoreo para que estos no se queden pegados.</t>
  </si>
  <si>
    <t>00488541</t>
  </si>
  <si>
    <t>CNRT - Caex 128 problemas de GPs</t>
  </si>
  <si>
    <t>Se reinicia el equipo el cual recupera el gps pero se tarda mas de lo normal, se le comenta a Javier lo ocurrido para que lo tenga en consideración.</t>
  </si>
  <si>
    <t>00488544</t>
  </si>
  <si>
    <t>CNRT - Caex 933 sin comunicacion</t>
  </si>
  <si>
    <t>Se intenta acceder al equipo, pero la comunicacion es muy mala, solo pasan unos segundos antes que nos desconecte por mala calidad de la conexion, se llama a Javier para indicarle que es imposible revisar el equipo de manera remota.</t>
  </si>
  <si>
    <t>00488546</t>
  </si>
  <si>
    <t>AMCEN - Solicitud de revision GPS C34</t>
  </si>
  <si>
    <t>Se revisa el equipo, el cual estaba trabajando con su gps de forma correcta.</t>
  </si>
  <si>
    <t>00488547</t>
  </si>
  <si>
    <t>MLCC - Pala N°1 sin comunicacion</t>
  </si>
  <si>
    <t>Se intenta reiniciar el equipo, pero la comunicacion es muy mala, no logrando entrar y con pings muy irregulares, se llama a Viviana para solicitar que reinicien el equipo de forma manual.</t>
  </si>
  <si>
    <t>00488559</t>
  </si>
  <si>
    <t>AAM-Bajada de servidores por corte de energia programado</t>
  </si>
  <si>
    <t>se bajan los servidores , primero el 2 luego el 1 y se levantan en orden inverso funcionando correctamente</t>
  </si>
  <si>
    <t>Victor vera</t>
  </si>
  <si>
    <t>00488560</t>
  </si>
  <si>
    <t>AMZAL - Segun despachador camion 56 se carga solo</t>
  </si>
  <si>
    <t>se reincia el equipo pantalla , core y se monitorea funcionamiento de los ciclos.</t>
  </si>
  <si>
    <t>Mario mancilla</t>
  </si>
  <si>
    <t>00488563</t>
  </si>
  <si>
    <t>AMCEN - Solicitud de revision GPS C34y GPS de CR3</t>
  </si>
  <si>
    <t>Se revisan ambos equipos, donde el C34 funciona con intermitencia, al igual que el dia de ayer, se le informa a Juan que la situacion persiste donde a ratos el GPS funciona bien y despues se pierde por lo que se recomienda una revision en terreno, por otro lado el CR3 esta trabajando con normalidad, se le pregunta mas informacion por el problema de este equipo, quien queda de averiguar pero no hay una respuesta posterior.</t>
  </si>
  <si>
    <t>00488566</t>
  </si>
  <si>
    <t>CNRT - Perfo 117 pantalla en blanco</t>
  </si>
  <si>
    <t>Se revisa el equipo, pero este estaba apagado puesto que lo reiniciaron de forma manual, cuando se recupera la comunicacion, se monitorea estando todo normal.</t>
  </si>
  <si>
    <t>00488575</t>
  </si>
  <si>
    <t>NDMH-Sistema de monitoreo evidencia procesos de replicación encolados</t>
  </si>
  <si>
    <t>se desactiva la replica y se reinicia el servicio SQL ,se activa la replica el backup pasa sin problemas . vuelve a estar operativo</t>
  </si>
  <si>
    <t>00488576</t>
  </si>
  <si>
    <t>MLCC-Alejandro Larenas , indica que tiene problemas con el Mineops</t>
  </si>
  <si>
    <t>se revisa la salud de servidor , las replicas , importadores y procesos ,finalmente no existe nada irregular, la ruta y bloque creado aparecen en el sistema , lo equipos están en movimiento. se informa despacho vía telefónica. se continua el monitoreo.</t>
  </si>
  <si>
    <t>Alejandro Larenas despacho</t>
  </si>
  <si>
    <t>00488597</t>
  </si>
  <si>
    <t>00488607</t>
  </si>
  <si>
    <t>CNRT - Actualizacion drill_patterns</t>
  </si>
  <si>
    <t>Se le explica a Javier como se actualizan las mallas para que sean visibles para las perforadoras.</t>
  </si>
  <si>
    <t>00488648</t>
  </si>
  <si>
    <t>MLCC - Pala N°210 sin comunicacion</t>
  </si>
  <si>
    <t>Se reinicia el equipo recuperando asi la comunicacion del equoipo</t>
  </si>
  <si>
    <t>00488690</t>
  </si>
  <si>
    <t>AMZAl-Miguel solicita revisar la velocidad de H53 en cierto tramo y hora.</t>
  </si>
  <si>
    <t>se realiza una investigación y en ese momento y lugar en nuestra base de datos no existe un valor mayor a 50 KM/h se verifica en diferentes tablas y en una reproducción en Jmineops. se busca en el reporte y esta sacando los datos de los sensores del camión. se debe verificar el velocímetro.</t>
  </si>
  <si>
    <t>00488720</t>
  </si>
  <si>
    <t>00488729</t>
  </si>
  <si>
    <t>AMCEN - Solicitud de revision PAE y C197</t>
  </si>
  <si>
    <t>Se revisan ambos equipo, los cuales se encuentran trabajando con normalidad, tienen su GPS operativo y pueden ver los equipos sin ningun problema</t>
  </si>
  <si>
    <t>00488749</t>
  </si>
  <si>
    <t>CNRT - Caex 919 sin comunicacion</t>
  </si>
  <si>
    <t>Se revisa el equipo, pero no se logra estableces comunicacion por ningun modo, se le avisa a Javier para que la vean en terreno.</t>
  </si>
  <si>
    <t>00488751</t>
  </si>
  <si>
    <t>CNRT - Caex 935 sin GPS</t>
  </si>
  <si>
    <t>Se reinicia el camion , se monitorea y este sigue funcionando de forma correcta</t>
  </si>
  <si>
    <t>00488754</t>
  </si>
  <si>
    <t>Monitoreo - CNRT - Sumarizador encolado</t>
  </si>
  <si>
    <t>Se elimina un sumarizador encolado desde el dia 5, se sigue revisando que no se vuelva a encolar, trabajando todo como corresponde.</t>
  </si>
  <si>
    <t>00488764</t>
  </si>
  <si>
    <t xml:space="preserve">MAGSA-Eliminación de consultas idle </t>
  </si>
  <si>
    <t>se eliminan consultas idle de mas de 2 dias</t>
  </si>
  <si>
    <t>00488765</t>
  </si>
  <si>
    <t>AAM-Cristian soto informa mal funcionamiento jmineops</t>
  </si>
  <si>
    <t>El problema era la red de la mina la cual estaba con mal funcionamiento</t>
  </si>
  <si>
    <t>Cristian soto</t>
  </si>
  <si>
    <t>00488788</t>
  </si>
  <si>
    <r>
      <t>MLCC-benjamin mixto solicita ayuda para actualizar versión de mineops en un ordenador.</t>
    </r>
    <r>
      <rPr>
        <sz val="11"/>
        <color theme="1"/>
        <rFont val="Inherit"/>
        <charset val="1"/>
      </rPr>
      <t>Edit Subject</t>
    </r>
  </si>
  <si>
    <t>se envía la carpeta clients y el archivo versión a personal para realizar la actualización. se verifica vía telefónica que quedo operativo</t>
  </si>
  <si>
    <t>Benjamin mixto</t>
  </si>
  <si>
    <t>00488802</t>
  </si>
  <si>
    <t>MLCC-alejandro larenas indica que la pala 211 no ve los bloques</t>
  </si>
  <si>
    <t>Se revisa la pala y la cota que indica esta sobre 25 metros de altura del polígono que esta asignado por eso no los puede ver , se avisa a despacho que hablara con personal de geologia.</t>
  </si>
  <si>
    <t>00488822</t>
  </si>
  <si>
    <t>AMCEN - Fwd: GPS PA2</t>
  </si>
  <si>
    <t>El equipo se encuentra con una comunicación deficiente, si no se arregla la situación, seguirá presentando problemas al detectar los demás equipos, presentando perdidas de paquetes y lentitud en el recibimiento de los mismos.</t>
  </si>
  <si>
    <t>00488823</t>
  </si>
  <si>
    <t>AMCEN - Solicitud de revision GPS de C125</t>
  </si>
  <si>
    <t>Se reinicia el equipo, recuperando asi el GPS</t>
  </si>
  <si>
    <t>00488829</t>
  </si>
  <si>
    <t>AMCEN - Solicitud de revision GPS de PE3</t>
  </si>
  <si>
    <t>Se revisa la perfo la cual esta trabajando con su gps ok.</t>
  </si>
  <si>
    <t>00488838</t>
  </si>
  <si>
    <t>AMZAL - Distancia que aparece en reporte KPI Mantención Zaldivar ¿? Consulta....</t>
  </si>
  <si>
    <t>La distancia es un calculo entre la distancia cargado y la distancia vacío que recorrió el equipo, estos datos son obtenidos desde la tabla by_cycle_time.</t>
  </si>
  <si>
    <t>00488841</t>
  </si>
  <si>
    <t>AMCEN - Solicitud de revision GPS de CF231</t>
  </si>
  <si>
    <t>00488854</t>
  </si>
  <si>
    <t>AMCEN - Solicitud de revision GPS de CF2</t>
  </si>
  <si>
    <t xml:space="preserve">00488946
</t>
  </si>
  <si>
    <t>AMZAL - Requieren sumarizar varias fechas</t>
  </si>
  <si>
    <t>queda todo sumarizado</t>
  </si>
  <si>
    <t>00488969</t>
  </si>
  <si>
    <t>Monitoreo - AAS - RAM Elevada</t>
  </si>
  <si>
    <t>RAM regularizada en servidor primario y secundario</t>
  </si>
  <si>
    <t>00488973</t>
  </si>
  <si>
    <t>AMANT - Mineops no abre</t>
  </si>
  <si>
    <t>reviso log y existen algunos de tamaño muy grande, no hay importadores encolados y si habian procesos de sql backup encolados, adjunto evidencia
confirmo con despacho estabilidad de mineops</t>
  </si>
  <si>
    <t>00488974</t>
  </si>
  <si>
    <t>AMCEN - PE1 sin gps</t>
  </si>
  <si>
    <t>calidad de antena gps se encuentra en fixed, actualmente está en averia la perforadora 1</t>
  </si>
  <si>
    <t>00488992</t>
  </si>
  <si>
    <t>reinicié el servicio de sharperlight y pude entrar a me, se realiza prueba con la cuenta test1 de me</t>
  </si>
  <si>
    <t>00489570</t>
  </si>
  <si>
    <t>Monitoreo - CNDMH - Procesos sql encolados</t>
  </si>
  <si>
    <t>Se reinician los servicios SQL, eliminando así los procesos encolados, estos no se siguen encolando y se monitorea para que siga trabajando correctamente.</t>
  </si>
  <si>
    <t>00489592</t>
  </si>
  <si>
    <t>AMZAL - eporte origen destino diario (Excel) ( NO ESTA LLEGANDO DEL VIERNES 18)</t>
  </si>
  <si>
    <t>Se revisa el informe el cual tenia la fecha de hoy (23-08-2023) como ultima ejecución, se hace una prueba con otro envío y se hace correctamente, al  ver que funciona, se le pregunta a Miguel si a todos les habrá llegado el correo, para descartar que es un usuario en especifico quien no lo esta recibiendo, o si fue un caso aislado</t>
  </si>
  <si>
    <t>00489614</t>
  </si>
  <si>
    <t>MLCC - Datos de Hexagon / RITM00000402872</t>
  </si>
  <si>
    <t>Se le cambia el perfil de usuario a despachador, como se solicita en el correo, posteriormente, el señor Hiroaki, confirma que ya esta solucionado.</t>
  </si>
  <si>
    <t>00489655</t>
  </si>
  <si>
    <t>CNRT-Rodrigo valnezuela indica que no puede acceder a PE109</t>
  </si>
  <si>
    <t>debido a la mala comunicación en el área que se encontraba la perforadora tenia mala recepción de señal, una vez termina de posicionarse , se logra entrar al equipo y se reinicia , volviendo operativa.</t>
  </si>
  <si>
    <t>00489657</t>
  </si>
  <si>
    <t>AMCEN-Luis rios solicita asistencia por GPS C36</t>
  </si>
  <si>
    <t>se reinicia el equipo quedando operativo</t>
  </si>
  <si>
    <t>Luis rios</t>
  </si>
  <si>
    <t>00489679</t>
  </si>
  <si>
    <t>MAGSA- monitoreo detecta desconexion con la faena</t>
  </si>
  <si>
    <t>se da aviso a Claudio Ruiz el cual averiguara con personal de faena</t>
  </si>
  <si>
    <t>00489680</t>
  </si>
  <si>
    <t>CDRT-Rodrigo valenzuela indica diferencia en los tonelajes de reportes KPI despacho</t>
  </si>
  <si>
    <t>se sumariza el dia , se reinicia el servicio de sql , se esta revisando si se cambio la logica del reporte</t>
  </si>
  <si>
    <t>00489686</t>
  </si>
  <si>
    <t>AMCEN-Luis rios solicita asistencia por GPS C125</t>
  </si>
  <si>
    <t>00489709</t>
  </si>
  <si>
    <t>MLCC - consulta tiempos de tipo de carga equipos</t>
  </si>
  <si>
    <t>00489714</t>
  </si>
  <si>
    <t>MLCC - Planillas pegadas</t>
  </si>
  <si>
    <t>Se reinicia la conexión al servidor replica, recuperando así la data actualizada</t>
  </si>
  <si>
    <t>00489741</t>
  </si>
  <si>
    <t>AAM-Alerta disco H servidor MCMVEHEXADATOS (10.180.101.248)</t>
  </si>
  <si>
    <t>se realiza un trabajo de reducción de logs y liberación de espacio para el disco</t>
  </si>
  <si>
    <t>Marcelo romero</t>
  </si>
  <si>
    <t>00489772</t>
  </si>
  <si>
    <t>CNDMH - Revisión servicios de servidores 24-08-2023 fin de turno DMH</t>
  </si>
  <si>
    <t>Se revisa el job que tuvo el error, pero este esta trabajando con normalidad, pero al ser un job que se ejecuta cada 3 minutos, es normal que falle porque el proceso anterior no alcanzo a terminar.</t>
  </si>
  <si>
    <t>00489774</t>
  </si>
  <si>
    <t>MLCC - usuario no conecta con mineops</t>
  </si>
  <si>
    <t>Se crea un usuario para revisar unas pruebas, puesto que Benjamin nos indica que el tiene un usuario que si le sirve en su equipo, pero en el PC nuevo donde instalaron mineops, no lo deja, con estas credenciales se intuye que el problema esta en el archivo hosts del equipo, el cual efectivamente no tenia la IP del servidor, se le indica a Benjamin como entrar con la ip del servidor y se conecta de manera inmediata, también se le recomienda que se ponga en contacto con la mesa de ayuda para que le den privilegios de administrador para poder modificar el archivo hosts.</t>
  </si>
  <si>
    <t>Benjamin Caserones</t>
  </si>
  <si>
    <t>00489784</t>
  </si>
  <si>
    <t>AMCEN-Juan Ortuño solicita revisa Jmineop, en alguno pc presento pixelación en las graficar al abrir alguna ventana. Por favor revisar procesos, ram, etc.</t>
  </si>
  <si>
    <t>del servidor se revisan los procesos , replicas , sumarizador , espacios de discos y salud en general no encontrándose ningún problema , también se hizo monitoreo de algunos equipos y no se evidencia el problema mencionado. se le avisa mediante correo a personal de centinela ya que el problema puede asociarse a la red de terreno</t>
  </si>
  <si>
    <t>00489788</t>
  </si>
  <si>
    <t>MLCC-Daniel Godoy solicita asistencia por mal funcionamiento del sistema en la pala 210</t>
  </si>
  <si>
    <t>Se revisa las antenas GPS , funcionamiento del equipo no encontrándose nada extraño , pero si tenia una perdida de paquetes de 34% , según el posicionamiento geográfico la pala se encuentra en el fondo mina encajonada , de igual manera se sugirió revisión de las antenas cableado y conectores de la wifi del equipo.</t>
  </si>
  <si>
    <t>00489801</t>
  </si>
  <si>
    <t>CNDRT-Rodrigo Valenzuela informa que tiene problemas nuevamente con una tronada y su tonelaje.</t>
  </si>
  <si>
    <t>En las cargas de la pala 708 existían una tronada que no tenia asignado un polígono, se le asigna y luego se sumariza para realizar los cambios. la actividad fue supervisada por despacho</t>
  </si>
  <si>
    <t>00489815</t>
  </si>
  <si>
    <t>AMCEN-Luis rios solicita asistencia por GPS C41</t>
  </si>
  <si>
    <t>No hay comunicacion con el equipo. se avisa a personal de terreno para revision</t>
  </si>
  <si>
    <t>00489827</t>
  </si>
  <si>
    <t>AMANT - Mine Enterprise Caído</t>
  </si>
  <si>
    <t>Se reinician los servicios de sharperlight y hxgn, recuperando así la conexión con los equipos de campo</t>
  </si>
  <si>
    <t>Manuel Callao</t>
  </si>
  <si>
    <t>00489849</t>
  </si>
  <si>
    <t>MLCC - Importador no carga</t>
  </si>
  <si>
    <t>Se elimina un importador antiguo que estaba encolando el resto</t>
  </si>
  <si>
    <t>00489850</t>
  </si>
  <si>
    <t>AMZAL - Usuario no puede acceder a mineops</t>
  </si>
  <si>
    <t>Se reinicia su clave</t>
  </si>
  <si>
    <t>00489866</t>
  </si>
  <si>
    <t>MLCC - Pala 10 y 1 envian los camiones a otros destinos</t>
  </si>
  <si>
    <t>Se eliminan los destinos duplicados y se hace el monitoreo respectivo</t>
  </si>
  <si>
    <t>00489873</t>
  </si>
  <si>
    <t>CNRT - Caex 929 sin GPS</t>
  </si>
  <si>
    <t>Claudio Quiroz</t>
  </si>
  <si>
    <t>00489877</t>
  </si>
  <si>
    <t>AMCEN-Luis rios solicita asistencia por GPS C39</t>
  </si>
  <si>
    <t>Se reinicia el equipo quedando operativo.</t>
  </si>
  <si>
    <t xml:space="preserve">Luis Rios </t>
  </si>
  <si>
    <t>00489878</t>
  </si>
  <si>
    <t>AMCEN-Cristian Chiang agregar una cuenta de jview</t>
  </si>
  <si>
    <t>se crea la cuenta y se le asigna el perfil que necesitan</t>
  </si>
  <si>
    <t>00489882</t>
  </si>
  <si>
    <t>AMCEN-Luis rios solicita revision del servidor por lentitud en GIO</t>
  </si>
  <si>
    <t>se revisa el servidor encontradose con buena salud, el problema se asocia a la red deficiente en GIO</t>
  </si>
  <si>
    <t>00489883</t>
  </si>
  <si>
    <t>AMCEN-Luis rios solicita asistencia por GPS C61</t>
  </si>
  <si>
    <t>00489888</t>
  </si>
  <si>
    <t>AMZAL-Victor Rodriguez de sim solicita revisar la PErfo 10 y 11 por falla de comunicación</t>
  </si>
  <si>
    <t>Perforadora 10 estaba en mantención y D11 tenia comunicación pero con un ping demasiado alto.</t>
  </si>
  <si>
    <t>Victor Rodriguez sim</t>
  </si>
  <si>
    <t>00489891</t>
  </si>
  <si>
    <t>AMZAL-Victor Rodriguez de sim solicita revisar el servidor ya que esta pegado el Jmineops</t>
  </si>
  <si>
    <t>los equipos no estaban conectados y el jams tiraba un error , se revisa los importadores y existian demasiados encolados, se eliminan y se reinicia el jamsrouter y vuelven a conectarse los equipos.</t>
  </si>
  <si>
    <t>00489892</t>
  </si>
  <si>
    <t>AMCEN-Luis rios solicita asistencia ya que esta pegado el Jmineops</t>
  </si>
  <si>
    <t>se revisa el el sistema y se encuentra de buena manera , se llama a luis y confirma que en faena el sistema esta funcionando también , despacho que informo el problema se encuentra en el GIO (antofagasta ) por lo que se asume debe ser un problema de red de ellos.</t>
  </si>
  <si>
    <t>luis Rios</t>
  </si>
  <si>
    <t>00489916</t>
  </si>
  <si>
    <t>00489921</t>
  </si>
  <si>
    <t>MLCC - Reinicio de pala N°10</t>
  </si>
  <si>
    <t>Se reinicia el core del equipo, pero este no tiene llegada con la pantalla, se le avisa a Viviana que revisen el cable del equipo en terreno</t>
  </si>
  <si>
    <t xml:space="preserve">Viviana </t>
  </si>
  <si>
    <t>00489928</t>
  </si>
  <si>
    <t>MLCC - RE: Error en planilla de exportación de datyos.</t>
  </si>
  <si>
    <t>00489929</t>
  </si>
  <si>
    <t>AMCEN- Alison solicita revision configuración de asignaciones a petrolera</t>
  </si>
  <si>
    <t>se informa que la faena centinela tiene actualmente 2 petroleras activas y las demás en reserva ademas su capacidad de cola es de 1. si la asignación tuvo problemas en el cambio de turno fue por que las 2 no dieron abasto con la cantidad de camiones enviados.</t>
  </si>
  <si>
    <t>Alison Arriagada</t>
  </si>
  <si>
    <t>00489930</t>
  </si>
  <si>
    <t>mantoVerde</t>
  </si>
  <si>
    <t>AAM-Victor Vera informa que tienen pegado el Jmineops</t>
  </si>
  <si>
    <t>Se revisa la salud del servidor y no se encuentra ningún problema , al entrar a manto verde se ve los equipos moviéndose en el jsmina y JLrutas. se continuara monitoreando.</t>
  </si>
  <si>
    <t>Victor Vera</t>
  </si>
  <si>
    <t>00489932</t>
  </si>
  <si>
    <t>AMZAL-Jan de sim solicita atención para el L12</t>
  </si>
  <si>
    <t>se revisa el equipo no encontrando ningún problema. se avisa a personal de sim telefónicamente</t>
  </si>
  <si>
    <t>JAN de sim</t>
  </si>
  <si>
    <t>00489941</t>
  </si>
  <si>
    <t>AMZAL-Jan de sim solicita atención para el H48</t>
  </si>
  <si>
    <t>Jan de sim</t>
  </si>
  <si>
    <t>00489978</t>
  </si>
  <si>
    <t>MLCC-Alejandro Larenas nos informa que el jview se encuentra demasiado lento e incluso se queda pegado.</t>
  </si>
  <si>
    <t>se reinicia el IIS ,servicios asociados a sql y se eliminan consultas encoladas. el jview ahora trabaja de mejor manera , se confirma vía telefónica con Alejandro Larenas</t>
  </si>
  <si>
    <t xml:space="preserve">Alejando Larenas </t>
  </si>
  <si>
    <t>00489980</t>
  </si>
  <si>
    <t>AMCEN-Luis rios solicita asistencia por GPS C23</t>
  </si>
  <si>
    <t>Gps fisicamente malo , se deriva  a personal de terreno</t>
  </si>
  <si>
    <t>00489981</t>
  </si>
  <si>
    <t>se reincia el equipo y queda operativo.</t>
  </si>
  <si>
    <t>00490026</t>
  </si>
  <si>
    <t>AMCEN-Luis rios solicita asistencia por GPS C135</t>
  </si>
  <si>
    <t>equipo operativo y mosstrando su ubicacion real</t>
  </si>
  <si>
    <t>00490103</t>
  </si>
  <si>
    <t>AM-Cristian soto informa que existe un estado de mantencion que el camión 40 tuvo y no aparece en el modulo de Jmineops.</t>
  </si>
  <si>
    <t>Al revisar los estados si aparecen en el sistema , se avisa a cristian y verificara si fue problema de filtro de fecha o aun faltaba que se replicaran los datos al servidor.</t>
  </si>
  <si>
    <t>00490113</t>
  </si>
  <si>
    <t>AMZAL-Jan de sim solicita atención para D16</t>
  </si>
  <si>
    <t>se reincia el equipo quedando operativo.</t>
  </si>
  <si>
    <t>JAn de Sim</t>
  </si>
  <si>
    <t>00490115</t>
  </si>
  <si>
    <t>AMZAL-Caida de servicios Mineops</t>
  </si>
  <si>
    <t>existían 2procesos del JAMSRouter corriendo y con errores , se corrige y se reinicia queda operativo.</t>
  </si>
  <si>
    <t>00490119</t>
  </si>
  <si>
    <t>AMCEN-Luis rios solicita asistencia por GPS de C46</t>
  </si>
  <si>
    <t>el equipo no tenia conexion remota.se deriva a personal de terreno</t>
  </si>
  <si>
    <t xml:space="preserve">Luis rios </t>
  </si>
  <si>
    <t>00490122</t>
  </si>
  <si>
    <t>MLCC-Daniel Godoy solicita sumarizacion del mes</t>
  </si>
  <si>
    <t>Sumarizacion completada</t>
  </si>
  <si>
    <t xml:space="preserve">Daniel godoy </t>
  </si>
  <si>
    <t>00490144</t>
  </si>
  <si>
    <t>CNDMH - Informe Mine Enterprice Y SMData 29-08-2023</t>
  </si>
  <si>
    <t>Se revisa el Job el cual trabaja correctamente, pero en algunas instancias, no se cierra correctamente, por lo que el siguiente arroja un error , indicando que el proceso ya existe, esto porque el anterior no se termino, posterior a esto, los procesos siguiente se ejecutan de manera correcta</t>
  </si>
  <si>
    <t>00490181</t>
  </si>
  <si>
    <t>Mantoverde - Jview sin datos actualizados</t>
  </si>
  <si>
    <t>Se revisa el sumarizador, el cual estaba encolado, se elimina el proceso y se monitorea para que termine, se hace el ciclo, se revisan los reportes y ya están recibiendo información actualizada</t>
  </si>
  <si>
    <t>00490188</t>
  </si>
  <si>
    <t>00490205</t>
  </si>
  <si>
    <t>DMH-Caida Jview</t>
  </si>
  <si>
    <t>Existía un servicio asociado a sqlserver que estaba congelado. se reinicia y queda operativo.</t>
  </si>
  <si>
    <t>Juan Pineda</t>
  </si>
  <si>
    <t>00490211</t>
  </si>
  <si>
    <t>AMCEN-Reporte KPI camiones sale con una hora de adelanto</t>
  </si>
  <si>
    <t>despachadores desconocen el funcionamiento del reporte el cual esta marcando de buena manera , ya que esta actualizando turno B y A ya esta completo , los campos que se ven cubiertos es deacuerdo al plan.</t>
  </si>
  <si>
    <t>00490215</t>
  </si>
  <si>
    <t>AMCEN-Luis rios solicita asistencia por GPS de PE6 – PE5 – PE50 – PE51 – PE08 – PE01 – PE04</t>
  </si>
  <si>
    <t>se reinicia los equipos quedando operativo</t>
  </si>
  <si>
    <t>00490261</t>
  </si>
  <si>
    <t>AMZAL - Sumarización manual</t>
  </si>
  <si>
    <t>Se realiza la sumarización manual y se deja corriendo por cron</t>
  </si>
  <si>
    <t>00490309</t>
  </si>
  <si>
    <t>AAS - Problemas para ingresar a MineOps aplicación</t>
  </si>
  <si>
    <t>Se le actualiza la contraseña y se verifica que pueda iniciar sesión.</t>
  </si>
  <si>
    <t>00490382</t>
  </si>
  <si>
    <t>AMZAL - Reingreso de camión H31</t>
  </si>
  <si>
    <t>Se revisa en equipment y devices la existencia del equipo, por lo que no se crea desde cero. Se le actualiza el campo updated_at a la fecha de hoy (08/31/2023) y el campo deleted_at a nulo. Se procede a revisar si aún existían keys y certificados asociados al equipo para crearlas si es que no fuese así. Como ya existían solo se asociaron nuevamente al equipo y se volvió a crear el archivo setup para que reconozca el equipo.</t>
  </si>
  <si>
    <t>00490428</t>
  </si>
  <si>
    <t>AAS - Sin autorización para ingresar a JMineOps</t>
  </si>
  <si>
    <t>00490436</t>
  </si>
  <si>
    <t>CNDMH - Camiones se asignan a pala fuera de servicio</t>
  </si>
  <si>
    <t>Se reinicia la base de datos interna de la pala y el pala. Se reinician las bases de datos internas de los camiones que tienen asignada la pala 202 y se monitorea. No se vuelven a asignar a la pala.</t>
  </si>
  <si>
    <t>Oscar (Despacho)</t>
  </si>
  <si>
    <t>00490447</t>
  </si>
  <si>
    <t>AMZAL - Sin acceso a MineOps</t>
  </si>
  <si>
    <t>Se revisan los procesos asociados a JAMS y se encuentran mas de 10 procesos encolados por lo que se procede a ir matándolos hasta que se normaliza la situación.</t>
  </si>
  <si>
    <t>Pablo (Despacho)</t>
  </si>
  <si>
    <t>00490507</t>
  </si>
  <si>
    <t>AMZAL - Mine ops con problemas</t>
  </si>
  <si>
    <t>Se detecta proceso encolado, se matan todas las instancias y se reinicia JAMSRouter lo cual normaliza la situación.</t>
  </si>
  <si>
    <t>Raul</t>
  </si>
  <si>
    <t>00490517</t>
  </si>
  <si>
    <t>MLCC - Importador Diglimit pegado</t>
  </si>
  <si>
    <t>Se había perdido el contenido del crontab por lo que se utilizó el respaldo de febrero del 2023 y pasó sin problemas.</t>
  </si>
  <si>
    <t>Javier</t>
  </si>
  <si>
    <t>00490518</t>
  </si>
  <si>
    <t>CNDMH - Perforadora con problemas</t>
  </si>
  <si>
    <t>Se intenta revisar remotamente la perforadora sin éxito. Es imposible llegar tanto por red como por tunel y SARHm.</t>
  </si>
  <si>
    <t>00490547</t>
  </si>
  <si>
    <t>AMZAL - Recuperación del equipo H35</t>
  </si>
  <si>
    <t>Se actualizan los valores updated_at a la fecha de hoy (01/09/2023) y deleted_at a nulo para que el sistema vuelva a detectar el camión. Como ya existían las llaves y certificados solo se volvieron a asociar al camión con makeclients y writekeys.</t>
  </si>
  <si>
    <t>00490548</t>
  </si>
  <si>
    <t>AMCEN - Sumarización manual</t>
  </si>
  <si>
    <t>Se sumariza con las fechas indicadas (26 Agosto) - 31 Agosto)</t>
  </si>
  <si>
    <t>Victor Rojas</t>
  </si>
  <si>
    <t>00490549</t>
  </si>
  <si>
    <t>Se realiza sumarización en el periodo que solicitaron (28 Agosto - 31 Agosto)</t>
  </si>
  <si>
    <t>00490551</t>
  </si>
  <si>
    <t>CNDMH - Bull con problemas de conexión</t>
  </si>
  <si>
    <t>Se intenta actualizar la versión del bull sin éxito por lo que se presume que se corrompieron algunos archivos. Se le recomienda instalar de nuevo la aplicación lo cual normalizó el equipo.</t>
  </si>
  <si>
    <t>00490635</t>
  </si>
  <si>
    <t>CNDMH - Problemas con reportabilidad Jview</t>
  </si>
  <si>
    <t>Se reinician los servicios de MySQL lo cual regula la situación.</t>
  </si>
  <si>
    <t>00490704</t>
  </si>
  <si>
    <t>AMCEN - Problemas con GPS de camión</t>
  </si>
  <si>
    <t>Se realiza un restart del JAMS para intentar solucionar la recepción de señal del gps del camión, no logrando solución. Problema al parecer es de hardware por lo que se solicitara a personal de terreno la revisión del equipamiento.</t>
  </si>
  <si>
    <t>00490705</t>
  </si>
  <si>
    <t>CAPCNN - Camiones muestran menos vueltas en el jspanel</t>
  </si>
  <si>
    <t>Se revisa la pantalla de camiones las cuales muestran diferencia en la cantidad de vueltas en comparación con las Descargas sumarias y con las kpi de camiones. Ante esto se realiza un reinicio del JAMSRouter del servidor con lo cual las pantallas de los equipos de campo se actualizan y quedan con la misma información que está en mineops.</t>
  </si>
  <si>
    <t>Luis Zantana</t>
  </si>
  <si>
    <t>00490709</t>
  </si>
  <si>
    <t>AMCEN - Problemas con VNC en camión 23</t>
  </si>
  <si>
    <t>En primera revisión equipo c23 no muestra imagen desde aplicativo vnc por lo que se procede a reiniciar el JAMS. Luego del reinicio la funcionalidad del vnc se recupera junto a la comunicación del camión. Se informa al cliente a través de correo para su revisión y posterior respuesta para dar continuidad al requerimiento.</t>
  </si>
  <si>
    <t>Eduardo Romero</t>
  </si>
  <si>
    <t>00490710</t>
  </si>
  <si>
    <t>AMCEN - Problemas de pesometro CAEX 130</t>
  </si>
  <si>
    <t>Se ingresa al mineops para validar la información entregada por el cliente, pero el camión se encuentra en mantenimiento. Se revisan las Descargas sumarias y los KPi del camión y el total de tonelaje concuerda por lo que solo queda por revisar en vivo el camión para visualizar las diferencias que informa el cliente.</t>
  </si>
  <si>
    <t>Abierto</t>
  </si>
  <si>
    <t>00490711</t>
  </si>
  <si>
    <t>MLCC - Sumarizar mes de agosto 2023</t>
  </si>
  <si>
    <t>umarización manual finalizada a las 04:24. Se deja nuevamente por crontab</t>
  </si>
  <si>
    <t>00490733</t>
  </si>
  <si>
    <t>AMCEN - Señal CAEX 46</t>
  </si>
  <si>
    <t>Equipo se encuentra sin comunicación para poder revisar su estado. Se informa vía correo el estado del equipo y se espera tener conexión para poder revisar.</t>
  </si>
  <si>
    <t>00490806</t>
  </si>
  <si>
    <t>AMZAL - Remover destinatario de emails automáticos</t>
  </si>
  <si>
    <t>Se elimina de los destinatarios del reporte correspondiente</t>
  </si>
  <si>
    <t>00490826</t>
  </si>
  <si>
    <t>MLCC - Problemas con reportes excel (59)</t>
  </si>
  <si>
    <t>El problema se debía a las pruebas de consulta que elimina los usuarios que impiden la replicación de datos entre servidores. Se detuvo esta consulta y se pudo obtener el reporte.</t>
  </si>
  <si>
    <t>00490844</t>
  </si>
  <si>
    <t>MLCC - Problema con cargador</t>
  </si>
  <si>
    <t>Se detecta que el VNC del equipo está funcionando pero no entrega información de gps, kpi, mapa. Se reinicia la base de datos interna del equipo. el Core y el equipo y al levantar nuevamente muestra toda información. Con respecto a la diferencia de descargas es normal que haya un tiempo de diferencia en actualizar la vista específica de la pala con la vista del total de cargas.</t>
  </si>
  <si>
    <t>Cristian</t>
  </si>
  <si>
    <t>00490875</t>
  </si>
  <si>
    <t>AMZAL - Problemas Jview</t>
  </si>
  <si>
    <t>Debido a sumarización manual que se realizó quedó comentado el proceso de sumarización automático del crontab. Se descomenta y se recupera la actualización de los datos.</t>
  </si>
  <si>
    <t>Rodrigo</t>
  </si>
  <si>
    <t>00490924</t>
  </si>
  <si>
    <t>AMCEN - Pantalla de perfo 46 pegada</t>
  </si>
  <si>
    <t>Desde despacho se informa vía telefónica de una perfo con su pantalla pegada y sin conexión. Se solicita revisar las conexiones para poder conectar al equipo, luego de un par de horas se establece la conexión y se procede a realizar un borrado de la BD para luego reiniciar. Con esto se logra recuperar la funcionalidad de la pantalla y se da por solucionado el problema.</t>
  </si>
  <si>
    <t>Marco Houster</t>
  </si>
  <si>
    <t>00490937</t>
  </si>
  <si>
    <t>AAM - Nombres de reportes desactualziados</t>
  </si>
  <si>
    <t>Yazmin Sanchez</t>
  </si>
  <si>
    <t>00490963</t>
  </si>
  <si>
    <t>AMANT - Se detectan por monitoreo procesos SQL server encolados</t>
  </si>
  <si>
    <t>Se matan los procesos encolados para evitar un funcionamiento lento del sistema y se reinicia los servicios SQL para evitar que siga ocurriendo la situación.</t>
  </si>
  <si>
    <t>00490970</t>
  </si>
  <si>
    <t>MLCC - Consulta por información de horómetros</t>
  </si>
  <si>
    <t>Se le comenta que esa información está guardada en la tabla Shift_Services</t>
  </si>
  <si>
    <t>00490998</t>
  </si>
  <si>
    <t>Se cambia al factor de carga solicitado y se sumariza el mes completo.</t>
  </si>
  <si>
    <t>00491041</t>
  </si>
  <si>
    <t>00491053</t>
  </si>
  <si>
    <t>QB-MineEnterprise sin alarmas desde el 04/09/2023</t>
  </si>
  <si>
    <t>se reinician los servicios y queda operativo.</t>
  </si>
  <si>
    <t>00491066</t>
  </si>
  <si>
    <t>00491116</t>
  </si>
  <si>
    <t>AAS-Carolina Morales indica que no tiene acceso a Mineops</t>
  </si>
  <si>
    <t>00491170</t>
  </si>
  <si>
    <t>Monitoreo - MLCC - SQL server</t>
  </si>
  <si>
    <t>Se eliminan los procesos sin terminar, se monitorea y confirma que no se sigan encolando.</t>
  </si>
  <si>
    <t>00491177</t>
  </si>
  <si>
    <t>MLCC - Malla no se carga</t>
  </si>
  <si>
    <t>Se revisa el archivo que no se esta cargando y se compara con otra malla que fue cargada el mismo dia al sistema, se detecta inmediatamente una diferencia en el formato, teniendo muchas diferencias las cuales son explicadas en un correo a Viviana ademas de llamarla para explicar la situación , el archivo debe ser corregido y cargado nuevamente para que el sistema lo cargue de manera normal.</t>
  </si>
  <si>
    <t>00491194</t>
  </si>
  <si>
    <t>00491207</t>
  </si>
  <si>
    <t>00491220</t>
  </si>
  <si>
    <t>MLCC-Servidor 10.66.153.59 no actualiza los datos</t>
  </si>
  <si>
    <t>se eliminan todas las sesiones del sqlserver y se libera la replica posteriormente los datos se actualizan</t>
  </si>
  <si>
    <t>00491306</t>
  </si>
  <si>
    <t>00491308</t>
  </si>
  <si>
    <t>MLCC - Reinicio C318</t>
  </si>
  <si>
    <t>Se reinicia el equipo segun lo solicitado</t>
  </si>
  <si>
    <t>00491311</t>
  </si>
  <si>
    <t>Monitoreo - MLCC - SQL encolado</t>
  </si>
  <si>
    <t>Se eliminan los procesos sql , se revisa que no se sigan encolando.</t>
  </si>
  <si>
    <t>00491352</t>
  </si>
  <si>
    <t>MLCC-Bemjamin mixtos reporta lentitud del sistema en despacho a las 6 am y 18 hrs</t>
  </si>
  <si>
    <t>se monitorea el servidor encontrandose de buena manera en el horario indicado</t>
  </si>
  <si>
    <t>benajmin mixtos</t>
  </si>
  <si>
    <t>00491362</t>
  </si>
  <si>
    <t>AMANT-despacho borro una tronada y necesita recuperarla</t>
  </si>
  <si>
    <t>se recupera la tranada por BD y queda operativa nuevamente</t>
  </si>
  <si>
    <t>Angelo Leon</t>
  </si>
  <si>
    <t>00491380</t>
  </si>
  <si>
    <t>00491388</t>
  </si>
  <si>
    <t>AMCEN - Solicitud de revisión PA7</t>
  </si>
  <si>
    <t>Se revisa el equipo, el cual tiene una comunicación intermitente, mucha perdida de datos, se le comenta a Juan que es normal que los datos estén desfasados por la mala comunicación del equipo.</t>
  </si>
  <si>
    <t>00491391</t>
  </si>
  <si>
    <t>CNRT - Sin informacion KPI despacho</t>
  </si>
  <si>
    <t>Ignacio recupera el informe que no se estaba actualizando por una duplicidad en la tabla</t>
  </si>
  <si>
    <t>00491394</t>
  </si>
  <si>
    <t>AMZAL - L13 problemas de GPS</t>
  </si>
  <si>
    <t>Se revisa el equipo, pero este se encuentra inactivo sin asignacion.</t>
  </si>
  <si>
    <t>00491396</t>
  </si>
  <si>
    <t>AMCEN - Solicitud de revision GPS de Pe51</t>
  </si>
  <si>
    <t>Se revisa el equipo, el cual se encontraba trabajando correctamente.</t>
  </si>
  <si>
    <t>00491401</t>
  </si>
  <si>
    <t>AMCEN - Solicitud de revision GPC C12</t>
  </si>
  <si>
    <t>00491402</t>
  </si>
  <si>
    <t>AMANT - Mine Enterprise sin datos actualizados</t>
  </si>
  <si>
    <t>Se inicia la recuperación de los datos</t>
  </si>
  <si>
    <t>00491414</t>
  </si>
  <si>
    <t>AMZAL-Sebastian Cambio de nombre a la restricción de velocidad de 12 a 17 km/hora</t>
  </si>
  <si>
    <t>Se actualiza el nombre de la restricción y queda operativo.</t>
  </si>
  <si>
    <t>Sebastian Geologia Zaldivar</t>
  </si>
  <si>
    <t>00491420</t>
  </si>
  <si>
    <t>DMH-Técnico informa que le fata actualizar 1 hora al Jview</t>
  </si>
  <si>
    <t>se reinicia servicio de sql .queda operativo</t>
  </si>
  <si>
    <t>Alejandro tecnico DMH</t>
  </si>
  <si>
    <t>00491424</t>
  </si>
  <si>
    <t>Monitoreo - CNRT - Disco C servidor CAS</t>
  </si>
  <si>
    <t>Se elimina constantemente el log de Miint para recuperar algo de espacio</t>
  </si>
  <si>
    <t>00491443</t>
  </si>
  <si>
    <t>CNDMH-Rodrigo Valenzuela solicita asistencia para ver si un equipo tiene conexión con ME.</t>
  </si>
  <si>
    <t>se realiza seguimiento del equipo y tiene datos actualziados</t>
  </si>
  <si>
    <t>00491447</t>
  </si>
  <si>
    <t>AMZAL - Perfo 14 reiniciar core</t>
  </si>
  <si>
    <t>Se reinicia el core, pero el GPS funciona de forma intermitente, se le indica a Alexis que es la antena N°1 la que tiene problemas</t>
  </si>
  <si>
    <t>00491452</t>
  </si>
  <si>
    <t>AMCEN - RV: Polígono _Hazard no se actualiza</t>
  </si>
  <si>
    <t>El problema se genero porque estaban tratando de subir 13 archivos al mismo tiempo, estos son retirados, y ejecutados uno por uno, pasando todos de manera correcta</t>
  </si>
  <si>
    <t>00491459</t>
  </si>
  <si>
    <t>MLCC - Reinicio Pala N°10</t>
  </si>
  <si>
    <t>Se reinicia el equipo segun lo solicitado, pero este no tiene conexion con la pantalla, se accede al core y no hay ping, se le comunica a Viviana que deben ir a verla en fisico para revisar el cableado.</t>
  </si>
  <si>
    <t>00491478</t>
  </si>
  <si>
    <t>AMCEN - Solicitud de revision de GPS C10</t>
  </si>
  <si>
    <t>00491482</t>
  </si>
  <si>
    <t>AMCEN - Solicitud de revision de GPS de perforadoras</t>
  </si>
  <si>
    <t>Se revisan los equipos , los cuales ya estan trabajando con su GPS con normalidad.</t>
  </si>
  <si>
    <t>00491483</t>
  </si>
  <si>
    <t>00491512</t>
  </si>
  <si>
    <t>Mantoverde - Revisión de boundaries</t>
  </si>
  <si>
    <t>00491539</t>
  </si>
  <si>
    <t>AMZAL-Victor rodriguez de sim informa D14 problemas de GPS</t>
  </si>
  <si>
    <t>se actualiza GPS , firmware , hardware.y queda operativa.</t>
  </si>
  <si>
    <t>00491540</t>
  </si>
  <si>
    <t>MLCC-Alejandro Larenas informa problemas con el servicio de JVIEW</t>
  </si>
  <si>
    <t>se revisa y se encuentra procesos encolados hacia las replicas de jview y segundo servidor sqlserver que tiene caserones para sacar sus reportes propios , se avisado en reiteradas oportunidades que ese servidor encola la replica oficial de jview y tenemos que estar matando las conexiones para que funciones de buena manera.</t>
  </si>
  <si>
    <t>Alejandro Larenas Caserones</t>
  </si>
  <si>
    <t>00491554</t>
  </si>
  <si>
    <t>Mantoverde - Habilitar opción para visualizar Bulldozer/Wheeldozers en reporductor</t>
  </si>
  <si>
    <t>se habilita la vista de dozer en el reproductor GPS</t>
  </si>
  <si>
    <t>00491559</t>
  </si>
  <si>
    <t>MLCC-jose carvajal de tres60 solicita apoyo con su cuenta de Mineops</t>
  </si>
  <si>
    <t>se actualiza la contraseña de la cuenta quedando operativa.</t>
  </si>
  <si>
    <t>Jose Carvajal tres60</t>
  </si>
  <si>
    <t>00491578</t>
  </si>
  <si>
    <t>MLCC-Daniel Godoy necesita sumarizar el día 3 de septiembre.</t>
  </si>
  <si>
    <t xml:space="preserve">se realiza la sumarizacion </t>
  </si>
  <si>
    <t>00491596</t>
  </si>
  <si>
    <t>DMH-PAola ledezma informa Caída del acceso a ME</t>
  </si>
  <si>
    <t>se reinicia servicio Sharperlight y el vuelve a levantar ME</t>
  </si>
  <si>
    <t>PAola Ledezma</t>
  </si>
  <si>
    <t>00491601</t>
  </si>
  <si>
    <t>AMZAL - Perfo 14 problemas de GPS</t>
  </si>
  <si>
    <t>Se le borra la BD interna al equipo, se reinicia core y pantalla despues de un rato se recupera el GPS , y se mantiene estable mientras es monitoreado.</t>
  </si>
  <si>
    <t>00491609</t>
  </si>
  <si>
    <t>AMCEN - Solicitud de revision GPS PA03</t>
  </si>
  <si>
    <t>Se logra acceder al equipo para reiniciarlo, se recupera el GPS y la pantalla.</t>
  </si>
  <si>
    <t>00491613</t>
  </si>
  <si>
    <t>CNRT - Caex 919</t>
  </si>
  <si>
    <t>Se revisa el equipo, este tenia baja comunicación, pero recibía datos, se reinicia y queda trabajando correctamente.</t>
  </si>
  <si>
    <t>00491614</t>
  </si>
  <si>
    <t>Mantoverde - Sumarizacion Enero 2023</t>
  </si>
  <si>
    <t>Se realiza la sumarizacion solicitada.</t>
  </si>
  <si>
    <t>00491628</t>
  </si>
  <si>
    <t>MLCC - Sumarizacion</t>
  </si>
  <si>
    <t>00491660</t>
  </si>
  <si>
    <t>CAPCNN-Sumarizacion mes de septiembre.</t>
  </si>
  <si>
    <t>sumarizacion realizada , se le avisa al cliente.</t>
  </si>
  <si>
    <t>Juan nuñez</t>
  </si>
  <si>
    <t>00491745</t>
  </si>
  <si>
    <t>Alisson Arriagada solicita apoyo por dibujo Hazzard no aparece en la pala 1 y en el jsmina si aparece.</t>
  </si>
  <si>
    <t>Se va a la configuración del dibujo y se asigna nuevamente al dispositivo shovel , el dibujo vuelve a cargar y aparecer en el vnc</t>
  </si>
  <si>
    <t>Alison arriagada</t>
  </si>
  <si>
    <t>00491770</t>
  </si>
  <si>
    <t>AMCEN - Solicitud de GPS CF232</t>
  </si>
  <si>
    <t>00491771</t>
  </si>
  <si>
    <t>AMCEN - Solicitud de GPS pala 1</t>
  </si>
  <si>
    <t>00491772</t>
  </si>
  <si>
    <t>Mantoverde - Sumarizacion 31 julio a 31 agosto</t>
  </si>
  <si>
    <t>00491778</t>
  </si>
  <si>
    <t>AMCEN - Solicitud de revision de GPS C125</t>
  </si>
  <si>
    <t>Se reinicia el equipo, pero no vuelve el GPS, se revisa el jams del equipo, y figura que el gps esta con problemas, se le indica a Juan que deben revisar las conexiones del equipo en fisico</t>
  </si>
  <si>
    <t>00491798</t>
  </si>
  <si>
    <t>AMCEN - Solicitud de revision de GPS C38</t>
  </si>
  <si>
    <t>Se revisa el equipo, el cual esta trabajando con normalidad.</t>
  </si>
  <si>
    <t>00491807</t>
  </si>
  <si>
    <t>00491938</t>
  </si>
  <si>
    <t>AMCEN - Perforadoras sin señal</t>
  </si>
  <si>
    <t>Se revisan mas de tres perforadoras y se confirma que están trabajando sin problemas y se pueden visualizar en el mapa</t>
  </si>
  <si>
    <t>Valentina</t>
  </si>
  <si>
    <t>00491959</t>
  </si>
  <si>
    <t>AMCEN - Camión con problemas jspanel</t>
  </si>
  <si>
    <t>Se intenta revisar el equipo pero no es posible debido a que no tenemos comunicación con el equipo, por lo cual se deberá revisar en terreno.</t>
  </si>
  <si>
    <t>00491960</t>
  </si>
  <si>
    <t>AMCEN - Cargador frontal con problemas de gps</t>
  </si>
  <si>
    <t>Se reinicia la base de datos interna y el equipo, al levantar nuevamente funciona correctamente</t>
  </si>
  <si>
    <t>00491965</t>
  </si>
  <si>
    <t>AMCEN - Camión con problemas de gps</t>
  </si>
  <si>
    <t>Se revisan los sensores del equipo encontrando el gps en mal estado, se procede a reiniciar la base de datos interna del equipo y el equipo en sí lo cual arregla la situación</t>
  </si>
  <si>
    <t>00491976</t>
  </si>
  <si>
    <t>Monitoreo - MLCC - Procesos encolados</t>
  </si>
  <si>
    <t>Se limpian los procesos y se revisa porqué se está encolando el run2 detectando que en los logs hay una tabla que no avanza, se eliminan el exceso de conexiones a la base de datos y el run pasa sin problemas.</t>
  </si>
  <si>
    <t>00491992</t>
  </si>
  <si>
    <t>MLCC - Petición de matar sesiones de bbdd</t>
  </si>
  <si>
    <t>Se ejecuta la query que elimina las sesiones un total de cuatro veces hasta terminar con todas las sesiones activas.</t>
  </si>
  <si>
    <t xml:space="preserve">Daniel </t>
  </si>
  <si>
    <t>00492063</t>
  </si>
  <si>
    <t>AMCEN - Camión no registra descargas</t>
  </si>
  <si>
    <t>Se le elimina la base de datos interna del equipo y levanta nuevamente para que tome desde cero</t>
  </si>
  <si>
    <t>00492064</t>
  </si>
  <si>
    <t>AAM - Importador n o registra correctamente zonas</t>
  </si>
  <si>
    <t>Pedro Reygada</t>
  </si>
  <si>
    <t>00492082</t>
  </si>
  <si>
    <t>AMCEN - Perforadoras con problemas de señal</t>
  </si>
  <si>
    <t>Se revisan las perforadoras indicadas con problemas sin encontrar errores tanto en la PE3 como la PE10, sin embargo, la PE53 presentaba problemas en su gps por lo que se reinició y normalizó la situación.</t>
  </si>
  <si>
    <t>00492185</t>
  </si>
  <si>
    <t>CNDMH - Pala con problemas de señal</t>
  </si>
  <si>
    <t>Se reinicia el equipo y la base de datos interna. Esto recupera el correcto funcionamiento del equipo</t>
  </si>
  <si>
    <t>Despachador</t>
  </si>
  <si>
    <t>00492188</t>
  </si>
  <si>
    <t>AMANT - Perforadora no visualiza la malla correcta</t>
  </si>
  <si>
    <t>Se revisa el estado del equipo en general viendo todo normal. Se revisan las mallas y tronadas y existen las que necesitan ver, se le seleccionan y queda funcionando.</t>
  </si>
  <si>
    <t>00492190</t>
  </si>
  <si>
    <t>Se estaba encolando el run con el run2 por lo que se eliminan el exceso de conexiones a la base de datos.</t>
  </si>
  <si>
    <t>00492191</t>
  </si>
  <si>
    <t>Se revisan las perforadoras mencionadas y todas están funcionando correctamente. Se le explica que puede verse afectado el funcionamiento de las perforadoras momentáneamente debido a interferencias en la señal wifi o gps.</t>
  </si>
  <si>
    <t>00492224</t>
  </si>
  <si>
    <t>AMCEN - Pala con problemas de señal</t>
  </si>
  <si>
    <t>Se revisan los sensores de la pala y se monitorea el equipo. Durante el monitoreo se determina que la pala puede trabajar, sin embargo, los sensores indican una calidad de los sensores gps = 3 frecuentemente por lo que se deriva a revisión en terreno.</t>
  </si>
  <si>
    <t>00492230</t>
  </si>
  <si>
    <t>AMCEN - Camiones con problemas en sistema</t>
  </si>
  <si>
    <t>Al monitorear el camión 8 se determina que está funcionando bien. Por otro lado el camión 58 está sin conexión por lo que es inaccesible.</t>
  </si>
  <si>
    <t>00492233</t>
  </si>
  <si>
    <t>AMCEN - Perforadora con problemas de señal</t>
  </si>
  <si>
    <t>Se le reinicia la base de datos interna y el equipo mismo mejorando la situación con sus gps</t>
  </si>
  <si>
    <t>00492234</t>
  </si>
  <si>
    <t>AMCEN - Perforadora con problemas de GPS</t>
  </si>
  <si>
    <t>La perforadora contaba con una baja calidad en sus gps por lo que se reinicia, mejorando la situación.</t>
  </si>
  <si>
    <t>00492237</t>
  </si>
  <si>
    <t>AMANT - Perforadora no reconoce malla</t>
  </si>
  <si>
    <t>Se reinició la base de datos interna lo cual no resolvió el problema, leyendo el VNC del equipo se podía leer en el error que detectaba era el archivo estaba vacío por lo que se volvió a cargar el .csv reiniciar la base de datos interna del equipo y el mismo y detectó bien los puntos esta vez.</t>
  </si>
  <si>
    <t>00492273</t>
  </si>
  <si>
    <t>AMCEN - Pala con lentitud en sistema</t>
  </si>
  <si>
    <t>Se reinicia la base de datos interna y el equipo arreglando la situación</t>
  </si>
  <si>
    <t>00492275</t>
  </si>
  <si>
    <t>CNCHQ - Pala no muestra ubicación real</t>
  </si>
  <si>
    <t>Se revisa la pala encontrando que presenta errores de red. Por esta razón se deriva a revisión en terreno.</t>
  </si>
  <si>
    <t>José</t>
  </si>
  <si>
    <t>00492316</t>
  </si>
  <si>
    <t>AMCEN - CF232 no actualiza mapa mina</t>
  </si>
  <si>
    <t>Se reinicia base de datos interna y el equipo sin lograr que el equipo cargue el mapa por lo que se reinicia el jspanel y esto recupera la imagen.</t>
  </si>
  <si>
    <t>00492325</t>
  </si>
  <si>
    <t>AMCEN - Camión C123 pegado en sistema</t>
  </si>
  <si>
    <t>Se reinicia la base de datos del camión y el equipo recuperando su posición en JSMina</t>
  </si>
  <si>
    <t>00492436</t>
  </si>
  <si>
    <t>AMCEN - Perforadora 5 con problemas de señal</t>
  </si>
  <si>
    <t>La perforadora 3 no tiene ping por lo que es inaccesible. Se revisa el estado de las perforadoras y se les realiza un reinicio preventivo para que el funcionamiento no se vea afectado.</t>
  </si>
  <si>
    <t>00492523</t>
  </si>
  <si>
    <t>MLCC - Perforadora con problemas de señal</t>
  </si>
  <si>
    <t>Se revisan los sensores del equipo encontrando que el gps de la antena 1 está defectuoso. Igualmente se revisan las salidas de hpgps antenas y se confirma el mal funcionamiento de esta. Se deriva a revisión en terreno.</t>
  </si>
  <si>
    <t>Miguel</t>
  </si>
  <si>
    <t>00492542</t>
  </si>
  <si>
    <t>AMANT - Problemas con reportabilidad jview</t>
  </si>
  <si>
    <t>Se revisa el informe, el cual estaba funcionando de manera correcta, lo que paso es que despues de Abril, hubo un cambio en el nombre chancado y se comenzo a cambiar por CHAN-ubicación , por lo que el reporte dejo de mostrar resultados, ya que el filtro era por el antes usado termino chancado, se corrige y vuelve a mostra los datos.</t>
  </si>
  <si>
    <t>00492548</t>
  </si>
  <si>
    <t>AAM - Problemas con Jview</t>
  </si>
  <si>
    <t>Se reinician los servicios de SQL y agente SQL y se recupera el reporte</t>
  </si>
  <si>
    <t>00492560</t>
  </si>
  <si>
    <t>AMZAL - Camión H44 con problemas de gps</t>
  </si>
  <si>
    <t>Se revisa el estado del gps, encontrando que tiene comms_error. Se deriva a revisión en terreno.</t>
  </si>
  <si>
    <t>00492563</t>
  </si>
  <si>
    <t>Se realiza sumarización desde el día 12 de septiembre hasta la actualidad.</t>
  </si>
  <si>
    <t>00492567</t>
  </si>
  <si>
    <t>AMCEN - Camión C38 con problemas de señal</t>
  </si>
  <si>
    <t>Se revisan los sensores del equipo y no se encuentra nada erróneo. Se reinicia la base de datos interna y el equipo para mejorar la situación.</t>
  </si>
  <si>
    <t>00492593</t>
  </si>
  <si>
    <t>CNRT - Cambio de clave mineops</t>
  </si>
  <si>
    <t>Se realiza el cambio solicitado</t>
  </si>
  <si>
    <t>00492596</t>
  </si>
  <si>
    <t>Monitoreo - TECKQB - QB - Mine Enterprise sin datos</t>
  </si>
  <si>
    <t>Se detecta que el servidor no estaba recibiendo datos desde las 7 am, esto se reviso a las 9 am, se reinician los servicios y se comienzan a mostrar datos actualizados.</t>
  </si>
  <si>
    <t>00492684</t>
  </si>
  <si>
    <t>CHQ-problemas con perforadora 316</t>
  </si>
  <si>
    <t>se cierra pozo anterior , se reinicia la base de datos del equipo y vuelve operativo.</t>
  </si>
  <si>
    <t>00492688</t>
  </si>
  <si>
    <t>CHQ- solicita apoyo por caida de jview</t>
  </si>
  <si>
    <t>reinicio de servicio SQL vuelve a estar operativo</t>
  </si>
  <si>
    <t>00492695</t>
  </si>
  <si>
    <t>AMANT - Mine Enterprise caido</t>
  </si>
  <si>
    <t>Se reinician los servicios de sharperlight recuperando asi la conexion</t>
  </si>
  <si>
    <t>Manuel Collao</t>
  </si>
  <si>
    <t>00492697</t>
  </si>
  <si>
    <t>CNN - Conciliación Mina / Mantenimiento - Resumarización jigsaw</t>
  </si>
  <si>
    <t>00492726</t>
  </si>
  <si>
    <t>AMZAL - Equipos pierden vueltas</t>
  </si>
  <si>
    <t>El problema se generon porque levantaron una copia del servidor, sin haber cambiado las IP correctamente, entonces los equipos se comenzaron a conectar a la copia del servidor, perdiendo asi datos por unos minutos</t>
  </si>
  <si>
    <t>Sebastian Despacho</t>
  </si>
  <si>
    <t>00492740</t>
  </si>
  <si>
    <t>MLCC - Checklist Diario Reportabilidad Plataforma SGO Caserones</t>
  </si>
  <si>
    <t>Se revisan los planes diarios los cuales estaban cargados correctamente, se hace una sumarizacion del dia 21, y los datos aparecen de forma correcta.</t>
  </si>
  <si>
    <t>00492745</t>
  </si>
  <si>
    <t>CNDMH - C329</t>
  </si>
  <si>
    <t>Se reinicia el equipo, recuperando asi la imagen, ademas Alejando indica que el equipo tenia suelto el cableado.</t>
  </si>
  <si>
    <t>Alejando Hexagon</t>
  </si>
  <si>
    <t>00492765</t>
  </si>
  <si>
    <t>AMZAl-Victor de sim solicita apoyo ya que los equipos estan con gps flotante.</t>
  </si>
  <si>
    <t>se produjo en evento de actividad geomagnetica que duro alrededor de 1 hora , luego los equipos vuelven a retomar gps</t>
  </si>
  <si>
    <t>Victor Rodriguez de sim</t>
  </si>
  <si>
    <t>00492771</t>
  </si>
  <si>
    <t>AMCEN-Luis rios solicita apoyo ya que los equipos están con gps flotante.</t>
  </si>
  <si>
    <t>se produjo un evento de actividad geomagnetica , los equipos vuelven con su gps operativo al terminar el evento.</t>
  </si>
  <si>
    <t>Luis rios act</t>
  </si>
  <si>
    <t>00492772</t>
  </si>
  <si>
    <t>AMCEN-Luis rios solicita apoyo por problemas C17</t>
  </si>
  <si>
    <t>equipo se encuentra con problemas de vims , se deriva a personal de terreno.</t>
  </si>
  <si>
    <t>00492780</t>
  </si>
  <si>
    <t>AMCEN-Luis rios solicita apoyopor GPS PE59</t>
  </si>
  <si>
    <t>equipo no existe en el sistema , se da aviso vía telefónica y se evidencia el error</t>
  </si>
  <si>
    <t>00492784</t>
  </si>
  <si>
    <t>00492786</t>
  </si>
  <si>
    <t>AMZAl-Victor de sim solicita apoyo H44 con problemas</t>
  </si>
  <si>
    <t>el equipo tiene conexión , pero su gps tiene problemas físicos por lo que se debe ver en terreno.</t>
  </si>
  <si>
    <t>00492806</t>
  </si>
  <si>
    <t>AAS - RE: Problema sin acceso a Mineops</t>
  </si>
  <si>
    <t>Nicolas Redes</t>
  </si>
  <si>
    <t>00492807</t>
  </si>
  <si>
    <t>AMZAL - H44 sin GPS</t>
  </si>
  <si>
    <t>Se cambia la antena y despues se borra la BD del equipo y recupera la conexion GPS</t>
  </si>
  <si>
    <t>Freddy empresa SIM</t>
  </si>
  <si>
    <t>00492808</t>
  </si>
  <si>
    <t>MLCC - Monitoreo usuarios servidor 59</t>
  </si>
  <si>
    <t>Diariamente se recopilan datos de la cantidad de usuarios conectados al servidor y se realizan estadisticas con los mismo, los dias contemplados son:
22-09-2023
23-09-2023
24-09-2023
25-09-2023
26-09-2023</t>
  </si>
  <si>
    <t>00492815</t>
  </si>
  <si>
    <t>MLCC - Cargador 221 no toma los destinos</t>
  </si>
  <si>
    <t>El problema se genero por destinos duplicados en el sistema</t>
  </si>
  <si>
    <t>00492818</t>
  </si>
  <si>
    <t>CNDMH - Pala 206 sin GPS</t>
  </si>
  <si>
    <t>Equipo se encuentra trabajando normalmente.</t>
  </si>
  <si>
    <t>Alejandro Hexagon</t>
  </si>
  <si>
    <t>00492825</t>
  </si>
  <si>
    <t>CNDMH - Pala 201 sin comunicación</t>
  </si>
  <si>
    <t>00492849</t>
  </si>
  <si>
    <t>Monitoreo - AMCEN - consultas sql encoladas</t>
  </si>
  <si>
    <t>Se eliminan las consultas encoladas, revisando posteriormente que no vuelva a ocurrir</t>
  </si>
  <si>
    <t>00492855</t>
  </si>
  <si>
    <t>AMCEN - GPS C53</t>
  </si>
  <si>
    <t>El equipo se encuentra apagado por mantencion</t>
  </si>
  <si>
    <t>00492857</t>
  </si>
  <si>
    <t>CNCHQ - Pala 894</t>
  </si>
  <si>
    <t>Se revisa el equipo, el cual efectivamente tuvo cambios de estado dentro del dia, pero no se puede determinar como se produjeron o si alguien los hizo de forma manual.</t>
  </si>
  <si>
    <t>00492859</t>
  </si>
  <si>
    <t>CNDMH - Bull 423 pegado</t>
  </si>
  <si>
    <t>Se revisa el equipo, el cual no tiene conexion de ningun modo, se le indica a Alejandro que deben reiniciarlo manualmente</t>
  </si>
  <si>
    <t>00492869</t>
  </si>
  <si>
    <t>AMZAl-Victor Rodriguez de sim solicita apoyo ya que segun despacho no puede ingresar a ver las palas y perforadoras.</t>
  </si>
  <si>
    <t>se hace la revisión y el servidor se encuentra en buen estado , también se puede ingresar a los equipos inclusive funcionando los vnc excepto las perforadoras las cuales no estaban funcionando por demoras asociadas producción.</t>
  </si>
  <si>
    <t>Victor Rodriguez de SIM</t>
  </si>
  <si>
    <t>00492870</t>
  </si>
  <si>
    <t>CNRT-Rodrigo Valenzuela solicita apoyo para ver si funciona correctamente el C944.</t>
  </si>
  <si>
    <t>al revisar el equipo funciona correctamente , pero su vnc se pixelea cada cierto tiempo (remotamente en el equipo esta perfecto) por lo que se asocia a problemas de señal.</t>
  </si>
  <si>
    <t>00492909</t>
  </si>
  <si>
    <t>AMZAL-caida del sistema en despacho.</t>
  </si>
  <si>
    <t>por razones que se investigan el servidor perdió su configuración lógica , se activa nuevamente y queda operativo. se continua el monitoreo.</t>
  </si>
  <si>
    <t>Jose Espinoza</t>
  </si>
  <si>
    <t>00493019</t>
  </si>
  <si>
    <t>Monitoreo - CNDMH - consultas sql encoladas</t>
  </si>
  <si>
    <t>Se eliminan las consultas y se reinician los servicios sql , revisando que no se vuelvan a encolar.</t>
  </si>
  <si>
    <t>00493020</t>
  </si>
  <si>
    <t>Mantoverde - Equipos se quedan pegados en el sistema</t>
  </si>
  <si>
    <t>Se revisan los procesos del servidor, espacio disponible, ram , uso de la cpu, estando todo dentro de los margenes normales, se revisan las calidades de los gps dentro de la mina, y hay muchos sectores con perdida, lo que hace que la comunicacion sea tardia, tambien se revisa la tabla sumario estando con datos actualizados, por lo que se descarta que sea problema del sistema, ademas de que Victor nos indico que esto solo ocurria en ciertos sectores de la mina.</t>
  </si>
  <si>
    <t>Victor Despacho</t>
  </si>
  <si>
    <t>00493021</t>
  </si>
  <si>
    <t>Se revisa el equipo, el cual no recibe datos del GPS, se le comunica a Alison que se deben revisar las conexiones y la antena en terreno.</t>
  </si>
  <si>
    <t>00493024</t>
  </si>
  <si>
    <t>Benjamin despacho</t>
  </si>
  <si>
    <t>00493033</t>
  </si>
  <si>
    <t>AMCEN - GPS C19 , 36 y 47</t>
  </si>
  <si>
    <t>Se revisan los equipos, encontrandose todos trabajando con su GPS de manera correcta, salvo el C36 el cual tenia baja señal del GPS, se reinicia y esta mejora.</t>
  </si>
  <si>
    <t>Tica Centinela</t>
  </si>
  <si>
    <t>00493040</t>
  </si>
  <si>
    <t>AMZAl-Victor Rodriguez de sim solicita apoyo para S02 por pantalla pegada.</t>
  </si>
  <si>
    <t>se reinicia el equipo y queda operativo.</t>
  </si>
  <si>
    <t>Victor Rodriguez Sim</t>
  </si>
  <si>
    <t>00493042</t>
  </si>
  <si>
    <t>AMZAl-Victor Rodriguez de sim solicita apoyo para D16 por pantalla pegada.</t>
  </si>
  <si>
    <t>00493043</t>
  </si>
  <si>
    <t>AAM-Victor Vera de Manto verde solicita revisión del estado de los servidores.</t>
  </si>
  <si>
    <t>se revisa el servidor completo , encontradose de buena manera. se envía correo al cliente.</t>
  </si>
  <si>
    <t>Victor Vera despacho</t>
  </si>
  <si>
    <t>00493095</t>
  </si>
  <si>
    <t>AMCEN - GPS C12</t>
  </si>
  <si>
    <t>Se revisa el equipo, el cual tenia la pantalla pegada, se reinicia, recuperando asi el equipo.</t>
  </si>
  <si>
    <t>00493103</t>
  </si>
  <si>
    <t>MLCC - Falla reporte resumen de produccion</t>
  </si>
  <si>
    <t>Se revisa el servidor para ver si algun importador estuviera encolado, no siendo el caso, se procede a Suamarizar desde el 19 para ver si los datos se corrigen, no siendo efectivo, se vuelven a revisar los datos, estando todo ok y se sumariza el mes completo
Se llega a la conclusión que el error es por la cantidad de usuarios tratando de obtener datos del servidor, problema que ya esta siendo tratado</t>
  </si>
  <si>
    <t>Benjamin Despacho</t>
  </si>
  <si>
    <t>00493130</t>
  </si>
  <si>
    <t>AMCEN-Luis rios solicita apoyopor GPS C53</t>
  </si>
  <si>
    <t>Equipo presenta falla fisica , se deriva a personal de terreno</t>
  </si>
  <si>
    <t>00493154</t>
  </si>
  <si>
    <t>CNGel-Miguel huanchicay solicita apoyo por gps de C724</t>
  </si>
  <si>
    <t>Miguel Huanchiqay</t>
  </si>
  <si>
    <t>00493157</t>
  </si>
  <si>
    <t>CNDMH-Alvaro Silva indica que la perforadora 103 esta pegada.</t>
  </si>
  <si>
    <t>Alvaro Silva</t>
  </si>
  <si>
    <t>00493170</t>
  </si>
  <si>
    <t>AMCEN - Espacio en servidor Backup</t>
  </si>
  <si>
    <t>Se revisa el disco el cual esta creciendo muy rapido, se informa a Guillermo y nos confirma que se va a coorinar una mantencion del servidor</t>
  </si>
  <si>
    <t xml:space="preserve">Alison </t>
  </si>
  <si>
    <t>00493192</t>
  </si>
  <si>
    <t>Monitoreo - MLCC - consultas sql encoladas</t>
  </si>
  <si>
    <t>Se eliminan las consultas pegadas y se monitorea que no vuelva a suceder, el error ocurre por la cantidad de usuarios conectados a la BD queriendo hacer consultas de forma simultanea</t>
  </si>
  <si>
    <t>00493209</t>
  </si>
  <si>
    <t>AMZAL - RV: Reporte origen destino diario (Excel)</t>
  </si>
  <si>
    <t>Se recupera la informacion solicitada y se corrige para su correcto envio a contar del 26-09-2023 a las 7:45 am, de manera diaria</t>
  </si>
  <si>
    <t>00493230</t>
  </si>
  <si>
    <t>AMZAL - Camion 59 se descarga antes de llegar a la ruta</t>
  </si>
  <si>
    <t>se reinicia equipo queda operativo.</t>
  </si>
  <si>
    <t>Jose Despacho</t>
  </si>
  <si>
    <t>00493269</t>
  </si>
  <si>
    <t>AMCEN-Luis rios solicita apoyopor GPS C135</t>
  </si>
  <si>
    <t>equipo presenta falla física , se deriva a personal de terreno.</t>
  </si>
  <si>
    <t>00493279</t>
  </si>
  <si>
    <t>AMCEN-Luis rios solicita apoyopor GPS C38</t>
  </si>
  <si>
    <t>00493284</t>
  </si>
  <si>
    <t>CNCHQ-Miguel huanchicay solicita apoyo por mal funcionamiento de la perfo 316</t>
  </si>
  <si>
    <t>el equipo tenia asignada una tronada y una malla erronea. se corrige y queda operativo</t>
  </si>
  <si>
    <t>00493291</t>
  </si>
  <si>
    <t>MLCC - Desconectar usuarios servidor 59</t>
  </si>
  <si>
    <t>Se eliminan las conexiones de los usuarios segun lo solicitado por Daniel Godoy</t>
  </si>
  <si>
    <t>00493297</t>
  </si>
  <si>
    <t>CNTTE - Revisión disco duro servidor sqlserver</t>
  </si>
  <si>
    <t>Se revisa el disco C, el cual esta lleno casi en su totalidad, por el sistema operativo y los programas que tiene instalado, se vera la opcion para clonar el disco y cambiarlo por uno de mayor tamaño, puesto que este es un disco solido , al no ser virtual, se descarta la opcion de ampliarle el espacio.</t>
  </si>
  <si>
    <t>00493384</t>
  </si>
  <si>
    <t>MLCC-Alejandro Larenas solicita sumarización de todo el mes hasta la fecha.</t>
  </si>
  <si>
    <t>sumarizacion completa.</t>
  </si>
  <si>
    <t>00493389</t>
  </si>
  <si>
    <t>CNDRT-Rodrigo valenzuela solicita apoyo ya que la pala 719 no ve el poligono.</t>
  </si>
  <si>
    <t>la pala estaba asignada a un stcock y lo que no visualizaba era las lineas de avance , los cuales se deben cargar en el fin o inicio de turno.se informa a rodrigo que par que hable con despacho.</t>
  </si>
  <si>
    <t>00493405</t>
  </si>
  <si>
    <t>AAM - Cambiar tipo de sumarizador</t>
  </si>
  <si>
    <t>Se cambia el sumarizador desde cron a servicio. Se monitorea la correcta actualización de datos desde la última vez que se ejecutó el servicio y queda funcionando bien</t>
  </si>
  <si>
    <t>Marcelo</t>
  </si>
  <si>
    <t>00493427</t>
  </si>
  <si>
    <t>Se eliminan exceso de conexiones a base de datos y la replicación encolada pasa sin problemas</t>
  </si>
  <si>
    <t>Internal</t>
  </si>
  <si>
    <t>00493436</t>
  </si>
  <si>
    <t>Se comenta el sumarizador por cron para ejecutar la sumarización manual, una vez terminada se vuelve a descomentar.</t>
  </si>
  <si>
    <t>00493461</t>
  </si>
  <si>
    <t>AAM - Problemas al visualizar polígono previamente cargado</t>
  </si>
  <si>
    <t>Se intenta cargar nuevamente el archivo 0910F507.csv al sistema lo cual no soluciona el problema. Se procede a revisar en base de datos la tabla grades encontrando que el polígono ya había sido creado y eliminado. Se le informa que no se puede trabajar con nombres que ya fueron utilizados.</t>
  </si>
  <si>
    <t>Pedro</t>
  </si>
  <si>
    <t>00493462</t>
  </si>
  <si>
    <t>AAM - Camión con problemas de GPS</t>
  </si>
  <si>
    <t>Se realiza un repc y no se encuentra en el listado el equipo. Se le hace ping y no hay conexión. Tambien se le realiza ping por mineops y no hay comunicación. Se le avisa que no se puede realizar apoyo remoto.</t>
  </si>
  <si>
    <t>Claudio Pardo</t>
  </si>
  <si>
    <t>00493469</t>
  </si>
  <si>
    <t>AAM - Pala003 cambia de zona</t>
  </si>
  <si>
    <t>Se revisa zona de Pala003 y tiene diferencia de cotas entre los nodos.  Se envia correo informado para que regularicen situacion</t>
  </si>
  <si>
    <t>00493487</t>
  </si>
  <si>
    <t>Sin acceso a ME</t>
  </si>
  <si>
    <t>Se detienen todos los procesos asociados con sharperlight y se reinicia el servicio recuperando la página.</t>
  </si>
  <si>
    <t>00493504</t>
  </si>
  <si>
    <t>AMZAL - Revision de GPS Perforadoras</t>
  </si>
  <si>
    <t>Evento deja inestabilidad, se envia correo a Alejandro indicando que ya esta normalizado. Se aprovecha de actualizar firmware de GPS de Perfo D14</t>
  </si>
  <si>
    <t>Alejandro Arce</t>
  </si>
  <si>
    <t>00493520</t>
  </si>
  <si>
    <t>Monitoreo - CNMS - CPU de Servidor BD ME al 99%</t>
  </si>
  <si>
    <t>Se liberan algunos procesos de MineOperate y se envia correo a los ingenieros con algunas consideraciones.</t>
  </si>
  <si>
    <t>00493530</t>
  </si>
  <si>
    <t>MLCC - Sumarizar mes completo</t>
  </si>
  <si>
    <t>Se realiza la Sumarizacion solicitada.</t>
  </si>
  <si>
    <t>00493536</t>
  </si>
  <si>
    <t>Monitoreo - CNCHQ - CasApi Stoped</t>
  </si>
  <si>
    <t>Se inicia Servicio</t>
  </si>
  <si>
    <t>00493550</t>
  </si>
  <si>
    <t>AAM - Camión CEKO050 con problemas</t>
  </si>
  <si>
    <t>Se elimina la base de datos y reinicia el equipo. Se mantiene con monitoreo posteriormente.</t>
  </si>
  <si>
    <t>Sebastian</t>
  </si>
  <si>
    <t>00493553</t>
  </si>
  <si>
    <t>Monitoreo - AMCEN - Procesos encolados</t>
  </si>
  <si>
    <t>Se eliminan los procesos encolados y se mantiene monitoreo</t>
  </si>
  <si>
    <t>00493555</t>
  </si>
  <si>
    <t>AAS - Problemas para acceder a mineops</t>
  </si>
  <si>
    <t>Se realiza una reunión para revisar en directo la problemática al momento de abrir mineops. Se determina, según el error que genera, que al buscar el aplicativo en el disco (Y:) no lo encuentra. Por esa razón se busca la imagen que monta el aplicativo y se le hace click derecho y se selecciona la opción que permite especificar en que letra se desea montar, luego seleccionamos la letra (Y:), probamos nuevamente abrir el aplicativo y levanta sin problemas.</t>
  </si>
  <si>
    <t>00493566</t>
  </si>
  <si>
    <t>Monitoreo - MLCC - Procesos SQL encolados</t>
  </si>
  <si>
    <t>Se ejecuta query que elimina el exceso de usuarios para permitir el run terminar su ejecución</t>
  </si>
  <si>
    <t>00493601</t>
  </si>
  <si>
    <t>AAM - Pregunta si existen los polígonos</t>
  </si>
  <si>
    <t>Se le informa acerca de los poligonos que estaban ya creados y los que no. Se adjuntan las evidencias.</t>
  </si>
  <si>
    <t>00493638</t>
  </si>
  <si>
    <t>Monitoreo - AMANT - Procesos de Replicacion a SQL encolados</t>
  </si>
  <si>
    <t>Problema era la ejecucion de run2, al servidor de BD del cliente. Se comenta linea de ejecucion y proceso termina correctamente.
Se ingresa a servidor de cliente y se reinician los servicios de SQL Server y funciona correctamente.</t>
  </si>
  <si>
    <t>00493641</t>
  </si>
  <si>
    <t>AMCEN - Problema de Posicionamiento de Perfo 10</t>
  </si>
  <si>
    <t>Se revisan y reinician Core de ambos equipos, al parecer fue un tema puntual de esos dos equipos por la zona en que se encontraban, ya que despues de las 2 am aproximadamente se estabilizaron GPS de ambos equipos.</t>
  </si>
  <si>
    <t>00493642</t>
  </si>
  <si>
    <t>Monitoreo - MLCC - Procesos de replicacion encolados .59</t>
  </si>
  <si>
    <t>Se debe ejecutar un par de ocaciones el script que elimna conexiones de mlcc_1. Despues situacion se normaliza.</t>
  </si>
  <si>
    <t>00493651</t>
  </si>
  <si>
    <t>AMCEN - Carga de Malla en Perfo 5</t>
  </si>
  <si>
    <t>Se carga malla solicitada por MineOps.</t>
  </si>
  <si>
    <t>00493659</t>
  </si>
  <si>
    <t>AAM - No suben archivos de Poligonos</t>
  </si>
  <si>
    <t>Existia un problema con el archivo, el cual, dejaba pegado el importador. Se modifica y se ejecutan en forma manual y archivos pasan correctamente.</t>
  </si>
  <si>
    <t>Mario Tapia</t>
  </si>
  <si>
    <t>00493675</t>
  </si>
  <si>
    <t>CNCHQ - JSPanel no levanta en la perforadora PE361</t>
  </si>
  <si>
    <t>Se revisa la perforadora encontrando que quedó perforando un pozo antes de ser atendida en terreno por lo cuál se le finaliza ese pozo con 0 metros. Luego de esto levanta jspanel sin problemas</t>
  </si>
  <si>
    <t>Gonzalo</t>
  </si>
  <si>
    <t>00493676</t>
  </si>
  <si>
    <t>CNDMH - Problemas con alarmas en ME</t>
  </si>
  <si>
    <t>Se eliminan todos los procesos asociados a sharperlight, se reinicia el servicio y se recuperan las alarmas.</t>
  </si>
  <si>
    <t>00493688</t>
  </si>
  <si>
    <t>AMCEN - Desactivar Octopus</t>
  </si>
  <si>
    <t>Se revisa en archivo crontab y se encuentra activado el script que solicitaron desactivar. Se comenta e informa.</t>
  </si>
  <si>
    <t xml:space="preserve">Victor </t>
  </si>
  <si>
    <t>00493704</t>
  </si>
  <si>
    <t>CNRT - Moto482 con problemas de gps</t>
  </si>
  <si>
    <t>00493726</t>
  </si>
  <si>
    <t>AMANT - Problemas con envio de correo automatico de reportes</t>
  </si>
  <si>
    <t>Se revisan configuraciones y se envia correo a Daniel para que gestione revision por parte de cliente</t>
  </si>
  <si>
    <t>Daniel Constanzo</t>
  </si>
  <si>
    <t>00493729</t>
  </si>
  <si>
    <t>AMANT - Problemas con la actualizacion de Reportes</t>
  </si>
  <si>
    <t>Se revisan procesos encolados de run2, se reinician los servicios de la IP 248. Queda Operativo</t>
  </si>
  <si>
    <t>Ismael</t>
  </si>
  <si>
    <t>00493738</t>
  </si>
  <si>
    <t>MLCC - Karim Solicita Sumarizar mes de Septiembre Completo</t>
  </si>
  <si>
    <t>00493741</t>
  </si>
  <si>
    <t>AMCEN - Problemas de GPS en PE5 y PE10</t>
  </si>
  <si>
    <t>Se revisa y no se detectan problemas de configuracion, se reinician los core e inestabilidad persiste.  Esta inestabilidad tiene el patron que se genera cuando el ping sube.  Se envia correo a belen solicitando que se revise la red mina en sector.</t>
  </si>
  <si>
    <t>00493742</t>
  </si>
  <si>
    <t>Monitoreo - CNCHQ - Servicio CASApi detenido</t>
  </si>
  <si>
    <t>Se inicia el servicio de CasApi quedando operativo.</t>
  </si>
  <si>
    <t>00493744</t>
  </si>
  <si>
    <t>AMCEN - Equipos pegados en Fase 7</t>
  </si>
  <si>
    <t>Se envia correo a belen indicando que el problema corresponde a problemas de red mina, existe perdida de paquetes y ms muy elevados.</t>
  </si>
  <si>
    <t>00493761</t>
  </si>
  <si>
    <t>Se sumariza como fue solicitado</t>
  </si>
  <si>
    <t>00493775</t>
  </si>
  <si>
    <t>Se ejecuta la query que elimina el exceso de conexiones con la base de datos permitiendo que los procesos encolados pasen.</t>
  </si>
  <si>
    <t>00493776</t>
  </si>
  <si>
    <t>Monitoreo - CNDMH - Procesos encolados</t>
  </si>
  <si>
    <t>Se eliminan los procesos encolados y se sigue monitoreando.</t>
  </si>
  <si>
    <t>00493777</t>
  </si>
  <si>
    <t>Camiones con problemas de GPS</t>
  </si>
  <si>
    <t>Se revisan ambos camiones encontrando uno operativo y el otro con sus sensores afectados. Luego de reiniciar queda operativo.</t>
  </si>
  <si>
    <t>Victor</t>
  </si>
  <si>
    <t>00493781</t>
  </si>
  <si>
    <t>AAM - Bull TOCA005 con problemas de gps</t>
  </si>
  <si>
    <t>Se investiga la posible causa del problema, al intentar llegar al equipo con su ip de terreno se accede a otro equipo, el camión CEKO047 por lo cual se accede al archivo hosts encontrando que la ip que le corresponde al TOCA005 difiere de la ip registrada en la sección device de jigsaw. Se le deja la correcta y monitorea</t>
  </si>
  <si>
    <t>00493782</t>
  </si>
  <si>
    <t>AAM - Problemas generales con los equipos</t>
  </si>
  <si>
    <t>Se revisan los procesos que podrían estar generando una lentitud en el sistema sin encontrar nada extraño. Se contacta con el equipo de redes y se determina que el problema era la conectividad con la estación base. Finalmente se recupera conexión</t>
  </si>
  <si>
    <t>00493789</t>
  </si>
  <si>
    <t>Se ejecuta query que elimina el exceso de conexiones a la base de datos permitiendo que los procesos SQL finalicen correctamente.</t>
  </si>
  <si>
    <t>00493800</t>
  </si>
  <si>
    <t>MLCC - Sumarizacion desde el 27 de Septiembre</t>
  </si>
  <si>
    <t>Se realiza sumarizacion solicitada.</t>
  </si>
  <si>
    <t>00493801</t>
  </si>
  <si>
    <t>AMANT - Subir Malla de Perforacion</t>
  </si>
  <si>
    <t>Se sube csv y dxf segun solicitud enviada por correo.</t>
  </si>
  <si>
    <t>Rolando P&amp;T</t>
  </si>
  <si>
    <t>00493802</t>
  </si>
  <si>
    <t>AMCEN - C58 problemas con GPS</t>
  </si>
  <si>
    <t>Se revisa equipo y posee una conexion sobre los 5.000 milisegundos,  se logra reiniciar Core y mejora conexion.</t>
  </si>
  <si>
    <t>00493806</t>
  </si>
  <si>
    <t>CNRT - Problemas con la vista truck del perfil Instructor</t>
  </si>
  <si>
    <t>Se revisa perfil y no existe vista truck para Office.  Se realiza copia de perfil del despacho y se cambia a office.  Se prueba cuenta y funciona correctamente.</t>
  </si>
  <si>
    <t>Daniel RT</t>
  </si>
  <si>
    <t>00493807</t>
  </si>
  <si>
    <t>Monitoreo - CNCHQ - Servicio CasApi deternido</t>
  </si>
  <si>
    <t>Se inicia servicio CasApi</t>
  </si>
  <si>
    <t>01/101/2023 01:55</t>
  </si>
  <si>
    <t>00493809</t>
  </si>
  <si>
    <t>AMCEN - Cambio de asignaciones y señal PA3</t>
  </si>
  <si>
    <t>00493814</t>
  </si>
  <si>
    <t>Monitoreo - CNDMH - Procesos de replicacion a SQL encolados</t>
  </si>
  <si>
    <t>replicacion se encolaba ya que log de .57 estaba lleno. Se libera y se ejecuta con normalidad</t>
  </si>
  <si>
    <t>00493824</t>
  </si>
  <si>
    <t>AAM - Perforadora con problemas de gps</t>
  </si>
  <si>
    <t>Problema asociado con el ticket de la estación base (
00493782)</t>
  </si>
  <si>
    <t>Pedro Reygadas</t>
  </si>
  <si>
    <t>00493834</t>
  </si>
  <si>
    <t>AMZAL - Problema al cargar plan pensual</t>
  </si>
  <si>
    <t>Se carga archivo despues de eliminar planes repetidos</t>
  </si>
  <si>
    <t>00493836</t>
  </si>
  <si>
    <t>Se sumarizan los días solicitados.</t>
  </si>
  <si>
    <t>00493837</t>
  </si>
  <si>
    <t>AMCEN - Camión C22 con problemas de gps</t>
  </si>
  <si>
    <t>Se revisa el equipo encontrando que está funcionando correctamente con sus sensores. Se le realiza un reinicio preventivo.</t>
  </si>
  <si>
    <t>00493845</t>
  </si>
  <si>
    <t>AMZAL - Sumarizacion Septiembre del 28</t>
  </si>
  <si>
    <t>Se realiza Sumarizacion solicitada</t>
  </si>
  <si>
    <t>00493846</t>
  </si>
  <si>
    <t>CNDMH - Usuarios no pueden ingresar a JView</t>
  </si>
  <si>
    <t>Se revisa y log de SQL esta full.  Se baja peso de Log y queda operativo. Se confirma con</t>
  </si>
  <si>
    <t>Ricardo Zepeda</t>
  </si>
  <si>
    <t>00493901</t>
  </si>
  <si>
    <t>AMZAL - Problemas con mineops</t>
  </si>
  <si>
    <t>Se monitorean los procesos del JAMS encontrando todo funcionando normal, se monitorea el rendimiento general del servidor encontrando una carga de cpu y ram normales. Se le comunica nuevamente a Rodrigo y el confirma que se encuentra funcionando correctamente.</t>
  </si>
  <si>
    <t>00493914</t>
  </si>
  <si>
    <t>Sumarización manual</t>
  </si>
  <si>
    <t>Se accede al servidor a través de computador de despachador y se sumariza todo el mes</t>
  </si>
  <si>
    <t>00493915</t>
  </si>
  <si>
    <t>AAM - Problemas con MineEnterprise</t>
  </si>
  <si>
    <t>Se detecta que el job de posicionamiento se había detenido con fecha 2023-09-28 por lo que se procede a correr de forma manual para que integre los datos hasta la actualidad. Una vez terminado se reinician los servicios de sharperlight recuperando la página, posicionamiento actualizado y sección de reportes en Protect.</t>
  </si>
  <si>
    <t>00493939</t>
  </si>
  <si>
    <t>Se sumariza como fue solicitado sin novedades</t>
  </si>
  <si>
    <t>00493951</t>
  </si>
  <si>
    <t>AMZAL - Problemas de cuadre de horas en estados L13</t>
  </si>
  <si>
    <t>Se apoya en la revisión de estados para encontrar el valor que está descuadrando el número final de horas en el día 21/09. Se revisa en comparación con la tabla sumaria de estados y con la tabla replica de sql y se encuentran diferencias. Se eliminan los datos de la tabla el día 21 y al volver a replicar queda correcto.</t>
  </si>
  <si>
    <t>00494021</t>
  </si>
  <si>
    <t>AAM - Modificar Grade_Category de Zonas</t>
  </si>
  <si>
    <t>Se requieren modificar la grade_category de algunas zonas para realizar sumarizacion de agosto.  Ya hay que cambiar el factor de carga. Se realizan pruebas con Marcelo y estas funcionan correctamente.  Despues se modifican todas las zonas solicitadas y se modifican los factores de carga de agosto.</t>
  </si>
  <si>
    <t>00494024</t>
  </si>
  <si>
    <t>Monitoreo - CNCHQ - Servicio CasApi detenido</t>
  </si>
  <si>
    <t>Se inicia Servicio CasApi</t>
  </si>
  <si>
    <t>00494041</t>
  </si>
  <si>
    <t>AMCEN - Señal y pantallas de CAEX 10</t>
  </si>
  <si>
    <t>Se reinicia UHP, Queda Operativo</t>
  </si>
  <si>
    <t>00494042</t>
  </si>
  <si>
    <t>AMCEN - Señal GEP de CAEX 37</t>
  </si>
  <si>
    <t>00494044</t>
  </si>
  <si>
    <t>AMCEN - Señal GEP de CAEX 46</t>
  </si>
  <si>
    <t>00494045</t>
  </si>
  <si>
    <t>MLCC - Excel no se replican</t>
  </si>
  <si>
    <t>por AnyDesk nos conectamos a ejecutar query para elimnar conexiones para que se actualice SQL .59</t>
  </si>
  <si>
    <t>00494063</t>
  </si>
  <si>
    <t>AAM - Al realizar modificación en polígono que se encontraba previamente cargado no refleja cambios</t>
  </si>
  <si>
    <t>Se realizan trabajos para encontrar el error en uno de los múltiples archivos que enviaron. Se encuentra que existen coordenadas que se están repitiendo entre materiales y eso es lo que está generando problemas al momento de pintar el polígono. Se les comenta que deben revisar bien el formato de sus polígonos antes de elevarlo a soporte remoto.</t>
  </si>
  <si>
    <t>00494070</t>
  </si>
  <si>
    <t>AMZAL - Pala 2 con problemas de gps</t>
  </si>
  <si>
    <t>Se intenta revisar la pala pero no existe conexión. Al momento que se recupera la conexión se revisa encontrando todo operativo en óptimas condiciones. Al avisarle a la persona que llamó indicó que se revisaron cables y así se recupero el equipo.</t>
  </si>
  <si>
    <t>00494231</t>
  </si>
  <si>
    <t>Se sumariza como fue solicitado sin mayores problemas.</t>
  </si>
  <si>
    <t>00494256</t>
  </si>
  <si>
    <t>AMAT - Perdoradora D01 no visualiza Mallas</t>
  </si>
  <si>
    <t>Se actualiza el updated_at de la tabla drill_patterns y drill_points, con esto la perforadora visualiza la malla.</t>
  </si>
  <si>
    <t>Excel Cortes</t>
  </si>
  <si>
    <t>00494291</t>
  </si>
  <si>
    <t>AAM - No se visualiza Zona importada</t>
  </si>
  <si>
    <t>Se revisa BD y muevamente subieron poligonos con nombres utilizados anteriormente.  Se deja en blanco el campo deleted_at para que se visualice en sistema</t>
  </si>
  <si>
    <t>Despacho MV</t>
  </si>
  <si>
    <t>00494297</t>
  </si>
  <si>
    <t>Monitoreo - CNCHQ - Servicio de CasApi detenido</t>
  </si>
  <si>
    <t>00494298</t>
  </si>
  <si>
    <t>AAM - Modificar grade_category y Sumarizar Agosto</t>
  </si>
  <si>
    <t>Se modifican los grade_category de los poligonos informados por Marcelo y se realiza la sumarizacion solicitada.</t>
  </si>
  <si>
    <t>00/10/2023  00:30:00 p. m.</t>
  </si>
  <si>
    <t>00494299</t>
  </si>
  <si>
    <t>AMCEN - RE: Señal GPS PE3</t>
  </si>
  <si>
    <t>Se reinicia Core y recuepra señal correctamente.</t>
  </si>
  <si>
    <t>00494304</t>
  </si>
  <si>
    <t>Monitoreo - MLCC - trabajos enclados a Servidor .59</t>
  </si>
  <si>
    <t>Se eliminan varias veces las conexiones al servidor .59</t>
  </si>
  <si>
    <t>00494309</t>
  </si>
  <si>
    <t>CAPCNN-Cristopher Vera informa Reporte Diario no muestra datos</t>
  </si>
  <si>
    <t>se reinicia servicio sql y el reporte vuelve a marcar datos.</t>
  </si>
  <si>
    <t>Cristofer vera</t>
  </si>
  <si>
    <t>00494312</t>
  </si>
  <si>
    <t>CAPCNN-Juan Nuñez Favor revisar PE05 ya que no carga la malla y no deja cambiar los estados.</t>
  </si>
  <si>
    <t>se reinicia la bd del equipo quedando la perforadora operativa.</t>
  </si>
  <si>
    <t>00494314</t>
  </si>
  <si>
    <t>MLCC.-Alejandro dice que los camiones le rebotan de un botadero.</t>
  </si>
  <si>
    <t>existían destinos duplicados, se eliminan y queda operativo.se confirma con alejandro Larenas vía telefónica</t>
  </si>
  <si>
    <t>00494316</t>
  </si>
  <si>
    <t>AMZAL-Miguel solicita revisar un vista de Mineops</t>
  </si>
  <si>
    <t>se revisa y no existe esa funcionalidad que menciona Miguel Caceres en esa vista. se informa mediante correo.</t>
  </si>
  <si>
    <t>00494418</t>
  </si>
  <si>
    <t>CNDMH - Tonelajes Jview no se cargan</t>
  </si>
  <si>
    <t>El problema se genero porque los procesos sql estaban encolados, estos se eliminan, se revisa que carguen los datos correctamente, se ve la información actualizada en jview y se llama a Luis para confirmar que ya ve la información actualizada.</t>
  </si>
  <si>
    <t>Luis Peña</t>
  </si>
  <si>
    <t>00494419</t>
  </si>
  <si>
    <t>Monitoreo - AMANT - GradeImporterStock pesa 155 GB</t>
  </si>
  <si>
    <t>Se detecta que el importador estaba encolado, se elimina el proceso y se elimina el log, haciendo que este vuelva a crearse con su peso minimo.</t>
  </si>
  <si>
    <t>00494421</t>
  </si>
  <si>
    <t>Monitoreo - MLCC - GradeImporter</t>
  </si>
  <si>
    <t>Se borra el Log para que se vuelva a crear con su peso minimo.</t>
  </si>
  <si>
    <t>00494426</t>
  </si>
  <si>
    <t>AMCEN - GPS CF232</t>
  </si>
  <si>
    <t>Se revisa el equipo, el cual estaba trabajando ok</t>
  </si>
  <si>
    <t>00494513</t>
  </si>
  <si>
    <t>AMZAL-Victor Rodriguez de Sim solicita asistencia para la S02</t>
  </si>
  <si>
    <t>Equipo se encontraba sin comunicación , al hacerle seguimiento vuelve a operar sin problemas después de intervención de personal de terreno.</t>
  </si>
  <si>
    <t>00494514</t>
  </si>
  <si>
    <t>AMZAL-Miguel solicita actualizar el reporte frecuencia en palas para que tenga nueva funcionalidad</t>
  </si>
  <si>
    <t>se actualiza el reporte.</t>
  </si>
  <si>
    <t>00494530</t>
  </si>
  <si>
    <t>DMH-Rogelio de Hexagon solicita apoyo ya que despacho informa que C370 esta perdiendo vueltas.</t>
  </si>
  <si>
    <t>las vueltas las eliminaba el reconciliador , se desborran las vueltas luego de 12 horas</t>
  </si>
  <si>
    <t>Rogelio</t>
  </si>
  <si>
    <t>00494552</t>
  </si>
  <si>
    <t>MLCC-Carlos Contreras solicita crear un usuario en la base de datos para el servidor 59.s.</t>
  </si>
  <si>
    <t>se crea el usuario y se envian las password.</t>
  </si>
  <si>
    <t>00494558</t>
  </si>
  <si>
    <t>Monitoreo - MLCC - consultas sql</t>
  </si>
  <si>
    <t>Se eliminan las consultas y se reinician los servicios sql ,se monitorea para que no se sigan encolando</t>
  </si>
  <si>
    <t>00494575</t>
  </si>
  <si>
    <t>AMZAL - Perforadora 17 sin GPS</t>
  </si>
  <si>
    <t>Problema se debe a las tormentas solares.</t>
  </si>
  <si>
    <t>00494580</t>
  </si>
  <si>
    <t>AMCEN - Solicitud de revision de GPS PA2</t>
  </si>
  <si>
    <t>00494584</t>
  </si>
  <si>
    <t>AMCEN - Solicitud de revision de GPS PE49</t>
  </si>
  <si>
    <t>El gps estaba trabajando con normalidad</t>
  </si>
  <si>
    <t>00494680</t>
  </si>
  <si>
    <t>CNRT - Equipos no estan contando las vueltas</t>
  </si>
  <si>
    <t>Se le hace seguimiento al C920 que fue informado por Javier que le faltaban 4 vueltas, en sus registros figuraban 13, se revisa su recorrido por GPS, contando las vueltas, las cuales coincidían ,  13 vueltas y una mas , pero que aun no termina , se ve todo normal.</t>
  </si>
  <si>
    <t>00494762</t>
  </si>
  <si>
    <t>00494764</t>
  </si>
  <si>
    <t>AMCEN-Monitoreo indica demasiadas consultas idle.</t>
  </si>
  <si>
    <t>se eliminan las consultas mas antiguas y se deja en un numero optimo.</t>
  </si>
  <si>
    <t>interno</t>
  </si>
  <si>
    <t>00494770</t>
  </si>
  <si>
    <t>MLCC-procesos SQL server encolados.</t>
  </si>
  <si>
    <t>se cierran las sesiones SQL del servidor 59 y las replicas y procesos trabajan de forma normal.</t>
  </si>
  <si>
    <t>00494822</t>
  </si>
  <si>
    <t>CNDMH-Oscar barra indica que no hay datos en reporte de movimientos preliminares.</t>
  </si>
  <si>
    <t>Existía un polígono mal creado, sin material , sin región , nombre mal escrito y tenia ciclos asociados por lo que el sumarizador no podía cumplir su función.</t>
  </si>
  <si>
    <t>Oscar barra</t>
  </si>
  <si>
    <t>00494872</t>
  </si>
  <si>
    <t>AMCEN-Alison solicita agregar reporte de jview a ciertos usuarios.</t>
  </si>
  <si>
    <t>se agregan los reportes a los perfiles de usuario.</t>
  </si>
  <si>
    <t>Alisson arriagada</t>
  </si>
  <si>
    <t>00494954</t>
  </si>
  <si>
    <t>AMCEN-Cristian Chiang Solicista asistencia ya que tiene error de asignaciones a un chanchado.</t>
  </si>
  <si>
    <t>se evidencia que el chancado tiene capacidad de cola 0 , y habían mas camiones asignados , se aumenta en 1 la capacidad y se monitorea pero luego el chancado queda en avería.no se tuvieron mas llamados por el problema.</t>
  </si>
  <si>
    <t>00494955</t>
  </si>
  <si>
    <t>CNDRT-Claudio Quiroz informa Servidor 26 pantalla en negro</t>
  </si>
  <si>
    <t>se reinicia el servidor en terreno , y queda operativo</t>
  </si>
  <si>
    <t>00494956</t>
  </si>
  <si>
    <t>AMCEN-Cristian Chiang solicita habilitar los reportes de una cuenta admin a la cuenta despacho.</t>
  </si>
  <si>
    <t>se habilitan los reportes de administrador despacho en el perfil "despacho"</t>
  </si>
  <si>
    <t>00494960</t>
  </si>
  <si>
    <t>AMCEN - Solicitud de revision de GPS PE1</t>
  </si>
  <si>
    <t>Se revisa el equipo,  el cual tenia problemas con el GPS 1, se reinicia y al cabo de unos minutos, vuelve a trabajar con normalidad.</t>
  </si>
  <si>
    <t>00494961</t>
  </si>
  <si>
    <t>AMANT - Pagina Mine Enterprise</t>
  </si>
  <si>
    <t>Se revisa el ME, el cual tenia sus servicios levantados, sharperlight estaba funcionando con normalidad y se tenia acceso al miint, el error era por un certificado que no se estaba ejecutando, se le dan los permisos y se tiene acceso nuevamente a la pagina.</t>
  </si>
  <si>
    <t>Sebastian Peralta</t>
  </si>
  <si>
    <t>00494971</t>
  </si>
  <si>
    <t>MLCC - Reiniciar P103</t>
  </si>
  <si>
    <t>Se reinicia equipo según lo solicitado.</t>
  </si>
  <si>
    <t>00494979</t>
  </si>
  <si>
    <t>CNDMH - Perfo 112 problemas con su GPS</t>
  </si>
  <si>
    <t>Despacho DMH</t>
  </si>
  <si>
    <t>00494984</t>
  </si>
  <si>
    <t>AMCEN-Problema con alarmas de CAS</t>
  </si>
  <si>
    <t>existía un job que quedo en un bucle y no terminaba de manera correcta. se corta de forma manual y se reinicia para que funcione de buena manera.las alarmas se recuperan.</t>
  </si>
  <si>
    <t>00494987</t>
  </si>
  <si>
    <t>AMCEN-Cristian Chiang Solicita revisión de access point de las palas</t>
  </si>
  <si>
    <t>se revisan los access point conectados a los equipos de carguio , y se trabajo en conjunto a la tica de centinela para mejorar la señal en el frente de carguio.</t>
  </si>
  <si>
    <t>00494991</t>
  </si>
  <si>
    <t>AMCEN-Belfort de centinela solicita cambio de contraseña para usuario de mineops.</t>
  </si>
  <si>
    <t>se actualiza la contraseña, y se envia correo.</t>
  </si>
  <si>
    <t>Belfort Centinela</t>
  </si>
  <si>
    <t>00494995</t>
  </si>
  <si>
    <t>AMZAL-Freddie de Sim informa que L12 no ve los dibujos.</t>
  </si>
  <si>
    <t>se le activan los dibujos , hazzard ,diglimits entre otros por vnc y queda operativo.</t>
  </si>
  <si>
    <t>Freddie Sim</t>
  </si>
  <si>
    <t>00494998</t>
  </si>
  <si>
    <t>CNCHUQ-Respaldo BD mineops Chuquicamata</t>
  </si>
  <si>
    <t>se termina el backups. solo resta sacar el disco</t>
  </si>
  <si>
    <t>00495000</t>
  </si>
  <si>
    <t>AMCEN-Alison solicita apoyo ya que el cargador 231 no visualiza el polígono.</t>
  </si>
  <si>
    <t>el equipo se encuetra dentro de un stock por lo que no deberia visualizar poligono</t>
  </si>
  <si>
    <t>Alisson Arriagada</t>
  </si>
  <si>
    <t>00495009</t>
  </si>
  <si>
    <t>AMANT - Sumarizar 6 y 7</t>
  </si>
  <si>
    <t>Angelo</t>
  </si>
  <si>
    <t>00495012</t>
  </si>
  <si>
    <t>AMCEN - Solicitud de revision Tonelaje por Hora en Jigsaw</t>
  </si>
  <si>
    <t>Se detecta que la sumarizacion estaba volviendo a recuperar datos a septiembre, se corrige dejando trabajando el sumarizador por Cron</t>
  </si>
  <si>
    <t>00495014</t>
  </si>
  <si>
    <t>MLCC - Reiniciar Pala 10</t>
  </si>
  <si>
    <t>Se reinicia el equipo solicitado</t>
  </si>
  <si>
    <t>00495017</t>
  </si>
  <si>
    <t>00495027</t>
  </si>
  <si>
    <t>AMANT-Angelo leon solicita apoyo ya que algunas leyes de poligonos no se actualizaron en jview</t>
  </si>
  <si>
    <t>se actualiza el valor de las leyes en el poligono , se sumariza y al pasar la replica se actualizan los valores de jview , se contacta con despacho para confirmar.</t>
  </si>
  <si>
    <t>00495042</t>
  </si>
  <si>
    <t>AMZAL-victor de sim llama por que D11 no carga la malla.</t>
  </si>
  <si>
    <t>Equipo presenta mala comunicación , se informa a personal de sim para regularizar la condición. luego la perforado entra en cambio de turno.</t>
  </si>
  <si>
    <t>00495059</t>
  </si>
  <si>
    <t>00495065</t>
  </si>
  <si>
    <t>AMANT - Vueltas borradas cagador L100</t>
  </si>
  <si>
    <t>Se revisa el problema, resulta que el botadero no fue creado como inpit, por lo que el sistema borraba las vueltas al ser menores a 3 minutos, se llama indicando la corrección que se debe realizar y la persona entiende perfectamente.</t>
  </si>
  <si>
    <t>00495066</t>
  </si>
  <si>
    <t>AMCEN - Solicitud de revision de GPS PE4</t>
  </si>
  <si>
    <t>El equipo se encontraba trabajando con su GPS ok.</t>
  </si>
  <si>
    <t>00495067</t>
  </si>
  <si>
    <t>AMCEN - Solicitud de revision de GPS PE1.</t>
  </si>
  <si>
    <t>00495068</t>
  </si>
  <si>
    <t>AMCEN - Solicitud de mover Baliza de rampa 3</t>
  </si>
  <si>
    <t>Se responde por correo que no se tiene mayor información sobre la baliza, también se pide confirmación para moverla , pero no hay respuesta, la baliza se queda en el mismo lugar.</t>
  </si>
  <si>
    <t>00495069</t>
  </si>
  <si>
    <t>AMCEN - RE: Solicitud de revision de GPS equipo PE10</t>
  </si>
  <si>
    <t>00495073</t>
  </si>
  <si>
    <t>CNRT - C830 no tiene las mismas opciones de los demas equipos</t>
  </si>
  <si>
    <t>Se revisa el equipo, el cual no tenia actualizada la versión del JAMS, se actualiza, pero después se pierde la comunicación con el equipo</t>
  </si>
  <si>
    <t>00495077</t>
  </si>
  <si>
    <t>AMCEN - Solicitud de revision Reportabilidad de Jview</t>
  </si>
  <si>
    <t>00495111</t>
  </si>
  <si>
    <t>CNCHUQ-Diego Gonzalez solicita apoyo para un reporte en jview</t>
  </si>
  <si>
    <t>El reporte indicaba valores altos , pero se encontraba bien , lo valores altos se deben a que pasaron CAEX prestados a RT y no cambiaron su actividad.</t>
  </si>
  <si>
    <t>diego Gonzalez</t>
  </si>
  <si>
    <t>00495118</t>
  </si>
  <si>
    <t>AMCEN-Respaldo BD Mineops</t>
  </si>
  <si>
    <t>Interno</t>
  </si>
  <si>
    <t>00495124</t>
  </si>
  <si>
    <t>CNCHQ - Perfo 317 pozo pegado</t>
  </si>
  <si>
    <t>Se trata de revisar el equipo, pero no se tiene comunicacion de ninguna forma, se llama de vuelta a Diego para que reinicien el equipo en terreno</t>
  </si>
  <si>
    <t>00495132</t>
  </si>
  <si>
    <t>AMCEN - Solicitud de revision de C10 y C15</t>
  </si>
  <si>
    <t>Se reinician ambos equipos.</t>
  </si>
  <si>
    <t>00495138</t>
  </si>
  <si>
    <t>00495145</t>
  </si>
  <si>
    <t>AMCEN - Solicitud de revision de Equipos Perforadoras y Pala</t>
  </si>
  <si>
    <t>Se revisan los equipos, los cuales estaban trabajando correctamente, sus gps ok y la pala visualiza correctamente los equipos.</t>
  </si>
  <si>
    <t>00495151</t>
  </si>
  <si>
    <t>CNDMH - Equipos sin comunicacion</t>
  </si>
  <si>
    <t>La pala 12 efectivamente no tenia comunicacion, en el primer llamado ya se le habia indicado que lo mejor era reiniciarlo en terreno, los demas equipos al momento de revisarlos, tenian sus gps trabajando de forma correcta, no habia intermitencia</t>
  </si>
  <si>
    <t>00495179</t>
  </si>
  <si>
    <t>CNRT - Perfo 113 y C304 problemas de gps</t>
  </si>
  <si>
    <t>Se revisan ambos equipos, estando los 2 con sus gps trabajando de forma correcta</t>
  </si>
  <si>
    <t>00495180</t>
  </si>
  <si>
    <t>MLCC - Sumarizacion 4 al 9 Octubre</t>
  </si>
  <si>
    <t>00495184</t>
  </si>
  <si>
    <t>AMCEN - Solicitud de revision de CF232</t>
  </si>
  <si>
    <t>Se revisa el cargador, el cual aparece en su VNC, pero por los colores, podria verse camuflado puesto que el nombre y el sector donde esta, usan el color naranjo dificultando la vista del mismo.</t>
  </si>
  <si>
    <t>00495267</t>
  </si>
  <si>
    <t>MLCC-habilitación de funcionalidad 'limpiar operador' en la vista camiones.</t>
  </si>
  <si>
    <t>Se agrega nueva opción a la vista de camiones con el cambio solicitado. Se envía correo a Daniel Godoy con imagen de la nueva opción y se solicita validar para proceder con el cambio a los perfiles de despachador.</t>
  </si>
  <si>
    <t>10/16/2023 12:00 PM</t>
  </si>
  <si>
    <t>00495287</t>
  </si>
  <si>
    <t>CNMS - Pala 882 no actualiza su ubicacion</t>
  </si>
  <si>
    <t>Se intenta revisar el equipo, pero no se logra establecer conexión de ninguna forma, se le llama a Diego indicando que deberán reiniciar el equipo en terreno.</t>
  </si>
  <si>
    <t>Diego Sosa</t>
  </si>
  <si>
    <t>00495292</t>
  </si>
  <si>
    <t>AMCEN - Solicitud de revision de GPS</t>
  </si>
  <si>
    <t>Se reinician ambos equipos, pero en el caso del C131, al operador se le reinicia constantemente la imagen, se le indica a Juan por correo que revisen el cableado , porque por sistema se ve todo ok, incluso dando imagen desde el VNC.</t>
  </si>
  <si>
    <t>00495296</t>
  </si>
  <si>
    <t>AMCEN - Cargar Malla en carpeta</t>
  </si>
  <si>
    <t>Se cargan las mallas segun lo solicitado.</t>
  </si>
  <si>
    <t>Ignacio Despacho</t>
  </si>
  <si>
    <t>00495309</t>
  </si>
  <si>
    <t>AMCEN - Solicitud de revision de C114</t>
  </si>
  <si>
    <t>Se revisa el equipo, este tenia solo 1 viaje registrado, y en su base de datos no tenia ninguno mas, ademas de que el gps estaba con problemas, se indica por correo que las vueltas deben ser agregadas de forma manual y que la antena , debe ser revisada en terreno.</t>
  </si>
  <si>
    <t>00495335</t>
  </si>
  <si>
    <t>MLCC - Desconectar sesiones en SQL server</t>
  </si>
  <si>
    <t>Se realiza la ejecución del script para la desconexión de las sesiones existentes hacía el servidor SQL.</t>
  </si>
  <si>
    <t>00495375</t>
  </si>
  <si>
    <t>MLCC - Falla ingreso MineOperate</t>
  </si>
  <si>
    <t>Se envía correo solicitando asignar permisos de administrador a la cuenta del pc sonde se instaló el app para validar funcionamiento. Además de las características mínimas del hardware y software.</t>
  </si>
  <si>
    <t>10/17/2023 3:06 PM</t>
  </si>
  <si>
    <t>otro</t>
  </si>
  <si>
    <t>Se envía correo solicitando asignar permisos de administrador a la cuenta del pc sonde se instaló el app para validar funcionamiento. Además de las características mínimas del hardware y software</t>
  </si>
  <si>
    <t>Se da por cerrado el requerimiento por no tener respuesta por parte del cliente</t>
  </si>
  <si>
    <t>00495385</t>
  </si>
  <si>
    <t>Monitoreo - CNCHQ - CasApi detenido</t>
  </si>
  <si>
    <t>Se accede al servidor y se inicia el servicio.</t>
  </si>
  <si>
    <t>00495389</t>
  </si>
  <si>
    <t>CNCHQ - Problemas con cambio de operador en equipo</t>
  </si>
  <si>
    <t>Se revisa el operador en base de datos encontrando que efectivamente ambos cuentan con el mismo pay_number. Se le comenta a técnico de la situación y que lo debe conversar con ingeniero on site.</t>
  </si>
  <si>
    <t>00495407</t>
  </si>
  <si>
    <t>CNRT - Equipos de alta con problemas</t>
  </si>
  <si>
    <t>Se realiza una revisión del conjunto de equipos mencionados con problemas de gps encontrando que la mayoria están trabajando sin problemas, sin embargo, un par de equipos estaban con calidad de gps intermitente entre 3 y 4.</t>
  </si>
  <si>
    <t>Viveros</t>
  </si>
  <si>
    <t>00495422</t>
  </si>
  <si>
    <t>AMZAL - Mineops no levanta</t>
  </si>
  <si>
    <t>Se ingresa al servidor y al hacer REPC no se encuentra ningún equipo conectado, al revisar el estatus del JAMSRouter se encuentra detenido por lo que se vuelve a levantar y el contacto llama indicando que pudo ingresar a la aplicación</t>
  </si>
  <si>
    <t>Rodrigo Moncada</t>
  </si>
  <si>
    <t>00495432</t>
  </si>
  <si>
    <t>AMZAL - Problema con asignaciones</t>
  </si>
  <si>
    <t>Se revisa con el alias repc la última conexión de los equipos, encontrando que todos están conectados desde menos de 1 minuto y continúa la situación así, se reinicia el JAMSRouter sin éxito. Finalmente se borra la base de datos del tractor T13 normalizando así la situación.</t>
  </si>
  <si>
    <t>00495436</t>
  </si>
  <si>
    <t>Monitoreo - AMCEN - Procesos SQLServer encolados</t>
  </si>
  <si>
    <t>Se matan el exceso de procesos run y se monitorea hasta que el proceso avanza sin problemas.</t>
  </si>
  <si>
    <t>00495455</t>
  </si>
  <si>
    <t>AAM - Modificación posición camiones en el jsmina</t>
  </si>
  <si>
    <t>Se realiza modificación de la posición de los camiones 2CAM8386-2CAM8388-2CAM8382 a la ubicación que se dio como referencia (2CAM8391). Se adjunta imagen de lo realizado</t>
  </si>
  <si>
    <t>00495456</t>
  </si>
  <si>
    <t>MLCC - Perdida de viajes</t>
  </si>
  <si>
    <t>Se realiza la revisión de cada uno de los equipos informados con menos vueltas en la vista camiones, en las cargas sumarias y en la base de datos no encontrando diferencias. Además, se realiza la revisión a través de Reproductor GPS de unos de los camiones y toda la información coincide. Se envía correo al cliente para tener más detalles y este comenta que ya estaba todo regularizado ya que manualmente cargaron las vueltas restantes. Ante esto se solicita al cliente dar el ok para el cierre del ticket el cual vía correo da su aprobación</t>
  </si>
  <si>
    <t>00495469</t>
  </si>
  <si>
    <t>CNN - Realizar sumarización mes de Octubre</t>
  </si>
  <si>
    <t xml:space="preserve">
Sumarización realizada y finalizada.</t>
  </si>
  <si>
    <t>00495489</t>
  </si>
  <si>
    <t>MLCC - NO SE CARGA DE MODELO DE BLOQUE</t>
  </si>
  <si>
    <t>Se revisa el importador asociado a la carga de archivos de modelos de bloques y este se encontraba encolado, se detiene el servicio en el crontab y se ejecuta de manera manual para realizar la carga.</t>
  </si>
  <si>
    <t>00495518</t>
  </si>
  <si>
    <t>AMZAL - Camiones 35 y 49 no contabilizan bien vueltas</t>
  </si>
  <si>
    <t>Se revisa el reproductor de gps confirmando que el camión h35 realizó descargas entre las 20 y 22 no así como se muestra en descarga sumarios. Se reincian los equipos con problemas y al monitorear contabilizan normal las vueltas.
Con respecto a las vueltas perdidas deberán ingresarlas manualmente.</t>
  </si>
  <si>
    <t>00495521</t>
  </si>
  <si>
    <t>AMCEN - Cargador frontal 233 no muestra contorno de extracción en VNC</t>
  </si>
  <si>
    <t>Se reinicia la bbdd interna del equipo y el sistema del equipo lo cual recupera las capas de filtros en VNC</t>
  </si>
  <si>
    <t>00495527</t>
  </si>
  <si>
    <t>MLCC - Consulta sobre cargas rojas en jsmapa</t>
  </si>
  <si>
    <t>Cristian Perez</t>
  </si>
  <si>
    <t>00495535</t>
  </si>
  <si>
    <t>AMZAL - reporte del jview</t>
  </si>
  <si>
    <t>Se revisa el reporte indicado por el cliente y este no presenta problemas en la ejecución, se avisa al cliente y este informa que las diferencias vistas eran por un equipo que no había sido filtrado y que ocasionaba las diferencias en los datos finales. Se da por finalizado el requerimiento.</t>
  </si>
  <si>
    <t>10/13/2023 6:42 AM</t>
  </si>
  <si>
    <t>10/13/2023 6:45 AM</t>
  </si>
  <si>
    <t>Raúl Torres</t>
  </si>
  <si>
    <t>00495536</t>
  </si>
  <si>
    <t>MLCC - No se visualiza vnc en PALA210</t>
  </si>
  <si>
    <t>Problema informado por despacho es debido a que el mineops donde se quiere visualizar el vnc está en otro rango de red. Se realiza una conexión de manera directa vía túnel ssh y se pudo visualizar el aplicativo vnc de la pala y el de otros equipos de campo. Se adjunta umagen con la prueba realizada.</t>
  </si>
  <si>
    <t>10/13/2023 6:50 AM</t>
  </si>
  <si>
    <t>10/13/2023 12:24 PM</t>
  </si>
  <si>
    <t>00495557</t>
  </si>
  <si>
    <t>MLCC - Camión sin cobertura cerca de PALA 210</t>
  </si>
  <si>
    <t>Se revisa durante varios minutos comportamiento de los equipos y no se presentan problemas de cobertura, movimiento de carro de red pudo ocasionar una zona oscura cerca de la pala. Se llama al cliente e informa que ya pudo recuperar la vista de los equipos con normalidad.</t>
  </si>
  <si>
    <t>10/13/2023 12:26 PM</t>
  </si>
  <si>
    <t>10/13/2023 12:37 PM</t>
  </si>
  <si>
    <t>00495559</t>
  </si>
  <si>
    <t>MLCC - Cargador 220</t>
  </si>
  <si>
    <t>Cargador 220 no tiene comunicación por lo que no es posible realizar trabajos de revisión. Se informa al cliente cobertura de la red en el sector</t>
  </si>
  <si>
    <t>10/13/2023 12:50 PM</t>
  </si>
  <si>
    <t>00495599</t>
  </si>
  <si>
    <t>AMCEN - VNC del CF233 no visualiza contornos</t>
  </si>
  <si>
    <t>Se reinicia el equipo y al levantar muestra contornos</t>
  </si>
  <si>
    <t>10/13/2023 6:55 PM</t>
  </si>
  <si>
    <t>10/13/2023 7:45 PM</t>
  </si>
  <si>
    <t>00495603</t>
  </si>
  <si>
    <t>Sumarización finalizada, se restablece el servicio del sumarizador.</t>
  </si>
  <si>
    <t>10/14/2023 1:33 AM</t>
  </si>
  <si>
    <t>10/14/2023 6:04 AM</t>
  </si>
  <si>
    <t>00495615</t>
  </si>
  <si>
    <t>Monitoreo - MAGSA - VPN</t>
  </si>
  <si>
    <t>Se solicita vía correo al personal de Veladero apoyo para restablecer túnel hacía servidores de veladero.</t>
  </si>
  <si>
    <t>10/14/2023 2:01 PM</t>
  </si>
  <si>
    <t>10/17/2023 3:03 PM</t>
  </si>
  <si>
    <t>VPN ya se encuentra operativa y solo se podrá realizar vía consola ya que sistema de monitoreo permanecerá sin acceso hasta que Guillermo Lamas del ok para volver a reconectar.</t>
  </si>
  <si>
    <t>Masashi</t>
  </si>
  <si>
    <t>00495637</t>
  </si>
  <si>
    <t>CNDMH - No se visualiza pala 212</t>
  </si>
  <si>
    <t>Se realiza revisión con la pala 212 y en primera instancia no se pudo establecer comunicación con la pala vía ssh. Luego de varios intentos se logró realizar conexión para realizar pruebas de comunicación. Las pruebas realizadas no arrojaron intermitencia y la visualización vía VNC muestran señales de red normales. Posiblemente pala 212 halla estado en alguna zona oscura y ocasiono el problema de comunicación.</t>
  </si>
  <si>
    <t>10/15/2023 6:44 AM</t>
  </si>
  <si>
    <t>10/15/2023 8:19 AM</t>
  </si>
  <si>
    <t>00495642</t>
  </si>
  <si>
    <t>Monitoreo AMANT - Replica sql encolado</t>
  </si>
  <si>
    <t>Sistema de monitoreo muestra procesos de réplica encolados, se realiza revisión en servidores de BD y se encuentra que servidor espejo 10.16.200.248 tuvo un reinicio. Luego de "matar" los procesos encolados en el servidor primario y de iniciar todos los servicios y aplicativos del sql en el servidor espejo se normaliza la ejecución de la réplica.</t>
  </si>
  <si>
    <t>10/15/2023 11:24 AM</t>
  </si>
  <si>
    <t>10/15/2023 11:56 AM</t>
  </si>
  <si>
    <t>00495653</t>
  </si>
  <si>
    <t>AAM - Borrar tronada</t>
  </si>
  <si>
    <t>Despachador Marcelo Soto solicita eliminar archivo de tronada 0910F515 para poder subir un nuevo archivo con el mismo nombre, pero con valores diferentes. Se explica que tronada puede ser "borrada" del jsmina pero que el archivo cargado no, por temas de relaciones en los datos de carga y descargas asociadas a esa tronada. Se solicita enviar correo detallando lo que requiere en el caso de persistir con la eliminación del archivo.</t>
  </si>
  <si>
    <t>10/15/2023 1:17 PM</t>
  </si>
  <si>
    <t>10/15/2023 2:25 PM</t>
  </si>
  <si>
    <t>Marcelo Soto</t>
  </si>
  <si>
    <t>00495654</t>
  </si>
  <si>
    <t>AMANT - Página Mine Enterprise caída</t>
  </si>
  <si>
    <t>Se realiza revisión de los servicios web y del sharperlight y todo funciona con normalidad, además de la revisión de la base de datos la cual está actualizada. Se sugiere vía correo borrar el cache del pc para evitar abrir sesiones con conexiones que estén expiradas y así evitar el problema de conexión que se informó.</t>
  </si>
  <si>
    <t>10/15/2023 2:16 PM</t>
  </si>
  <si>
    <t>10/15/2023 2:24 PM</t>
  </si>
  <si>
    <t>Adrián Tapia</t>
  </si>
  <si>
    <t>00495680</t>
  </si>
  <si>
    <t>CNDMH - Pala 201 con problemas en VNC</t>
  </si>
  <si>
    <t>Se reinicia la base de datos interna y el equipo mismo lo cual normaliza la situación</t>
  </si>
  <si>
    <t>10/15/2023 5:46 PM</t>
  </si>
  <si>
    <t>10/15/2023 6:28 PM</t>
  </si>
  <si>
    <t>00495682</t>
  </si>
  <si>
    <t>AAM - Borrar polígonos previamente cargados</t>
  </si>
  <si>
    <t>Se actualiza por base de datos el valor updated_at y deleted_at a petición del cliente</t>
  </si>
  <si>
    <t>10/15/2023 4:51 PM</t>
  </si>
  <si>
    <t>10/16/2023 3:32 AM</t>
  </si>
  <si>
    <t>00495689</t>
  </si>
  <si>
    <t>AMCEN - Camión 19 con problema de asignaciones</t>
  </si>
  <si>
    <t>Se reinicia el equipo lo cual normaliza la situación</t>
  </si>
  <si>
    <t>10/15/2023 7:05 PM</t>
  </si>
  <si>
    <t>10/15/2023 8:30 PM</t>
  </si>
  <si>
    <t>Henry ACT</t>
  </si>
  <si>
    <t>00495700</t>
  </si>
  <si>
    <t>Se realizan sumarizaciones para las fechas específicadas.</t>
  </si>
  <si>
    <t>10/16/2023 1:43 AM</t>
  </si>
  <si>
    <t>10/16/2023 2:36 AM</t>
  </si>
  <si>
    <t>00495717</t>
  </si>
  <si>
    <t>Al momento de revisar, el reporte daily tiene una diferencia de 210 toneladas menos, por lo que se realiza una sumarización manual del día 15/10 para regularizar alguna carga que no haya sido contabilizada. Luego de la sumarización manual los totales de ambos reportes coinciden por lo que se informa al cliente que ya está todo regularizado.</t>
  </si>
  <si>
    <t>10/16/2023 6:10 AM</t>
  </si>
  <si>
    <t>10/16/2023 7:16 AM</t>
  </si>
  <si>
    <t>00495719</t>
  </si>
  <si>
    <t>Monitoreo - AAS - Diferencia tabla shift_states servidor secundario</t>
  </si>
  <si>
    <t>Diferencia encontrada se debía al no respaldo del schema_info el cual estaba detenido desde el 2/10. Se realiza un respaldo manual y se deja el Cluster detenido para poder realizar un respaldo completo a al servidor secundario.</t>
  </si>
  <si>
    <t>00495761</t>
  </si>
  <si>
    <t>AMZAL - Descarga de tabla by_cycle_time</t>
  </si>
  <si>
    <t>Se realiza la descarga de lo solicitado y se crea archivo el cual se aloja en ruta indicada por el cliente. Se envía correo con todo el detalle.</t>
  </si>
  <si>
    <t>10/16/2023 3:27 PM</t>
  </si>
  <si>
    <t>10/16/2023 3:37 PM</t>
  </si>
  <si>
    <t>Miguel Caseres</t>
  </si>
  <si>
    <t>00495784</t>
  </si>
  <si>
    <t>AMZAL - Petición de información de tablas</t>
  </si>
  <si>
    <t>Se crean queries que guardan los datos solicitados en documento txt en el servidor primario. Posteriormente se recuperan en pivote windows para ser convertidos en archivos xlss y se dejan en carpeta compartida.</t>
  </si>
  <si>
    <t>10/16/2023 7:17 PM</t>
  </si>
  <si>
    <t>10/17/2023 12:12 AM</t>
  </si>
  <si>
    <t>00495826</t>
  </si>
  <si>
    <t>AMCEN - Problemas de gps con la pala 2</t>
  </si>
  <si>
    <t>Se ingresa a la pala y efectivamente se encuentra con ambos gps sin funcionar en su mejor estado. Al revisar las correcciones diferenciales se puede observar que no están siendo lo suficientes para tener un buen estado de gps. Al revisar las correcciones proporcionadas por el servidor se puede observar que es a nivel servidor que fallan las correcciones debido a eventos meteorológicos.</t>
  </si>
  <si>
    <t>10/16/2023 11:15 PM</t>
  </si>
  <si>
    <t>10/17/2023 12:14 AM</t>
  </si>
  <si>
    <t>00495846</t>
  </si>
  <si>
    <t>AAM - Revisión de archivo poligono</t>
  </si>
  <si>
    <t>Se envía correo a Mario Tapia indicando la forma en cómo se debe armar archivo para evitar problemas con el importador.</t>
  </si>
  <si>
    <t>10/17/2023 6:12 AM</t>
  </si>
  <si>
    <t>10/17/2023 12:38 PM</t>
  </si>
  <si>
    <t>00495874</t>
  </si>
  <si>
    <t>MLCC - Diferencias en factor de carga del mes de septiembre</t>
  </si>
  <si>
    <t>Debido a correo recibido por Daniel Godoy se revisa la información en mineops y en la base de datos, el factor de carga registrado para el mes de septiembre es el que corresponde para la categoría de material Chancado. Posiblemente la diferencia se deba a que se realizó modificaciones el 2/10 al factor de carga y el sistema este tomando el valor antiguo y no el que se actualizo. Para modificar la vista de las Descargas sumarias se procederá a reiniciar el JAMS para que la vista de Descargas sumarias tomé los mismos datos que aparecen en la BD.</t>
  </si>
  <si>
    <t>10/17/2023 10:03 AM</t>
  </si>
  <si>
    <t>00495875</t>
  </si>
  <si>
    <t>MLCC - Query de inicio/fin de trabajo</t>
  </si>
  <si>
    <t>Se envía correo con la query solicitada.</t>
  </si>
  <si>
    <t>10/17/2023 10:12 AM</t>
  </si>
  <si>
    <t>10/17/2023 2:54 PM</t>
  </si>
  <si>
    <t>00495895</t>
  </si>
  <si>
    <t>Monitoreo - CNDMH - Procesos de replica encolados</t>
  </si>
  <si>
    <t>Se reinician los servicios del sql lo cual permite liberar los procesos encolados vistos mediante el sistema de monitoreo. Procesos se normalizan.</t>
  </si>
  <si>
    <t>10/17/2023 12:33 PM</t>
  </si>
  <si>
    <t>00495925</t>
  </si>
  <si>
    <t>AMZAL - Pantalla S03 queda pegada en negro</t>
  </si>
  <si>
    <t>Al momento de la revisión pantalla de la pala esta se encuentra pegada, se revisa el log del JSPanel y solo queda cargando, por lo que se procede a borrar la base de interna del equipo y luego se detiene el JASMRouter por al menos 10 segundos. Luego de eso pantalla de la pala vuelve a quedar operativa. Se adjunta imágenes de lo realizado.</t>
  </si>
  <si>
    <t>10/17/2023 4:02 PM</t>
  </si>
  <si>
    <t>10/17/2023 4:10 PM</t>
  </si>
  <si>
    <t>Fredy Quiste</t>
  </si>
  <si>
    <t>00495941</t>
  </si>
  <si>
    <t>AMCEN - Camión C22 con problemas de gps y pantalla</t>
  </si>
  <si>
    <t>Primero se realiza ping al equipo y no es posible llegar a el. Se mantiene un buen periodo de tiempo haciendo ping hasta que se recupera la conexión y luego trabaja normalmente.</t>
  </si>
  <si>
    <t>10/17/2023 6:17 PM</t>
  </si>
  <si>
    <t>10/17/2023 10:02 PM</t>
  </si>
  <si>
    <t>00495945</t>
  </si>
  <si>
    <t>AMCEN - Pala 3 con problemas para reconocer camiones</t>
  </si>
  <si>
    <t>Al realizarle ping al equipo se puede observar el gran valor de ms que se presenta. Se le comenta a despachador que es debido a problemas de redes que la pala está presentando problemas del sistema.</t>
  </si>
  <si>
    <t>10/17/2023 7:35 PM</t>
  </si>
  <si>
    <t>10/17/2023 10:06 PM</t>
  </si>
  <si>
    <t>00495951</t>
  </si>
  <si>
    <t>AMCEN - CF233 no reconoce en mapa contorno de alimentación</t>
  </si>
  <si>
    <t>Se le elimina la base de datos interna al equipo y posteriormente se reinicia por completo lo cual normaliza la situación.</t>
  </si>
  <si>
    <t>10/17/2023 7:53 PM</t>
  </si>
  <si>
    <t>10/18/2023 2:23 AM</t>
  </si>
  <si>
    <t>00495963</t>
  </si>
  <si>
    <t>MAGSA - Perforadoras con intermitencia de señal</t>
  </si>
  <si>
    <t>Se revisan las correcciones diferenciales que se realizan a nivel de servidor y se detecta intermitencia, esto se puede deber a eventos geomagnético los cuales interrumpen la correcta recepción de señal gps por parte de la estación base y por consiguiente la señal gps de los equipos de campo.</t>
  </si>
  <si>
    <t>10/17/2023 8:59 PM</t>
  </si>
  <si>
    <t>Cesar Godoy</t>
  </si>
  <si>
    <t>00495988</t>
  </si>
  <si>
    <t>MLCC - Reiniciar conexiones</t>
  </si>
  <si>
    <t>Se reinician las conexiones segun lo solicitado</t>
  </si>
  <si>
    <t>10/18/2023 08:12 AM</t>
  </si>
  <si>
    <t>10/18/2023 09:13 AM</t>
  </si>
  <si>
    <t>00496024</t>
  </si>
  <si>
    <t>MLCC - Pala 2 no carga tunel de exploración</t>
  </si>
  <si>
    <t>Se revisa el equipo, el cual tenia mala señal, al conectarse al servidor, carga el dibujo correctamente</t>
  </si>
  <si>
    <t>10/18/2023 09:40 AM</t>
  </si>
  <si>
    <t>10/18/2023 11:01 AM</t>
  </si>
  <si>
    <t>00496025</t>
  </si>
  <si>
    <t>MLCC - Problema con los cambio de actividades en las palas</t>
  </si>
  <si>
    <t>Se monitorean los equipos, de los cuales 3 tenian muy mala señal , los demas hacian bien los cambios</t>
  </si>
  <si>
    <t>10/18/2023 10:12 AM</t>
  </si>
  <si>
    <t>10/18/2023 12:12 PM</t>
  </si>
  <si>
    <t>00496031</t>
  </si>
  <si>
    <t>MLCC - Sumarizacion 12 de Octubre</t>
  </si>
  <si>
    <t>10/18/2023 12:23 PM</t>
  </si>
  <si>
    <t>10/18/2023 13:23 PM</t>
  </si>
  <si>
    <t>00496108</t>
  </si>
  <si>
    <t>AMCEN-Luis Rios informa que el reporte KPI carguio no estaba actualizando el turno B</t>
  </si>
  <si>
    <t>se encontraba el proceso de replica encolado por lo cual no terminaba de buena manera, se eliminan esos procesos y se reinicia el servicio de SQL server.</t>
  </si>
  <si>
    <t>10/18/2023 21:47 PM</t>
  </si>
  <si>
    <t>10/18/2023 22:47 PM</t>
  </si>
  <si>
    <t>00496114</t>
  </si>
  <si>
    <t>AMANT-Cristian Barrera solicita asistencia por el C21</t>
  </si>
  <si>
    <t>no hay comunicación con el equipo. se deriva a personal de terreno.</t>
  </si>
  <si>
    <t>10/18/2023 23:14 PM</t>
  </si>
  <si>
    <t>10/19/2023 00:14 AM</t>
  </si>
  <si>
    <t>Crsitian Barrera</t>
  </si>
  <si>
    <t>00496119</t>
  </si>
  <si>
    <t>AMCEN-Luis Rios informa problema gps de CF233</t>
  </si>
  <si>
    <t>al momento de la revisión el equipo se encontraba operativo</t>
  </si>
  <si>
    <t>10/19/2023 02:21 AM</t>
  </si>
  <si>
    <t>10/19/2023 03:21 AM</t>
  </si>
  <si>
    <t>00496124</t>
  </si>
  <si>
    <t>AAM-Victor Vera de Manto verde solicita revisión PA3 ya que no puede cambiar de polígono</t>
  </si>
  <si>
    <t>la cuenta usada por despacho no le permitió cambiar el polígono, se realiza desde una cuenta con perfil administrador.</t>
  </si>
  <si>
    <t>10/19/2023 04:40 AM</t>
  </si>
  <si>
    <t>10/19/2023 05:40 AM</t>
  </si>
  <si>
    <t>Crstian Barrera</t>
  </si>
  <si>
    <t>00496131</t>
  </si>
  <si>
    <t>Monitoreo - CNMS - procesos sql encolados</t>
  </si>
  <si>
    <t>Se eliminan los procesos</t>
  </si>
  <si>
    <t>10/19/2023 08:00 AM</t>
  </si>
  <si>
    <t>10/19/2023 08:25 AM</t>
  </si>
  <si>
    <t>00496136</t>
  </si>
  <si>
    <t>MLCC - Reinicio pala 2</t>
  </si>
  <si>
    <t>10/19/2023 09:21 AM</t>
  </si>
  <si>
    <t>10/19/2023 09:45 AM</t>
  </si>
  <si>
    <t>00496137</t>
  </si>
  <si>
    <t>MLCC - Revision de palas y cargadores</t>
  </si>
  <si>
    <t>Se envian los datos solicitados por Daniel Godoy</t>
  </si>
  <si>
    <t>10/19/2023 10:00 AM</t>
  </si>
  <si>
    <t>00496169</t>
  </si>
  <si>
    <t>MLCC - Reiniciar pala 10</t>
  </si>
  <si>
    <t>Se reinicia el equipo, pero este no tiene llegada con la pantalla</t>
  </si>
  <si>
    <t>10/19/2023 14:14 PM</t>
  </si>
  <si>
    <t>10/19/2023 14:52 PM</t>
  </si>
  <si>
    <t>00496176</t>
  </si>
  <si>
    <t>CNN - RV: Actividad Llenado</t>
  </si>
  <si>
    <t>El problema era un prestart duplicado, se elimina y se pueden cambiar los estados correctamente</t>
  </si>
  <si>
    <t>10/19/2023 16:40 PM</t>
  </si>
  <si>
    <t>10/19/2023 18:25 PM</t>
  </si>
  <si>
    <t>00496184</t>
  </si>
  <si>
    <t>AMANT-Cristian Barrera solicita asistencia por S01</t>
  </si>
  <si>
    <t>10/19/2023 19:29 PM</t>
  </si>
  <si>
    <t>10/19/2023 20:29 PM</t>
  </si>
  <si>
    <t>Cristian Barrera</t>
  </si>
  <si>
    <t>00496186</t>
  </si>
  <si>
    <t>CNMS-Camiones no respetan la restricción de zona</t>
  </si>
  <si>
    <t>los camiones no se encontraban con restricción , por lo cual se le da una restricción para que no cambien de pala y funciona de forma normal.se confirma con personal de terreno.</t>
  </si>
  <si>
    <t>10/19/2023 20:33 PM</t>
  </si>
  <si>
    <t>10/19/2023 21:33 PM</t>
  </si>
  <si>
    <t>Daniel Huanchicay</t>
  </si>
  <si>
    <t>00496207</t>
  </si>
  <si>
    <t>AMCEN-Luis Rios informa problema gps de C15 pantalla pegada, no realiza las asignaciones, ni cuenta las vueltas.</t>
  </si>
  <si>
    <t>se reinicia el equipo completo y levanta de buena manera.</t>
  </si>
  <si>
    <t>10/19/2023 22:07 PM</t>
  </si>
  <si>
    <t>10/19/2023 23:07 PM</t>
  </si>
  <si>
    <t>00496225</t>
  </si>
  <si>
    <t>el equipo presenta problemas fisicos de gps. se deriva a personal de terreno.</t>
  </si>
  <si>
    <t>10/20/2023 00:00 PM</t>
  </si>
  <si>
    <t>10/20/2023 03:00 PM</t>
  </si>
  <si>
    <t>00496240</t>
  </si>
  <si>
    <t>AMZAL - Modificacion de informes</t>
  </si>
  <si>
    <t>Se realizan las modificaciones solicitadas por Miguel</t>
  </si>
  <si>
    <t>10/20/2023 09:55 AM</t>
  </si>
  <si>
    <t>10/20/2023 11:30 AM</t>
  </si>
  <si>
    <t>00496246</t>
  </si>
  <si>
    <t>10/20/2023 12:45 AM</t>
  </si>
  <si>
    <t>10/20/2023 19:00 PM</t>
  </si>
  <si>
    <t>00496301</t>
  </si>
  <si>
    <t>CNCHUQ-Miguel Huanchicay solicita apoyo,C472 volumen bajo y problemas de GPS.</t>
  </si>
  <si>
    <t>se sube el volumen via VNC, y se reincia para que el GPS vuelva a tomar señal quedando operativo.</t>
  </si>
  <si>
    <t>10/20/2023 21:03 PM</t>
  </si>
  <si>
    <t>10/20/2023 22:03 PM</t>
  </si>
  <si>
    <t>miguel huanchicay</t>
  </si>
  <si>
    <t>00496302</t>
  </si>
  <si>
    <t>CNDMH-Alvaro silva solicita asistencia en PAla 201 ya que no tiene comunicación.</t>
  </si>
  <si>
    <t>se sube y se baja el puerto FMS del Sarhm y vuelve a retomar conexión.</t>
  </si>
  <si>
    <t>10/20/2023 21:33 PM</t>
  </si>
  <si>
    <t>10/20/2023 21:50 PM</t>
  </si>
  <si>
    <t>Alvaro silva</t>
  </si>
  <si>
    <t>00496303</t>
  </si>
  <si>
    <r>
      <t>AAM-Victopr Veragua solicita asistencia ya que tiene zonas mal asignadas a la pala 2 y 3.</t>
    </r>
    <r>
      <rPr>
        <sz val="11"/>
        <color theme="1"/>
        <rFont val="Inherit"/>
        <charset val="1"/>
      </rPr>
      <t>Edit Subject</t>
    </r>
  </si>
  <si>
    <t>se evidencia que una de las zonas no estaba activa y la otra no tenia asociada una descarga . se corrige y se le asigna a la pala quedando operativa.</t>
  </si>
  <si>
    <t>10/20/2023 22:36 PM</t>
  </si>
  <si>
    <t>10/20/2023 23:36 PM</t>
  </si>
  <si>
    <t>Victor Veragua</t>
  </si>
  <si>
    <t>00496304</t>
  </si>
  <si>
    <t>AMCEN-Luis Rios informa problema gps de PE3-5-6.</t>
  </si>
  <si>
    <t>se reinician los equipos quedando operativos.</t>
  </si>
  <si>
    <t>10/20/2023 23:43 PM</t>
  </si>
  <si>
    <t>10/21/2023 03:00 AM</t>
  </si>
  <si>
    <t>00496309</t>
  </si>
  <si>
    <t>10/21/2023 08:20 AM</t>
  </si>
  <si>
    <t>10/21/2023 19:36 PM</t>
  </si>
  <si>
    <t>00496310</t>
  </si>
  <si>
    <t>Monitoreo - CNDMH - Consultas sql encoladas</t>
  </si>
  <si>
    <t>Se reinician los servicios sql, eliminando asi las consultas encoladas.</t>
  </si>
  <si>
    <t>10/21/2023 08:30 AM</t>
  </si>
  <si>
    <t>10/21/2023 10:03 AM</t>
  </si>
  <si>
    <t>00496312</t>
  </si>
  <si>
    <t>CNDMH - Sin reportabilidad Jview</t>
  </si>
  <si>
    <t>Se revisan los reportes, los cuales estaban saliendo actualizados, se devuelve el llamado y confirman que ya estaba arreglado.</t>
  </si>
  <si>
    <t>10/21/2023 09:02 AM</t>
  </si>
  <si>
    <t>10/21/2023 09:15 AM</t>
  </si>
  <si>
    <t>00496313</t>
  </si>
  <si>
    <t>MLCC - Importador Hazard</t>
  </si>
  <si>
    <t>El problema fue generado por un importador pegado , este es eliminado y los demas se cargan de forma correcta.</t>
  </si>
  <si>
    <t>10/21/2023 10:02 AM</t>
  </si>
  <si>
    <t>10/21/2023 10:37 AM</t>
  </si>
  <si>
    <t>Viviana</t>
  </si>
  <si>
    <t>00496317</t>
  </si>
  <si>
    <t>CNCHQ - Jmineops con lentitud</t>
  </si>
  <si>
    <t>Se revisa el servidor, encontrandose todo normal.</t>
  </si>
  <si>
    <t>10/21/2023 14:42 PM</t>
  </si>
  <si>
    <t>10/21/2023 17:33 PM</t>
  </si>
  <si>
    <t>Diego Hxg</t>
  </si>
  <si>
    <t>00496318</t>
  </si>
  <si>
    <t>CNCHQ - Reiniciar C154</t>
  </si>
  <si>
    <t>Se reinicia el equipo.</t>
  </si>
  <si>
    <t>00496321</t>
  </si>
  <si>
    <t>Mantoverde - Pala °2 con problemas de asignacion</t>
  </si>
  <si>
    <t>Se asigna correctamente la zona correspondiente</t>
  </si>
  <si>
    <t>Carlos Despacho</t>
  </si>
  <si>
    <t>00496324</t>
  </si>
  <si>
    <t>CNCHUQ-Miguel Huanchicay solicita apoyo por problemas en las asignaciones automáticas.</t>
  </si>
  <si>
    <t>se aumenta la prioridad a pala que estaba tirando material a chancado. se monitorea y no se vuelven a recibir llamados por el problema.</t>
  </si>
  <si>
    <t>10/21/2023 20:48 PM</t>
  </si>
  <si>
    <t>10/21/2023 21:48 PM</t>
  </si>
  <si>
    <t>00496327</t>
  </si>
  <si>
    <t>AMCEN-Luis Rios informa problema de pantalla C122.</t>
  </si>
  <si>
    <t>no hay conexión con el equipo. se deriva a personal de terreno.</t>
  </si>
  <si>
    <t>10/21/2023 21:04 PM</t>
  </si>
  <si>
    <t>10/21/2023 22:04 PM</t>
  </si>
  <si>
    <t>Luis Riios</t>
  </si>
  <si>
    <t>00496328</t>
  </si>
  <si>
    <t>AMCEN-Luis Rios informa problema de pantalla C154.</t>
  </si>
  <si>
    <t>se revisa el equipo y remotamente no se evidencia problemas en su pantalla , si el operador sigue con problemas debe revisarse en terreno.</t>
  </si>
  <si>
    <t>10/21/2023 23:04 PM</t>
  </si>
  <si>
    <t>00496332</t>
  </si>
  <si>
    <t>CNRT-Rodrigo Valenzuela indica que pala 708 "salta de poligono"</t>
  </si>
  <si>
    <t>se reinicia la BD de la pala , se monitorea y no vuelve a cambiarse de polígono.</t>
  </si>
  <si>
    <t>10/22/2023 02:30 AM</t>
  </si>
  <si>
    <t>10/22/2023 04:30 AM</t>
  </si>
  <si>
    <t>00496335</t>
  </si>
  <si>
    <t>MLCC-Alejandro Larenas indica que algunos camiones se le van a reserva</t>
  </si>
  <si>
    <t>se eliminan destinos duplicados en la tabla dumping y no vuelve a pasar el problema.</t>
  </si>
  <si>
    <t>10/22/2023 04:45 AM</t>
  </si>
  <si>
    <t>10/22/2023 05:20 AM</t>
  </si>
  <si>
    <t>Alejandro LArenas</t>
  </si>
  <si>
    <t>00496337</t>
  </si>
  <si>
    <t>AMCEN-Luis Rios informa problema GPD PE1</t>
  </si>
  <si>
    <t>Se reincia el core del equipo y queda operativo</t>
  </si>
  <si>
    <t>10/22/2023 06:50 AM</t>
  </si>
  <si>
    <t>10/22/2023 07:20 AM</t>
  </si>
  <si>
    <t>00496341</t>
  </si>
  <si>
    <t>CNDMH - Bull 404 sin gps</t>
  </si>
  <si>
    <t>Se logra acceder a la pantalla del equipo, pero no tenia llegada con el core, se reinicia la pantalla para ver si recupera, pero despues no se vuelve a conectar al servidor, se le avisa a Javier para que la vean en terreno.</t>
  </si>
  <si>
    <t>10/22/2023 09:28 AM</t>
  </si>
  <si>
    <t>10/22/2023 10:01 AM</t>
  </si>
  <si>
    <t>00496360</t>
  </si>
  <si>
    <t>AMZAL - C56 se pone cargando en ruta</t>
  </si>
  <si>
    <t>Se le hace seguimiento al equipo, el cual termina su viaje de manera correcta, desde viajando vacio hasta que vuelve a cargar en la Pala N°2, si se detecto en muchos puntos del camino, desconexion con el servidor pero nada mas.</t>
  </si>
  <si>
    <t>10/22/2023 13:17 PM</t>
  </si>
  <si>
    <t>10/22/2023 18:20 PM</t>
  </si>
  <si>
    <t>00496453</t>
  </si>
  <si>
    <t>Monitoreo - AMANT - SQL encolado</t>
  </si>
  <si>
    <t>Se reinician los servicios sql,  se eliminan las consultas encoladas y se revisa que estas no vuelvan a quedarse pegadas.</t>
  </si>
  <si>
    <t>10/23/2023 13:17 PM</t>
  </si>
  <si>
    <t>00496466</t>
  </si>
  <si>
    <t>10/23/2023 15:40 PM</t>
  </si>
  <si>
    <t>10/23/2023 18:30 PM</t>
  </si>
  <si>
    <t>00496479</t>
  </si>
  <si>
    <t>AAS - Reunión acceso a carpeta Xfer</t>
  </si>
  <si>
    <t>Se tiene una reunión con las personas afectadas, se entiende mas la situación, y es que tienen llegada con la ip del servidor, pero al momento de querer entrar a la ruta, arroja errores de credenciales, se les da una serie de soluciones posibles , para así ir descartandoEdit Case Assessment</t>
  </si>
  <si>
    <t>10/23/2023 17:30 PM</t>
  </si>
  <si>
    <t>Dagoberto Fuentes</t>
  </si>
  <si>
    <t>00496524</t>
  </si>
  <si>
    <t>AMZAL-Freddie de Sim Solicita asistencia por la perforadora D14.</t>
  </si>
  <si>
    <t>El símbolo de color rojo que aparecía en el vnc de la perforadora corresponde a los sensores , específicamente al de profundimetro. se informa a personal de SIM para que tome medidas.</t>
  </si>
  <si>
    <t>10/23/2023 21:15 PM</t>
  </si>
  <si>
    <t>10/23/2023 21:30 PM</t>
  </si>
  <si>
    <t>00496532</t>
  </si>
  <si>
    <t>AMCEN-Luis Rios informa problema GPS PA6</t>
  </si>
  <si>
    <t>se reinicia los gps y vuelve a estar operativa</t>
  </si>
  <si>
    <t>10/23/2023 23:45 PM</t>
  </si>
  <si>
    <t>10/24/2023 00:45 AM</t>
  </si>
  <si>
    <t>Luis Rios ACT</t>
  </si>
  <si>
    <t>00496533</t>
  </si>
  <si>
    <t>AMCEN-Luis Rios informa problema GPS PE1</t>
  </si>
  <si>
    <t>00496534</t>
  </si>
  <si>
    <t>AMCEN-Luis Rios informa problema GPS PE6</t>
  </si>
  <si>
    <t>00496581</t>
  </si>
  <si>
    <t>CNN - Srumarizacion mes de Octubre</t>
  </si>
  <si>
    <t>Se realzial a sumarizacion solicitada</t>
  </si>
  <si>
    <t>10/24/2023 09:10 AM</t>
  </si>
  <si>
    <t>10/24/2023 13:10 PM</t>
  </si>
  <si>
    <t>00496589</t>
  </si>
  <si>
    <t>MLCC - Malla no se carga en el sistema</t>
  </si>
  <si>
    <t>Se revisa la malla, la cual estaba cargada correctamente y visible dentro del mapa, se le envía a Viviana un correo con la información y se le recomienda reiniciar su mineops</t>
  </si>
  <si>
    <t>10/24/2023 14:30 PM</t>
  </si>
  <si>
    <t>10/24/2023 14:50 PM</t>
  </si>
  <si>
    <t>00496597</t>
  </si>
  <si>
    <t>10/24/2023 15:14 PM</t>
  </si>
  <si>
    <t>10/24/2023 18:36 PM</t>
  </si>
  <si>
    <t>00496671</t>
  </si>
  <si>
    <t>Monitoreo - CNCHQ - Servicio HxGN CasApi detenido</t>
  </si>
  <si>
    <t>Se accede al servidor y se detiene y vuelve a levantar el servicio.</t>
  </si>
  <si>
    <t>10/25/2023 4:40 AM</t>
  </si>
  <si>
    <t>10/25/2023 5:05 AM</t>
  </si>
  <si>
    <t>00496696</t>
  </si>
  <si>
    <t>Se realiza la sumarización como fue solicitada.</t>
  </si>
  <si>
    <t>10/25/2023 7:46 AM</t>
  </si>
  <si>
    <t>10/25/2023 8:50 AM</t>
  </si>
  <si>
    <t>00496705</t>
  </si>
  <si>
    <t>CNDMH - Sin actualización de reportes</t>
  </si>
  <si>
    <t>Al revisar el servidor se encuentran múltiples instancias de run encoladas por lo que se procede a detener el servicio SQL para que mueran las mismas y luego se inicia nuevamente lo cual permite que las ejecuciones pasen bien y recuperando los reportes actualizados.</t>
  </si>
  <si>
    <t>10/25/2023 10:12 AM</t>
  </si>
  <si>
    <t>10/25/2023 10:29 AM</t>
  </si>
  <si>
    <t>Sebastian Vera</t>
  </si>
  <si>
    <t>00496711</t>
  </si>
  <si>
    <t>Se eliminan el exceso de sesiones conectadas permitiendo que la ejecución de run avance.</t>
  </si>
  <si>
    <t>10/25/2023 11:04 AM</t>
  </si>
  <si>
    <t>10/25/2023 11:21 AM</t>
  </si>
  <si>
    <t>00496717</t>
  </si>
  <si>
    <t>AAM - Checkeo de la alta precisión</t>
  </si>
  <si>
    <t>Se revisa equipo específico con problemas encontrando que sus sensores están en un buen estado, sin embargo, al revisar las antenas la calidad de corrección es 1. al intentar usar el comando enable rtcm no enseña nada. Se realiza ping a la estación base y no se puede llegar. Se le informa a Claudio.</t>
  </si>
  <si>
    <t>10/25/2023 12:32 PM</t>
  </si>
  <si>
    <t>10/25/2023 2:45 PM</t>
  </si>
  <si>
    <t>Claudio</t>
  </si>
  <si>
    <t>00496756</t>
  </si>
  <si>
    <t>Monitoreo - AAS - VPN Caída</t>
  </si>
  <si>
    <t>Conexión VPN se mostraba desconectada en el sistema de monitoreo, luego de unos minutos se verifica que la conexión ya se encuentra operativa. Se seguirá monitoreando.</t>
  </si>
  <si>
    <t>10/25/2023 5:30 PM</t>
  </si>
  <si>
    <t>10/26/2023 1:43 AM</t>
  </si>
  <si>
    <t>00496758</t>
  </si>
  <si>
    <t>Monitoreo - MLCC - VPN Caída</t>
  </si>
  <si>
    <t>00496762</t>
  </si>
  <si>
    <t>Monitoreo - MLCC - Replica</t>
  </si>
  <si>
    <t>Monitoreo de servidores muestra servicio de réplica encolado, se revisan las conexiones en el servidor y este tiene 44 conexiones activas. Se realiza la desconexión de las instancias para permitir la ejecución de la réplica encolada.</t>
  </si>
  <si>
    <t>10/25/2023 6:17 PM</t>
  </si>
  <si>
    <t>10/26/2023 1:47 AM</t>
  </si>
  <si>
    <t>00496786</t>
  </si>
  <si>
    <t>AAM - Equipos con GPS de alta con problemas</t>
  </si>
  <si>
    <t>Se revisa la comunicación con la estación base, las correcciones diferenciales en el servidor y en los equipos de campo no encontrando problemas. De todas formas, se realiza un reinicio del JAMSRouter para intentar mejorar la señal de las correcciones diferenciales, las cuales promediaban los 230.</t>
  </si>
  <si>
    <t>10/25/2023 10:06 PM</t>
  </si>
  <si>
    <t>10/26/2023 1:46 AM</t>
  </si>
  <si>
    <t>00496834</t>
  </si>
  <si>
    <t>TECKQB - Problemas con alarmas</t>
  </si>
  <si>
    <t>Se revisan configuraciones encontrando que la dirección ip que debe ser la del mpdata contenía otra que no correspondía. Al escribir nuevamente la ip se reintegra la información y se recuperan alarmas.</t>
  </si>
  <si>
    <t>10/26/2023 8:12 AM</t>
  </si>
  <si>
    <t>10/27/2023 4:03 PM</t>
  </si>
  <si>
    <t>00496861</t>
  </si>
  <si>
    <t>MLCC - Equipos sin sistema</t>
  </si>
  <si>
    <t>Se reinicia la pala 210 y se intenta conectar al cargador 220 sin éxito debido a problemas de comunicación. Se informa y lo revisarán en terreno.</t>
  </si>
  <si>
    <t>10/26/2023 11:24 AM</t>
  </si>
  <si>
    <t>10/26/2023 12:40 PM</t>
  </si>
  <si>
    <t>Joseph</t>
  </si>
  <si>
    <t>00496872</t>
  </si>
  <si>
    <t>CNDMH - Jview desactualizado</t>
  </si>
  <si>
    <t>Se reinician los servicios SQL regularizando la situación.</t>
  </si>
  <si>
    <t>10/26/2023 1:02 PM</t>
  </si>
  <si>
    <t>10/26/2023 1:22 PM</t>
  </si>
  <si>
    <t>00496903</t>
  </si>
  <si>
    <t>Monitoreo - CNDMH - Replica sql encolado</t>
  </si>
  <si>
    <t>Se matan los procesos encolados en el servidor primario y se reinician los servicios del sql para permitir la ejecución de los procesos de réplica. Luego los procesos se realizan de manera normal.</t>
  </si>
  <si>
    <t>10/26/2023 5:46 PM</t>
  </si>
  <si>
    <t>10/26/2023 7:31 PM</t>
  </si>
  <si>
    <t>00496904</t>
  </si>
  <si>
    <t>Monitoreo - CNN - Caída VPN</t>
  </si>
  <si>
    <t>Conexión VPN se encuentra desconectada en servidor CNN, se realiza reconexión para recuperar sistema de monitoreo.</t>
  </si>
  <si>
    <t>10/26/2023 6:04 PM</t>
  </si>
  <si>
    <t>00496905</t>
  </si>
  <si>
    <t>AMCEN - No se visualizan camiones en pantalla de pala 7</t>
  </si>
  <si>
    <t>Pala 7 trabaja con normalidad, se informa a TICA de Centinela lo revisado y estado del equipo.</t>
  </si>
  <si>
    <t>10/26/2023 6:09 PM</t>
  </si>
  <si>
    <t>10/26/2023 7:33 PM</t>
  </si>
  <si>
    <t>Escarlet Castillo de TICA Centinela</t>
  </si>
  <si>
    <t>00496907</t>
  </si>
  <si>
    <t>AAM - Borrado de poligono</t>
  </si>
  <si>
    <t>Además del borrado lógico del polígono se realiza el borrado de la tronada según solicita el despachador Mario Tapia. Se llama vía telefónica para confirmar lo realizado.</t>
  </si>
  <si>
    <t>10/26/2023 6:44 PM</t>
  </si>
  <si>
    <t>10/26/2023 7:35 PM</t>
  </si>
  <si>
    <t>00496913</t>
  </si>
  <si>
    <t>MAGSA - Reportes JView desactualizados</t>
  </si>
  <si>
    <t>Se revisa servidor primario y réplica del sql no realizaba tu ejecución completa por lo que se revisan los servicios en el servidor sql de los cuales se encontraban detenidos algunos de ellos. Se opta por reiniciar todos los servicios lo cual permite terminar el servicio de réplica del servidor primario y tener data actualizada en el servidor SQL. Luego de unos minutos los reportes Jview ya están actualizados y con la información completa para su visualización. Se da aviso a Ricardo Olaya que los reportes ya se encuentran disponibles y actualizados.</t>
  </si>
  <si>
    <t>10/26/2023 9:52 PM</t>
  </si>
  <si>
    <t>10/27/2023 2:34 AM</t>
  </si>
  <si>
    <t>Ricardo Olaya</t>
  </si>
  <si>
    <t>00496914</t>
  </si>
  <si>
    <t>AMCEN - Malla de perforación no se visualiza</t>
  </si>
  <si>
    <t>Se informa al despachador que no se encontró ningún archivo con el nombre que menciono en el llamado telefónico y se le explico todo lo realizado. Despachador comenta que verá con el personal para validar si archivo fue cargado.</t>
  </si>
  <si>
    <t>10/26/2023 10:06 PM</t>
  </si>
  <si>
    <t>10/27/2023 2:29 AM</t>
  </si>
  <si>
    <t>Marco husoft</t>
  </si>
  <si>
    <t>00496915</t>
  </si>
  <si>
    <t>MLCC - Equipos pasan a reserva</t>
  </si>
  <si>
    <t>Se realiza monitoreo por más de 1 hora a los camiones que cargan en pala 202 y ninguno de los camiones paso a reserva, se avisa a despachador para que pueda entregar más información. Se adjunta evidencia de lo revisado.</t>
  </si>
  <si>
    <t>10/26/2023 10:43 PM</t>
  </si>
  <si>
    <t>10/30/2023 10:29 PM</t>
  </si>
  <si>
    <t>Karim campos</t>
  </si>
  <si>
    <t>00496951</t>
  </si>
  <si>
    <t>MLCC - Cargador frontal L220 con problemas</t>
  </si>
  <si>
    <t>Se le vuelven a crear los certificados y llaves solucionando la situación la siguiente vez que levantaron el equipo.</t>
  </si>
  <si>
    <t>10/27/2023 1:06 PM</t>
  </si>
  <si>
    <t>10/27/2023 3:17 PM</t>
  </si>
  <si>
    <t>Alexis Artigas técnico Tres60</t>
  </si>
  <si>
    <t>00496994</t>
  </si>
  <si>
    <t>MAGSA - No carga archivo de malla</t>
  </si>
  <si>
    <t>Se revisan los importadores no encontrando procesos encolados, luego de la revisión de los importadores, el archivo aparece cargado en la carpeta save. No se encontraron registros en el Log sobre algún problema.</t>
  </si>
  <si>
    <t>10/27/2023 8:34 PM</t>
  </si>
  <si>
    <t>10/27/2023 9:29 PM</t>
  </si>
  <si>
    <t>00496995</t>
  </si>
  <si>
    <t>AAM - Reporte Jview no carga con datos</t>
  </si>
  <si>
    <t>Se revisan los reportes en el Jview y en especial el que informa el despachador Marcelo Soto y esto si cargan datos, por lo que se le solicita cerrar la app y borrar el cache de su computador para iniciar una nueva sesión. Una vez realizado despachador informa que puede visualizar los reportes con información.</t>
  </si>
  <si>
    <t>10/27/2023 9:15 PM</t>
  </si>
  <si>
    <t>10/27/2023 9:30 PM</t>
  </si>
  <si>
    <t>00496996</t>
  </si>
  <si>
    <t>FALLA DE GPS PALA 01</t>
  </si>
  <si>
    <t>Se revisa la señal del GPS vía jspanel y en todo momento la señal se mantiene en niveles óptimos. Luego se revisa la calidad de la señal de las antenas en el JAMS y el registro muestra quality 4. Se realizará un monitoreo para descartar posibles caídas de señal.</t>
  </si>
  <si>
    <t>10/27/2023 10:52 PM</t>
  </si>
  <si>
    <t>10/28/2023 12:15 AM</t>
  </si>
  <si>
    <t xml:space="preserve">Marco Hausdorf V. </t>
  </si>
  <si>
    <t>00496997</t>
  </si>
  <si>
    <t>AMCEN - PERFORADORA 4 SIN SEÑAL GPS</t>
  </si>
  <si>
    <t>Se realiza un primer monitoreo a la perforadora 4 encontrando la señal y calidad de GPS en óptimas condiciones. Se realizará un monitoreo para descartar algún problema.</t>
  </si>
  <si>
    <t>10/28/2023 12:16 AM</t>
  </si>
  <si>
    <t>10/28/2023 2:42 AM</t>
  </si>
  <si>
    <t>Eduardo Romero Silva de TICA</t>
  </si>
  <si>
    <t>00497005</t>
  </si>
  <si>
    <t>Se ejecuta query que desconecta el exceso de usuarios a la base de datos lo cual interfiere con el proceso de replicación y por consecuencia encola el proceso SQL.</t>
  </si>
  <si>
    <t>10/28/2023 8:04 AM</t>
  </si>
  <si>
    <t>10/28/2023 10:05 AM</t>
  </si>
  <si>
    <t>00497007</t>
  </si>
  <si>
    <t>Se eliminan los procesos y se mantiene el monitoreo.</t>
  </si>
  <si>
    <t>10/28/2023 10:06 AM</t>
  </si>
  <si>
    <t>10/28/2023 10:32 AM</t>
  </si>
  <si>
    <t>00497008</t>
  </si>
  <si>
    <t>CNDRT - Caída de mineops</t>
  </si>
  <si>
    <t>Revisando Logs se detecta que el JAMS Router se cayó por un problema de memoria, posteriormente los equipos no alcanzaban a estar mas de 3 minutos conectados por lo que se continúa revisando consultas que se envían al JAMS, consultas a base de datos y se encuentra una consulta pegada realizada a la base de datos sobre el equipo TR446. Se procede a eliminar la bbdd del equipo y normaliza la situación.</t>
  </si>
  <si>
    <t>10/28/2023 10:33 AM</t>
  </si>
  <si>
    <t>10/28/2023 12:19 PM</t>
  </si>
  <si>
    <t>Rodrigo Torres</t>
  </si>
  <si>
    <t>00497014</t>
  </si>
  <si>
    <t>AMZAL - MineOps pegado</t>
  </si>
  <si>
    <t>Al revisar el estado dentro del servidor con un repc no se recupera ninguna información. Se checkea el estado del JAMSRouter y figura corriendo, al entrar en los logs no se encuentra nada extraño. Se baja y vuelve a levantar el JAMSRouter y así los equipos comienzan a reconectarse.</t>
  </si>
  <si>
    <t>10/28/2023 3:09 PM</t>
  </si>
  <si>
    <t>10/28/2023 3:45 PM</t>
  </si>
  <si>
    <t>00497023</t>
  </si>
  <si>
    <t>Monitoreo - MLCC - Caída VPN</t>
  </si>
  <si>
    <t>Túnel vpn se desconectó y se perdió conexión con servidores de Caserones, luego de unos minutos se restablece el túnel y nuevamente tenemos acceso y habilitado el sistema de monitoreo.</t>
  </si>
  <si>
    <t>10/28/2023 6:24 PM</t>
  </si>
  <si>
    <t>10/28/2023 7:44 PM</t>
  </si>
  <si>
    <t>00497042</t>
  </si>
  <si>
    <t>Monitoreo - CNRT</t>
  </si>
  <si>
    <t>Monitoreo preventivo a servidores de RT</t>
  </si>
  <si>
    <t>10/28/2023 7:33 PM</t>
  </si>
  <si>
    <t>10/28/2023 8:35 PM</t>
  </si>
  <si>
    <t>00497044</t>
  </si>
  <si>
    <t>Monitoreo - Veladero</t>
  </si>
  <si>
    <t>Monitoreo preventivo a servidores de Veladero</t>
  </si>
  <si>
    <t>10/28/2023 8:36 PM</t>
  </si>
  <si>
    <t>10/29/2023 12:47 AM</t>
  </si>
  <si>
    <t>00497046</t>
  </si>
  <si>
    <t>AMCEN - Falla de GPS C42 y C14</t>
  </si>
  <si>
    <t>Equipos C42 y C14 presentan variación en la señal de GPS y WIFI pero no afecta en el funcionamiento de los equipos, los cuales realizan sus ciclos de manera normal. Se solicita mayor información al cliente sobre lo informado.</t>
  </si>
  <si>
    <t>10/28/2023 10:30 PM</t>
  </si>
  <si>
    <t>10/29/2023 12:53 AM</t>
  </si>
  <si>
    <t>Neftali Tirado V</t>
  </si>
  <si>
    <t>00497050</t>
  </si>
  <si>
    <t>AMCEN - Señal de GPS débil de caex 19</t>
  </si>
  <si>
    <t>Monitoreo a C19 no muestra problemas en desarrollo de los ciclos. Variación en las intensidades de GPS y WIFI “normales”, debido a movimientos del equipo y pasadas por sectores con menor intensidad. Se envía correo informando lo realizado.</t>
  </si>
  <si>
    <t>10/29/2023 1:59 AM</t>
  </si>
  <si>
    <t>10/29/2023 2:18 AM</t>
  </si>
  <si>
    <t>00497051</t>
  </si>
  <si>
    <t>MLCC - Importadores pegados</t>
  </si>
  <si>
    <t>Se revisa encontrando que efectivamente se encuentran encolados los archivos en el directorio junto con la carpeta save. Se cargan manualmente uno por uno y pasan sin problemas.</t>
  </si>
  <si>
    <t>10/29/2023 4:03 AM</t>
  </si>
  <si>
    <t>10/29/2023 4:58 AM</t>
  </si>
  <si>
    <t>Josep Danes</t>
  </si>
  <si>
    <t>00497053</t>
  </si>
  <si>
    <t>Monitoreo - CNDMH - Procesos SQL Encolados</t>
  </si>
  <si>
    <t>Se reincian los servicios SQL en el servidor jview (.58) lo cual normaliza la situación.</t>
  </si>
  <si>
    <t>10/29/2023 4:59 AM</t>
  </si>
  <si>
    <t>10/29/2023 5:29 AM</t>
  </si>
  <si>
    <t>00497056</t>
  </si>
  <si>
    <t>CNDMH - Camión 336 con problemas de gps</t>
  </si>
  <si>
    <t>Se monitorea el equipo esperando que vuelva para poder revisarlo pero nunca se reconectó, se le informa al contacto que deberán revisarlo en terreno .</t>
  </si>
  <si>
    <t>10/29/2023 7:21 AM</t>
  </si>
  <si>
    <t>10/29/2023 8:46 AM</t>
  </si>
  <si>
    <t>00497073</t>
  </si>
  <si>
    <t>AMANT - Importador pegado</t>
  </si>
  <si>
    <t>Se revisa la carpeta Poligonos encontrando un archivo junto con la carpeta save que su nombre coincide con lo que comenta el cliente por teléfono, se procede a ejecutar manualmente el grade_importer.sh y pasa el importador sin problemas.</t>
  </si>
  <si>
    <t>10/29/2023 11:13 AM</t>
  </si>
  <si>
    <t>10/29/2023 11:28 AM</t>
  </si>
  <si>
    <t>José Fuenzalida</t>
  </si>
  <si>
    <t>00497123</t>
  </si>
  <si>
    <t>AMCEN - Malla de perforación</t>
  </si>
  <si>
    <t>Equipo se encontraba con estado perforando y asociado a la malla anterior, la cual no fue finalizada al terminar de perforar. Se finalizo la malla anterior y se pudo cargar la nueva malla. La finalización de la antigua malla se realizó en la vista de perforadoras, asignando una profundidad de Pozo y una actividad de fin de pozo, esto permite liberar la perforadora y permitir la carga de nuevas mallas.</t>
  </si>
  <si>
    <t>10/29/2023 8:05 PM</t>
  </si>
  <si>
    <t>10/29/2023 10:48 PM</t>
  </si>
  <si>
    <t>Marco Hausdorf V</t>
  </si>
  <si>
    <t>00497140</t>
  </si>
  <si>
    <t>AMANT - Pala 2 con problemas de GPS</t>
  </si>
  <si>
    <t>Equipo presentaba baja calidad de GPS (1), se revisan correcciones diferenciales las cuales estaban activas en equipo y en servidor. Además, se procede a revisar ventana HPGPS en MineOperate y la calidad estaba Fixed. Se reinicia JAMS de la pala para mejorar las comunicaciones, una vez arriba el JAMS calidad de antenas queda en 4 y equipo ya se puede visualizar en el JSMina. Se informa a Ismael Guerrero lo realizado.</t>
  </si>
  <si>
    <t>10/30/2023 12:09 AM</t>
  </si>
  <si>
    <t>10/30/2023 1:43 AM</t>
  </si>
  <si>
    <t>Ismael Guerrero</t>
  </si>
  <si>
    <t>00497141</t>
  </si>
  <si>
    <t>Se realiza monitoreo preventivo a servidores de Veladero.</t>
  </si>
  <si>
    <t>10/30/2023 12:15 AM</t>
  </si>
  <si>
    <t>00497149</t>
  </si>
  <si>
    <t>Se sumariza como fue solicitado, desde el primer día de octubre hasta la actualidad.</t>
  </si>
  <si>
    <t>10/30/2023 5:19 AM</t>
  </si>
  <si>
    <t>10/30/2023 7:58 AM</t>
  </si>
  <si>
    <t>00497193</t>
  </si>
  <si>
    <t>MLCC - Camión 327 con problemas</t>
  </si>
  <si>
    <t>Se intenta acceder al equipo pocos minutos despues de llamado sin exito por problemas de comunicación. Una vez vuelve el camión y se accede a el se monitorea y registra bien sus cambios de actividades. Igualmente se le realiza un reinicio.</t>
  </si>
  <si>
    <t>10/30/2023 11:59 AM</t>
  </si>
  <si>
    <t>10/30/2023 12:44 PM</t>
  </si>
  <si>
    <t>Joseph Danes</t>
  </si>
  <si>
    <t>00497213</t>
  </si>
  <si>
    <t>MLCC - Problemas con la tronada DERR_OX_7A</t>
  </si>
  <si>
    <t>Se revisa la BD y las descargas asociadas al polígono DER_OX_7A se encontraban generadas por lo que se realiza una sumarización manual de los días 12 al 15 de octubre. En estos momentos en la vista Descargas (Sumarias) tiene los datos para si visualización.</t>
  </si>
  <si>
    <t>10/30/2023 2:59 PM</t>
  </si>
  <si>
    <t>10/31/2023 1:44 PM</t>
  </si>
  <si>
    <t>00497237</t>
  </si>
  <si>
    <t>Sumarización requerida finalidad, se informa al cliente vía correo.</t>
  </si>
  <si>
    <t>10/30/2023 6:26 PM</t>
  </si>
  <si>
    <t>10/30/2023 8:07 PM</t>
  </si>
  <si>
    <t>00497252</t>
  </si>
  <si>
    <t>Problemas con los procesos de réplica desde servidor primario hacia servidor de BD de DMH, esto generó que los reportes no se estuvieran generando de manera actualizada y advertencias en el sistema de monitoreo por procesos encolados. Se realizo el cierre de sesiones del aplicativo Mine Operate que se encontraban en ejecución para liberar el uso de la CPU la cual se encontraba con 100% de capacidad junto al reinicio de los servicios del SQL.</t>
  </si>
  <si>
    <t>10/30/2023 8:12 PM</t>
  </si>
  <si>
    <t>10/30/2023 9:43 PM</t>
  </si>
  <si>
    <t>Álvaro Silva</t>
  </si>
  <si>
    <t>00497269</t>
  </si>
  <si>
    <t>Monitoreo a servicios y estado de servidores Veladero</t>
  </si>
  <si>
    <t>10/31/2023 2:18 AM</t>
  </si>
  <si>
    <t>10/31/2023 3:44 AM</t>
  </si>
  <si>
    <t>00497270</t>
  </si>
  <si>
    <t>Monitoreo de servidores muestra servicio de réplica encolado, se revisan las conexiones en el servidor y este tiene 35 conexiones activas. Se realiza la desconexión de las instancias para permitir la ejecución de la réplica encolada y la actualización de la data.</t>
  </si>
  <si>
    <t>10/31/2023 2:24 AM</t>
  </si>
  <si>
    <t>10/31/2023 3:43 AM</t>
  </si>
  <si>
    <t>00497302</t>
  </si>
  <si>
    <t>Se ejecuta de manera manual el importador de poligonos grade_importer.sh y pasan sin problemas ambos importadores que se encontraban junto con la carpeta save</t>
  </si>
  <si>
    <t>10/31/2023 9:35 AM</t>
  </si>
  <si>
    <t>10/31/2023 10:32 AM</t>
  </si>
  <si>
    <t>00497323</t>
  </si>
  <si>
    <t>MLCC - Revisión de cobertura de equipos de carguío</t>
  </si>
  <si>
    <t>Se le realiza ping a los equipos solicitados en el correo y se informa sobre el % de paquetes perdidos.</t>
  </si>
  <si>
    <t>10/31/2023 11:27 AM</t>
  </si>
  <si>
    <t>10/31/2023 1:43 PM</t>
  </si>
  <si>
    <t>00497356</t>
  </si>
  <si>
    <t>AMCEN - JView con reportes desactualizados</t>
  </si>
  <si>
    <t>Se revisa el estado de la réplica en el servidor primario y los servicios se están ejecutando con normalidad. Además, se revisa la BD SQL y esta se está actualizando igualmente con normalidad, por lo que se realiza un reinicio de los servicios del SQL para restablecer la comunicación del aplicativo jview y la BD, Luego de esto los reportes se vuelven a actualizar con normalidad, se informa vía telefónica a Cristian Chang.</t>
  </si>
  <si>
    <t>10/31/2023 5:19 PM</t>
  </si>
  <si>
    <t>10/31/2023 6:42 PM</t>
  </si>
  <si>
    <t>00497379</t>
  </si>
  <si>
    <t>Sumarización finalizada, se encía correo al cliente informando.</t>
  </si>
  <si>
    <t>10/31/2023 10:11 PM</t>
  </si>
  <si>
    <t>00497380</t>
  </si>
  <si>
    <t>En relación a lo señalado por el cliente se realiza revisión de la data en la base de datos de los servidores primario y de JView, en estos la información esta correcta. Al parecer el problema del cliente se presenta en su planilla de trabajo y ante esto mucho no se puede realizar ya que se desconoce la forma en que el cliente extrae y trabaja la información. Se envía correo al cliente indicando lo revisado.</t>
  </si>
  <si>
    <t>10/31/2023 10:23 PM</t>
  </si>
  <si>
    <t>00497389</t>
  </si>
  <si>
    <t>Monitoreo a servicios y estado de servidores Veladero, los cuales se encuentran funcionando y sin ninguna novedad.</t>
  </si>
  <si>
    <t>00497398</t>
  </si>
  <si>
    <t>AMZAL-Sebastian Fernandez solicita sumarización mes completo</t>
  </si>
  <si>
    <t>Sumarizacion completada.</t>
  </si>
  <si>
    <t>00497419</t>
  </si>
  <si>
    <t>MLCC-Daniel Godoy solicita sumarizacion del mes.</t>
  </si>
  <si>
    <t>00497462</t>
  </si>
  <si>
    <t>00497468</t>
  </si>
  <si>
    <t>MLCC - Reiniciar C315</t>
  </si>
  <si>
    <t>00497472</t>
  </si>
  <si>
    <t>AMCEN - C154 sin gps</t>
  </si>
  <si>
    <t>Se reinicia el equipo, recuperando así la imagen, se responde por correo para indicar que esta solucionado.</t>
  </si>
  <si>
    <t>00497475</t>
  </si>
  <si>
    <t>CNDMH - Pala 213 gps 2 con problemas</t>
  </si>
  <si>
    <t>Se reinicia el core del equipo y se revisan las calidades de las antenas, la antena 1 vuelve de forma rápida, pero la 2 se mantiene con calidad 0, se devuelve el llamado a Albaro, indicando que deberán revisar el equipo en terreno</t>
  </si>
  <si>
    <t>Albaro Silva</t>
  </si>
  <si>
    <t>00497487</t>
  </si>
  <si>
    <t>CNCHQ - Camiones pierden carga</t>
  </si>
  <si>
    <t>Se logra detectar mediante el log, que el problema ocurrió porque después que termino de cargar el camión a las 11:20, este no cambio su actividad a  viajando , y mando un error que no tenia una pala asignado, y a las 11:26 , se cambio la actividad a descargando</t>
  </si>
  <si>
    <t>00497499</t>
  </si>
  <si>
    <t>CNRT - Sin conectividad con mineops</t>
  </si>
  <si>
    <t>El problema se debio a la red de codelco que estaban con cortes.</t>
  </si>
  <si>
    <t>00497507</t>
  </si>
  <si>
    <t>AMZAL-Sebastian Fernandez solicita revisión de reporte KPI</t>
  </si>
  <si>
    <t>existían valores duplicados en sqlserver , se corrige y vuelven como deben ser con las 12 horas máximo.</t>
  </si>
  <si>
    <t>00497538</t>
  </si>
  <si>
    <t>AMZAL-Freddie de sim solicita apoyo con D10 ya que no tiene comunicación</t>
  </si>
  <si>
    <t>el equipo presentaba problemas fisicos.personal de sim soluciona y vuelve a levantar el equipo.</t>
  </si>
  <si>
    <t>Fredie empresa Sim</t>
  </si>
  <si>
    <t>00497557</t>
  </si>
  <si>
    <t>AMCEN - Solicitud de revisión perforadoras</t>
  </si>
  <si>
    <t>El problema se debe a las tormentas solares.</t>
  </si>
  <si>
    <t>00497563</t>
  </si>
  <si>
    <t>MLCC - Reiniciar Perfo 105</t>
  </si>
  <si>
    <t>00497599</t>
  </si>
  <si>
    <t>CAPCNN-agregar factores de carga y leyes de acopio</t>
  </si>
  <si>
    <t>Se agregan exitosamente</t>
  </si>
  <si>
    <t>juan nuñez</t>
  </si>
  <si>
    <t>00497603</t>
  </si>
  <si>
    <t>00497607</t>
  </si>
  <si>
    <t>AMZAL-Freddie de sim solicita apoyo con H45 por lentitud en el cambio de estado.</t>
  </si>
  <si>
    <t>Se revisan lo sensores del equipo faltando el payload ,se informa para que verifiquen la conexión con el sensor de tolva.</t>
  </si>
  <si>
    <t>00497623</t>
  </si>
  <si>
    <t>DMH-Carolina Gajardo informa que en el menu de mineops espacialmente en cargas con centroide no aparece la pala P213</t>
  </si>
  <si>
    <t>se revisa el equipo y se encuentra una antena gps mala por lo que no muestra bien su ubicación al girar el balde y es justo el dato que necesita carolina,se llama a técnicos terreno donde estaban al tanto de la situación y no han tenido la disponibilidad por parte de la pala ya que esta en producción.</t>
  </si>
  <si>
    <t>Carlona Guajardo</t>
  </si>
  <si>
    <t>00497627</t>
  </si>
  <si>
    <t>MLCC-Daniel Godoy solicita ayuda ya que le falta tonelaje en su reporte.</t>
  </si>
  <si>
    <t>daniel envía su query, se ejecuta y se demora mucho por lo cual existe un time-out del sql que no alcanza a sumar todo el tonelaje. al hacer otra query mas rápida aparece la suma total del tonelaje que corresponde</t>
  </si>
  <si>
    <t>00497648</t>
  </si>
  <si>
    <t>AMCEN-Alisson Arriagada solicita apoyo por que el sumarizador no termina de pasar.</t>
  </si>
  <si>
    <t>se desactiva la replica , se reinicia el sumarizador y el jamsRouter ,se suamriza manual el día de ayer completo , luego se activa sumarizador por servicio y las replicas funcionando de forma normal.</t>
  </si>
  <si>
    <t>00497650</t>
  </si>
  <si>
    <t>CNCHUQ-Diego Gonzalez solicita apoyo ya que se encuentra caido jview</t>
  </si>
  <si>
    <t>CNCHUQ-Diego solicita apoyo ya que se encuentra caido jview</t>
  </si>
  <si>
    <t>00497655</t>
  </si>
  <si>
    <t>AMANT-Angelo solicita ayuda por un reporte que no se esta enviando.</t>
  </si>
  <si>
    <t>se configura nuevamente el reporte y se ajusta para que se envie cada 1 hora.</t>
  </si>
  <si>
    <t>00497663</t>
  </si>
  <si>
    <t>CNDMH - Pala 213 problemas con el GPS</t>
  </si>
  <si>
    <t>La pala se encuentra con problemas en su antena N°2, se llama a Oscar para indicar el problema</t>
  </si>
  <si>
    <t>00497664</t>
  </si>
  <si>
    <t>CNDMH - C376 problemas con su gps</t>
  </si>
  <si>
    <t>El equipo se encuentra trabajando correctamente</t>
  </si>
  <si>
    <t>00497670</t>
  </si>
  <si>
    <t>CNRT - C318 problemas de GPS</t>
  </si>
  <si>
    <t>00497672</t>
  </si>
  <si>
    <t>Se eliminan los procesos antiguos del sumarizador</t>
  </si>
  <si>
    <t>00497674</t>
  </si>
  <si>
    <t>CNRT - C831 problemas de GPS</t>
  </si>
  <si>
    <t>00497675</t>
  </si>
  <si>
    <t>CNDMH - Camiones quedan pegados en botadero 2</t>
  </si>
  <si>
    <t>Problema se debe por cobertura en botadero 2</t>
  </si>
  <si>
    <t>00497677</t>
  </si>
  <si>
    <t>CNRT - Perfo 384 problemas de touch y C128 sin gps</t>
  </si>
  <si>
    <t>Se reinicia la perfo recuperando asi la pantalla , y el Camion estaba trabajando correctamente</t>
  </si>
  <si>
    <t>00497678</t>
  </si>
  <si>
    <t>CNRT - C955 sin comunicacion</t>
  </si>
  <si>
    <t>00497682</t>
  </si>
  <si>
    <t>AMCEN - VNC Pala 7</t>
  </si>
  <si>
    <t>Se reinicia el equipo, recuperando asi el vnc.</t>
  </si>
  <si>
    <t>00497705</t>
  </si>
  <si>
    <t>MLCC-Alejandro larenas solicita asistencia para el C317 y C304.</t>
  </si>
  <si>
    <t>C304 :se reinicia el equipo y se elimina su BD y empieza a trabajar de forma normal,C317: sin conexión se solicita asistencia en terreno.luego de la asistencia el equipo trabaja de forma normal</t>
  </si>
  <si>
    <t xml:space="preserve">Alejandro Larenas </t>
  </si>
  <si>
    <t>00497725</t>
  </si>
  <si>
    <t>AMCEN - Solicitud de revision de PA y Perfo</t>
  </si>
  <si>
    <t>Se revisan los equipos, los cuales estaban trabajando de forma correcta.</t>
  </si>
  <si>
    <t>00497740</t>
  </si>
  <si>
    <t>AMCEN - Solicitud de revision de GPS de Caex16</t>
  </si>
  <si>
    <t>El equipo se encontraba trabajando de forma correcta</t>
  </si>
  <si>
    <t>00497755</t>
  </si>
  <si>
    <t>AMCEN - Solicitud de revision de GPS de Caex15</t>
  </si>
  <si>
    <t>Se reinicia el equipo, recuperando asi su gps</t>
  </si>
  <si>
    <t>00497869</t>
  </si>
  <si>
    <t>AMCEN-Alisson Arriagada solicita apoyo por caida del sistema jigsaw.</t>
  </si>
  <si>
    <t>al ingresar se sacan los log para revisión , se reinicia el jams y vuelve a levantar el sistema.en el log aparece un error asociado al camion C133. Existian consultas a ese equipo el cual esta en reserva sin tiempo y apagado.</t>
  </si>
  <si>
    <t>00497892</t>
  </si>
  <si>
    <t>CNMS-Miguel Huanchicay solicita asistencia para la pala 834 ya que no aparece en el mapa.</t>
  </si>
  <si>
    <t>se reinicia los gps y el jamsRouter del equipo.luego de un tiempo aparece en el mapa.</t>
  </si>
  <si>
    <t>Daniel haunchicay</t>
  </si>
  <si>
    <t>00497930</t>
  </si>
  <si>
    <t>CNMS-Miguel Huanchicay solicita asitencia para el pato 617</t>
  </si>
  <si>
    <t>el equipo no tiene comunicación con el servidor , se avisa a Miguel que debe revisarlo en terreno.</t>
  </si>
  <si>
    <t>00497933</t>
  </si>
  <si>
    <t>CNRT-Claudio solicita apoyo para saber si la pala 215 llega información al ME</t>
  </si>
  <si>
    <t>se revisa el sistema y PA215 no esta recibiendo datos se informa a personal de terreno.</t>
  </si>
  <si>
    <t>00498073</t>
  </si>
  <si>
    <t>Monitoreo - MAGSA - Consultas pegadas en servidor principal</t>
  </si>
  <si>
    <t>Durante monitoreo a servidor principal se detectan varias consultas idle en postgres. Se envía correo al cliente para informar sobre esto.</t>
  </si>
  <si>
    <t>11/13/2023 7:29 AM</t>
  </si>
  <si>
    <t>00498133</t>
  </si>
  <si>
    <t>AMCEN - Camión C22 con problemas de GPS</t>
  </si>
  <si>
    <t>Se intenta revisar el equipo sin éxito debido a problemas de conexión con el mismo. Se informa al cliente y a su vez se mantiene monitoreo en el equipo para realizar acciones pertinentes si se recupera.</t>
  </si>
  <si>
    <t>00498137</t>
  </si>
  <si>
    <t>AMANT - Reporte de tiempos nominales no muestra 12 horas en ciertos equipos</t>
  </si>
  <si>
    <t>Gustavo Cheng comenta que realizo el borrado de tabla by_equipment_times del día informado con problemas para poder repoblar la tabla con nuevos datos y así corregir algún dato con problemas, lo cual funciono. El cliente durante la mañana informa que ya se encuentra correcto el reporte.</t>
  </si>
  <si>
    <t>00498143</t>
  </si>
  <si>
    <t>AMCEN - Pala 02 con problemas de GPS</t>
  </si>
  <si>
    <t>Se revisan los sensores, antenas y correcciones diferenciales de la pala encontrando que todo está funcionando en óptimas condiciones.</t>
  </si>
  <si>
    <t>Henry</t>
  </si>
  <si>
    <t>00498164</t>
  </si>
  <si>
    <t>AMCEN - Camiones 115 y 114 con problemas de GPS</t>
  </si>
  <si>
    <t>Se revisan ambos equipos, se les monitorea el almacenamiento encontrando todo normal, se procede a reiniciar la base de datos y el equipo y así se recupera el C115 sin embargo, el C114 tiene malo su gps por lo que se informa que se deberá revisar en terreno.</t>
  </si>
  <si>
    <t>00498167</t>
  </si>
  <si>
    <t>Monitoreo - CNCHUQ - Servicio detenido</t>
  </si>
  <si>
    <t>Se accede al servidor y se levanta nuevamente el servicio.</t>
  </si>
  <si>
    <t>00498182</t>
  </si>
  <si>
    <t>AMCEN - Camión C61 con problemas de GPS</t>
  </si>
  <si>
    <t>Se revisan los sensores del equipo encontrando todo operativo, al acceder al VNC pareciera estar muy lento por lo que igual se reinicia su base de datos y computador interno.</t>
  </si>
  <si>
    <t>00498183</t>
  </si>
  <si>
    <t>AMCEN - Caex 23 con problemas de GPS</t>
  </si>
  <si>
    <t>Se intenta revisar el equipo pero es imposible debido a que no se puede conectar al equipo de manera remota.</t>
  </si>
  <si>
    <t>00498254</t>
  </si>
  <si>
    <t>CNDMH - No se pueden cargar polígonos a equipo virtual CF758</t>
  </si>
  <si>
    <t>Se realiza una modificación en la tabla equipment el campo project_id para que el equipo virtual pueda aceptar la designación de polígonos. Se tomó como referencia el equipo CF757 el cual también es un equipo virtual. Luego se informa al despachador quien valida que ahora si pudo cargar asignar polígonos al equipo virtual.</t>
  </si>
  <si>
    <t>00498289</t>
  </si>
  <si>
    <t>AMCEN - Pala 3 con problemas de GPS y tonelaje</t>
  </si>
  <si>
    <t>Se revisan los sensores del equipo encontrando todo en perfecto estado, de igual forma se reinicia preventivamente. Luego de monitorear se determina que los problemas se están presentando debido a la alta latencia en la señal del equipo.</t>
  </si>
  <si>
    <t>Henry Villalba</t>
  </si>
  <si>
    <t>00498301</t>
  </si>
  <si>
    <t>AMCEN - CF234 con problemas de señal. no bien cargas</t>
  </si>
  <si>
    <t>Se revisa el equipo encontrando todo en óptimas condiciones, se reinicia igualmente y se monitorea el trabajo del mismo, confirmando que registra sus descargas sin problemas.</t>
  </si>
  <si>
    <t>00498307</t>
  </si>
  <si>
    <t>AMCEN - Cargador frontal 234 con la pantalla pegada</t>
  </si>
  <si>
    <t>Se reinicia el equipo de manera remota y se monitorea que vuelva a levantar sin problemas.</t>
  </si>
  <si>
    <t>00498315</t>
  </si>
  <si>
    <t>Se inicia el servicio nuevamente y se monitorea la situación</t>
  </si>
  <si>
    <t>00498321</t>
  </si>
  <si>
    <t>MLCC - Perforadora 103 con problemas de GPS</t>
  </si>
  <si>
    <t>Se revisan los sensores del equipo encontrando que uno de los dos gps está muerto, se confirma viendo como las correcciones diferenciales están funcionando bien y que al realizar un hpgps_antennas el gps 2 se encuentra óptimo y el gps 1 está completamente muerto. Se le comenta al cliente que deberán revisarlo en terreno.</t>
  </si>
  <si>
    <t>Joseph Anés</t>
  </si>
  <si>
    <t>00498324</t>
  </si>
  <si>
    <t>AMCEN - Camión 154 con jspanel pegado</t>
  </si>
  <si>
    <t>Se revisa el VNC y se encuentra aparentemente pegado en otra zona. Se reinicia el equipo remotamente y recupera su verdadera ubicación y buen funcionamiento de la pantalla.</t>
  </si>
  <si>
    <t>00498343</t>
  </si>
  <si>
    <t>AAM - Inconsistencia entre Mineops y Jview</t>
  </si>
  <si>
    <t>Se actualizan datos de tabla by_equipment_times y se confirma con cliente. Comentan que tienen un funcionamiento con la disponibilidad de un equipo que depende de otros valores de tiempo que se le puede asignar a las palas como pueden ser demoras, demoras no programadas, etc.</t>
  </si>
  <si>
    <t>Francisco Gonzales</t>
  </si>
  <si>
    <t>00498345</t>
  </si>
  <si>
    <t>AMCEN - Revisar profundímetro de perforadora 8</t>
  </si>
  <si>
    <t>Ingeniero Víctor Rojas informa que se tiene programado trabajos en el equipo en terreno. Una vez mejoren las condiciones climáticas en la faena se realizarán los trabajos pertinentes.</t>
  </si>
  <si>
    <t>00498354</t>
  </si>
  <si>
    <t>AMZAL - Reporte exceso velocidades JView CMZ</t>
  </si>
  <si>
    <t>Cliente da aprobación para la publicación del reporte, además se realiza la suscripción para el envío del reporte vía correo.</t>
  </si>
  <si>
    <t>11/14/2023 12:15 PM</t>
  </si>
  <si>
    <t>00498355</t>
  </si>
  <si>
    <t>Estimados, favor dejar sin efecto este reporte del JView</t>
  </si>
  <si>
    <t>Se realiza la desactivación de la suscripción en el Reporting services</t>
  </si>
  <si>
    <t>00498356</t>
  </si>
  <si>
    <t>00498357</t>
  </si>
  <si>
    <t>00498359</t>
  </si>
  <si>
    <t>MLCC - Perfo 103 con problemas de GPS</t>
  </si>
  <si>
    <t>Se procede a la revisión del equipo informado con problemas, encontrando problemas con la antena 1 la cual arroja calidad 0 durante el monitoreo. Se procede al reinicio de la antena para recuperar el funcionamiento, pero no da resultado. Ante esto se procede al reinicio del JAMS del equipo, pero tampoco se corrige el funcionamiento del GPS. Se solicita revisar el equipo en terreno para revisar el hardware de la antena.</t>
  </si>
  <si>
    <t>Karm Campos</t>
  </si>
  <si>
    <t>00498366</t>
  </si>
  <si>
    <t>Estimados deshabilitar envío de este reporte a todos los usuarios</t>
  </si>
  <si>
    <t>00498418</t>
  </si>
  <si>
    <t>AMCEN - Cambio de contraseña a usuario MineOps</t>
  </si>
  <si>
    <t>Se le actualiza la contraseña y se confirma con usuario que puede ingresar sin problemas.</t>
  </si>
  <si>
    <t>William Leyton</t>
  </si>
  <si>
    <t>00498421</t>
  </si>
  <si>
    <t>AMCEN - Incongruencia en tonelajes indicados por PALA7</t>
  </si>
  <si>
    <t>Se revisa el equipo y se reinicia para ver si esto resuelve su situación, al comprobar que sigue presentando los mismos síntomas se determina que el problema es una alta latencia de red incluso con % de pérdida de paquetes lo que está influyendo en el funcionamiento del equipo.</t>
  </si>
  <si>
    <t>00498424</t>
  </si>
  <si>
    <t>AMCEN - Moto con problemas en jspanel</t>
  </si>
  <si>
    <t xml:space="preserve">
Al intentar revisar el equipo se encuentra que está totalmente desconectado por lo que se le informa que el problema con la pantalla debe estar directamente relacionado con el problema de conexión del equipo.</t>
  </si>
  <si>
    <t xml:space="preserve">11/10/2023 7:33 PM
</t>
  </si>
  <si>
    <t>00498425</t>
  </si>
  <si>
    <t>AMCEN - Sin reportes actualizados</t>
  </si>
  <si>
    <t>Se reinician los servicios SQL y se revisa que los reportes hayan actualizado confirmando que está todo correcto se le informa al cliente.</t>
  </si>
  <si>
    <t>00498426</t>
  </si>
  <si>
    <t>AMCEN - Pala 3 con problemas de gps</t>
  </si>
  <si>
    <t>Se revisa el equipo encontrando ambos gps en estado flotante por lo que se reinicia la base de datos interna y el mismo equipo. Al levantar nuevamente se arregla por completo un gps pero el otro sigue flotante, por esto se llama al cliente para que comenten en que estado se encuentra el equipo y confirma que está trabajando sin problemas.</t>
  </si>
  <si>
    <t>00498429</t>
  </si>
  <si>
    <t>Se accede al servidor y se levanta nuevamente el servicio y se mantiene monitoreo.</t>
  </si>
  <si>
    <t>00498430</t>
  </si>
  <si>
    <t>AMCEN - Camión 162 con problemas de GPS</t>
  </si>
  <si>
    <t>Se intenta revisar el equipo pero no hay ping ni de mineops ni de consola. Se continúa el monitoreo hasta que se recupera conexión con el equipo y levanta todo ok. Se llama al cliente para confirmar que está funcionando ok.</t>
  </si>
  <si>
    <t>00498432</t>
  </si>
  <si>
    <t>Se sumariza como fue solicitado.</t>
  </si>
  <si>
    <t>00498436</t>
  </si>
  <si>
    <t>AMCEN - Caex 16 pegado en mineops</t>
  </si>
  <si>
    <t>Se revisa el camión y se encuentra funcionando correctamente... de igual manera se revisan los sensores encontrando todo en perfecto estado.</t>
  </si>
  <si>
    <t>00498438</t>
  </si>
  <si>
    <t>AMCEN - Caex162 con problemas de gps</t>
  </si>
  <si>
    <t>Se revisan los certificados del equipo encontrando que se encuentran bien, se procede a reiniciar la base de datos interna del equipo y luego el equipo en sí lo cual recupera el funcionamiento en mineops.</t>
  </si>
  <si>
    <t>00498445</t>
  </si>
  <si>
    <t>MLCC - Archivos en carpeta Poligonos_Diglimit no se cargan</t>
  </si>
  <si>
    <t>Log del importador arroja error debido a la cantidad de archivos encolados en la carpeta Poligonos_Diglimit, se realiza el borrado de algunos archivos para liberar espacio lo cual permite la carga, se solicita al cliente volver a cargar los archivos restantes de manera parcializada para evitar problemas con el importador.</t>
  </si>
  <si>
    <t>00498452</t>
  </si>
  <si>
    <t>AMZAL - Habilitación Lectura PLM en Caex CMZ</t>
  </si>
  <si>
    <t>Se realizan las configuraciones solicitadas en los camiones informados. Los cambios se efectúan en la vista devices de cada camión y se envía correo al cliente indicando lo realizado.</t>
  </si>
  <si>
    <t>00498459</t>
  </si>
  <si>
    <t>AMANT - Tiempos nominales presentan diferencias</t>
  </si>
  <si>
    <t>Se realiza revisión la información de la tabla hour_equipment_times en postgres y la data no tiene diferencias. Además, se realiza una consulta a la tabla en el sqlserver sin los cálculos de tiempo que utiliza el cliente y los totales de tiempo no muestran diferencias. Se elevará este requerimiento con los especialistas para tener otra opinión sobre esto.</t>
  </si>
  <si>
    <t>11/13/2023 9:51 AM</t>
  </si>
  <si>
    <t>Fernando Zamora</t>
  </si>
  <si>
    <t>Se realiza una actualización del mes de noviembre en el sql para que la réplica desde el postgres se vuelva a realizar. Con esto se permite actualizar la información que estaba con diferencias en el sql con la data correcta que existe en el postgres. Los valores nominales quedan correctos en ambas bases. Se informa al cliente vía telefónica y por correo.</t>
  </si>
  <si>
    <t>00498467</t>
  </si>
  <si>
    <t>AMCEN - Camión 154 no muestra bien niveles de combustible</t>
  </si>
  <si>
    <t>Se eliminan los datos del equipo y los datos dentro de carpeta temporal para que se creen nuevamente al levantar y se soluciona el problema con el marcador de combustible.</t>
  </si>
  <si>
    <t>00498485</t>
  </si>
  <si>
    <t>AMCEN - Problema de asignación manual a petrolera</t>
  </si>
  <si>
    <t>Se atribuye problema a conexión.</t>
  </si>
  <si>
    <t>00498486</t>
  </si>
  <si>
    <t>AMCEN - Caex 164 y Caex 57 pegados en sistema</t>
  </si>
  <si>
    <t>Se les realiza un reinicio manual a ambos equipos de sus bases de datos internas y se recupera la ubicación en Mineops.</t>
  </si>
  <si>
    <t>00498490</t>
  </si>
  <si>
    <t>AMZAL - Mantencion carpeta Bloques</t>
  </si>
  <si>
    <t>Se quitan los archivos informados por el cliente de la carpeta Bloques. Los archivos que solicito borrar fueron movidos a una carpeta provisoria: /home/jigsaw/ncarrasco/Mantenimiento/Bloques.</t>
  </si>
  <si>
    <t>00498495</t>
  </si>
  <si>
    <t xml:space="preserve">AMZAL - RE: Movimientos acumulado mes Mina </t>
  </si>
  <si>
    <t>00498496</t>
  </si>
  <si>
    <t>AMZAL - RE: Informe KPI de Carguio</t>
  </si>
  <si>
    <t>00498497</t>
  </si>
  <si>
    <t>AMZAL - RE: Resumen Ejecutivo Mina</t>
  </si>
  <si>
    <t>00498498</t>
  </si>
  <si>
    <t>AMZAL - RE: Tiempo_carguios</t>
  </si>
  <si>
    <t>00498499</t>
  </si>
  <si>
    <t>AMZAL - RE: Reporte Daily Turno was executed</t>
  </si>
  <si>
    <t>00498500</t>
  </si>
  <si>
    <t xml:space="preserve"> AMZAL - RV: Informe KPI Movimientos por Fases CMZ </t>
  </si>
  <si>
    <t>00498501</t>
  </si>
  <si>
    <t xml:space="preserve">AMZAL - RV: Reporte Daily was executed </t>
  </si>
  <si>
    <t>00498502</t>
  </si>
  <si>
    <t>AMZAL - RV: Reporte Daily Turno was executed</t>
  </si>
  <si>
    <t>00498503</t>
  </si>
  <si>
    <t>AMZAL - RV: Parametros de Perforacion se ejecutó a las 12/11/2023 7:15:02</t>
  </si>
  <si>
    <t>00498504</t>
  </si>
  <si>
    <t>AMZAL - RV: Estados Historicos de equipos was executed</t>
  </si>
  <si>
    <t>00498506</t>
  </si>
  <si>
    <t>AMZAL - Diferencia Reporte Daily JView Carpeta GPO</t>
  </si>
  <si>
    <t>No hubo respuesta por parte del cliente y según indico los reportes se han estado generando con normalidad.</t>
  </si>
  <si>
    <t>11/23/2023 12:19 AM</t>
  </si>
  <si>
    <t>00498507</t>
  </si>
  <si>
    <t>MLCC - equipos con problemas de GPS</t>
  </si>
  <si>
    <t>Se realiza revisión de los equipos informados. Las perforadoras no presentan problemas en sus GPS solo la perfo 101 tiene baja intensidad en la recepción de señal wifi. Con la pala 210 no se tiene comunicación por lo que e le solicita revisar este servicio para realizar la revisión de la calidad del GPS.</t>
  </si>
  <si>
    <t>Alexis Artigas</t>
  </si>
  <si>
    <t>00498508</t>
  </si>
  <si>
    <t>Monitoreo - DMH - replica sql encolada</t>
  </si>
  <si>
    <t>proceso de réplica al servidor sql no estaba finalizando la ejecución lo que ocasiono que los demás procesos de réplica se encolaran. Para destrabar el proceso de realiza un reinicio de los servicios sql en el servidor y una reducción del log del servidor, con esto se logra restablecer los procesos de réplica y su ejecución normal.</t>
  </si>
  <si>
    <t>00498540</t>
  </si>
  <si>
    <t>AMCEN - Camiones C57 y C47 pegados en mapa</t>
  </si>
  <si>
    <t>Se intenta revisar los equipos encontrando que no existe comunicación ni por mineops ni por el servidor, por lo que se procede a aguantar a que vuelvan y confirmar si tienen problemas o continúan trabajando normal.</t>
  </si>
  <si>
    <t>00498544</t>
  </si>
  <si>
    <t>AMCEN - JSPanel de Caex 15 pegado</t>
  </si>
  <si>
    <t>Se le hace un reinicio del panel y luego al levantar se confirma que es posible navegar entre vistas.</t>
  </si>
  <si>
    <t>00498565</t>
  </si>
  <si>
    <t>MAGSA - Equipos con problemas de gps</t>
  </si>
  <si>
    <t>A eso de las 10 pm se visualizan centelleos en niveles altos en toda la región sudamericana, lo que puede haber afectado el funcionamiento de los GPS. Además de Veladero se nos informa desde otras faenas el mismo problema con el funcionamiento del GPS de alta. Los altos índices de centelleo se produjeron entre las 10 pm hasta las 3 am de Chile, mismo horario que se presentan los problemas con el GPS. Siendo las 08:52 de Chile en Veladero no se visualizan problemas con el funcionamiento del GPS.</t>
  </si>
  <si>
    <t>11/13/2023 9:46 AM</t>
  </si>
  <si>
    <t>00498566</t>
  </si>
  <si>
    <t>AMANT - Perforadora 5 reconoce malla pero no visualiza los pozos</t>
  </si>
  <si>
    <t>Se vuelve a cargar la malla en el sistema para que actualice y la perforadora reconoce los puntos.</t>
  </si>
  <si>
    <t>00498569</t>
  </si>
  <si>
    <t>CNCHUQ - Pala 200 estima mal el tiempo de llegada de camiones</t>
  </si>
  <si>
    <t>Se reinicia la pala y se mantiene monitoreo para ver como se comportan los ETA con el tiempo real. Para dos camiones se guardó registro de que estimó un tiempo y finalmente se cumplió en aproximación a la llegada de ambos camiones con los cuales se mantuvo monitoreo.</t>
  </si>
  <si>
    <t>José técnico</t>
  </si>
  <si>
    <t>00498570</t>
  </si>
  <si>
    <t>CNRT - Perforadoras tienen problemas de GPS</t>
  </si>
  <si>
    <t>Se revisan los equipos comentados con problemas y se logra recuperar el correcto funcionamiento de la perforadora 107, no así de las otras dos las cuales tienen sus gps flotantes. Se revisan correcciones diferenciales de ambos equipos y de la estación base encontrando todo correcto. Bryan comenta que la situación se extendió a mas equipos en una determinada zona por lo que se revisan factores que puedan afectar de manera global encontrando que esta noche hay un nivel de actividad geomagnética que podrá estar afectando equipos hasta las 6 de la mañana incluso. Se revisará también la señal por la parte del equipo de redes.</t>
  </si>
  <si>
    <t>Bryan Viveros</t>
  </si>
  <si>
    <t>00498577</t>
  </si>
  <si>
    <t>CNDMH - Pala 213 con variación en su gps</t>
  </si>
  <si>
    <t>Se realiza reinicio al equipo para ver si así se recupera su correcto funcionamiento lo cual no fue efectivo, se investiga por otras causas encontrando que la madrugada del 13-11-2023 es probable que existan interferencias en las señales gps por eventos geomagnéticos por lo cual se mantiene monitoreo del equipo y finalmente luego de un par de horas el equipo se mantiene funcionando correctamente.</t>
  </si>
  <si>
    <t>00498578</t>
  </si>
  <si>
    <t>AMCEN - Pala7 con problemas de gps</t>
  </si>
  <si>
    <t>Se revisan sensores del equipo encontrando los gps flotantes, luego se revisan las antenas encontrando que efectivamente la calidad de señal es tan solo 3 por lo que se reinicia el equipo y ver si así mejora la situación. Luego de la gestión no se recupera el funcionamiento, se revisan las correcciones diferenciales y se puede observar que los niveles son demasiado bajos para mantener una señal gps estable. se monitoreará durante la noche para ver si con el paso mejora la situación o se derivará a revisión en terreno.</t>
  </si>
  <si>
    <t>00498586</t>
  </si>
  <si>
    <t>AMCEN - Caex 155 con problemas de gps y pantalla pegada</t>
  </si>
  <si>
    <t>Se revisa el equipo y se encuentra con todo operativo, igualmente se le realiza un reinicio para que no tenga problemas con la pantalla.</t>
  </si>
  <si>
    <t>11/13/2023 3:25 AM</t>
  </si>
  <si>
    <t>00498638</t>
  </si>
  <si>
    <t>Se realiza sumarización manual del mes de noviembre. Se informa al cliente a través de correo.</t>
  </si>
  <si>
    <t>11/13/2023 11:27 AM</t>
  </si>
  <si>
    <t>11/13/2023 12:35 PM</t>
  </si>
  <si>
    <t>Juan Torres</t>
  </si>
  <si>
    <t>00498661</t>
  </si>
  <si>
    <t>CNDMH - Recuperar vista menú despachador 'Equipos'</t>
  </si>
  <si>
    <t>Se revisa el caso encontrando que se encontraba la vista deshabilitada con el comando ":ro" dentro de las configuraciones, por lo que se borra ese comando, dejando habilitada la vista "Equipment Operations" o "Equipos" en español. Adicionalmente se habilitó otra vista dentro de "Equipos Auxiliares" llamada "auxequipview" en la cual pueden realizar las mismas acciones.</t>
  </si>
  <si>
    <t>11/13/2023 4:22 PM</t>
  </si>
  <si>
    <t>11/13/2023 5:27 PM</t>
  </si>
  <si>
    <t>00498668</t>
  </si>
  <si>
    <t>MLCC - Sumarización Manual</t>
  </si>
  <si>
    <t>Se sumariza el día que fue solicitado.</t>
  </si>
  <si>
    <t>11/13/2023 6:09 PM</t>
  </si>
  <si>
    <t>11/13/2023 11:02 PM</t>
  </si>
  <si>
    <t>00498713</t>
  </si>
  <si>
    <t>AMCEN - Camiones 130 y 51 con problemas de GPS</t>
  </si>
  <si>
    <t>Se revisan ambos equipos encontrándolos en primera instancia sin conexión, una vez se pudo conectar con los equipos se les reinicia la base de datos interna y el equipo y se monitorea que levanten sin problemas.</t>
  </si>
  <si>
    <t>11/13/2023 11:03 PM</t>
  </si>
  <si>
    <t>11/13/2023 11:22 PM</t>
  </si>
  <si>
    <t>00498726</t>
  </si>
  <si>
    <t>AMCEN - Pala 7 con jspanel pegado</t>
  </si>
  <si>
    <t>Se revisan los logs del equipo no encontrando avisos de error. Las correcciones diferenciales del servidor y pala se encuentran funcionando correctamente. Se solicita mayores antecedentes a Ingeniero en terreno quien informa que equipo tiene problemas de red y que ACT está trabajando en terreno para corregir el problema.</t>
  </si>
  <si>
    <t>11/14/2023 2:58 AM</t>
  </si>
  <si>
    <t>11/14/2023 8:24 AM</t>
  </si>
  <si>
    <t>00498735</t>
  </si>
  <si>
    <t>CNCHUQ - Pala 200 con problemas de ETA</t>
  </si>
  <si>
    <t>Pala se encuentra fuera de servicio por mecánica de terreno desde las 10 am aprox. Se llama al ingeniero en terreno Gonzalo Núñez quien comenta que se realizaron pruebas; se enviaron mensajes desde despacho hacía el equipo los cuales fueron recibidos en la pala de manera instantánea, lo que descarta problemas con la conexión de red. Además, se realizó la instalación de un parlante el cual quedo con el sonido operativo. Se da por cerrado el ticket y el monitoreo al equipo.</t>
  </si>
  <si>
    <t>11/14/2023 3:54 AM</t>
  </si>
  <si>
    <t>11/14/2023 9:22 AM</t>
  </si>
  <si>
    <t>00498744</t>
  </si>
  <si>
    <t>AMZAL - RV: Reporte Exceso de velocidad Zaldivar se ejecutó a las 14/11/2023 7:30:09</t>
  </si>
  <si>
    <t>11/14/2023 6:11 AM</t>
  </si>
  <si>
    <t>11/14/2023 12:14 PM</t>
  </si>
  <si>
    <t>00498745</t>
  </si>
  <si>
    <t>CNN - Favor revisar Jview, no está reportando datos del día de hoy (14-11-2023).</t>
  </si>
  <si>
    <t>Se realiza sumarización del mes de noviembre, una vez finalizado el proceso de ejecuta la réplica hacia el servidor sql. Una vez finalizado ambos procesos se revisa el estado del Jview y los reportes se visualizan de manera correcta. Se informa al cliente vía correo.</t>
  </si>
  <si>
    <t>11/14/2023 6:12 AM</t>
  </si>
  <si>
    <t>11/14/2023 8:18 AM</t>
  </si>
  <si>
    <t>00498758</t>
  </si>
  <si>
    <t>MLCC - No carga archivo en carpeta mallas</t>
  </si>
  <si>
    <t>Se visualiza importador pegado en servidor primario, por lo que se realiza un reinicio del proceso para permitir la carga de los archivos. Se informa al despachador que problema se encuentra solucionado.</t>
  </si>
  <si>
    <t>11/14/2023 8:02 AM</t>
  </si>
  <si>
    <t>11/14/2023 9:05 AM</t>
  </si>
  <si>
    <t>00498764</t>
  </si>
  <si>
    <t>MLCC - Reportes Jview presenta diferencias en los tiempos de esperando de los camiones</t>
  </si>
  <si>
    <t>Se revisan en las 3 bases de datos (postgres, sql y sql replica) y en todo el dato utilizado en los reportes jview como tiempos de espera tienen el mismo valor. Posiblemente el cliente tenga algún filtro en sus planillas lo que genera la diferencia de porcentaje. Se llama al despacho para informar.</t>
  </si>
  <si>
    <t>11/14/2023 9:26 AM</t>
  </si>
  <si>
    <t>11/14/2023 12:08 PM</t>
  </si>
  <si>
    <t>00498809</t>
  </si>
  <si>
    <t>AMCEN - Camión 57 con problemas de cargas</t>
  </si>
  <si>
    <t>Se intenta revisar el equipo pero no hay comunicación por lo que se atribuyen los problemas a fallas de conexión. Se mantiene monitoreo para cuando vuelva el equipo</t>
  </si>
  <si>
    <t>11/14/2023 5:01 PM</t>
  </si>
  <si>
    <t>11/14/2023 5:15 PM</t>
  </si>
  <si>
    <t>00498811</t>
  </si>
  <si>
    <t>AMCEN - Camión 154 no marca su valor de combustible real</t>
  </si>
  <si>
    <t>Se deriva a revisión en terreno debido a que se presentó el mismo problema hace un par de días. Se ven problemas con la marca de combustible cuando el estanque tiene menos del 50%. Luego de petrolear registra bien su nivel de combustible.</t>
  </si>
  <si>
    <t>11/14/2023 5:33 PM</t>
  </si>
  <si>
    <t>11/14/2023 10:11 PM</t>
  </si>
  <si>
    <t>00498814</t>
  </si>
  <si>
    <t>AMCEN - Pala 9 con problemas de gps</t>
  </si>
  <si>
    <t>Se revisan los sensores del equipo encontrando gps con calidad 3, se revisan las correcciones diferenciales en el equipo encontrando un valor bajo de lo que se espera para tener buen posicionamiento. Se procede a revisar las correcciones diferenciales de la estación base encontrando que a nivel estación base hay interferencias con las correcciones diferenciales por lo que se procede a investigar acerca de centelleo encontrando que durante la noche, a las 22 horas y luego a las 01 de la madrugada existirán eventos de centelleos probablemente afectando a los gps.</t>
  </si>
  <si>
    <t>11/14/2023 5:59 PM</t>
  </si>
  <si>
    <t>11/14/2023 10:19 PM</t>
  </si>
  <si>
    <t>00498815</t>
  </si>
  <si>
    <t>AMZAL - T14 con problemas de gps</t>
  </si>
  <si>
    <t>Equipo es revisado en terreno. Se encuentra en zona sin señal por lo que no se puede apoyar remotamente.</t>
  </si>
  <si>
    <t>11/14/2023 6:14 PM</t>
  </si>
  <si>
    <t>11/14/2023 10:14 PM</t>
  </si>
  <si>
    <t>Fredie (Técnico)</t>
  </si>
  <si>
    <t>00498822</t>
  </si>
  <si>
    <t>Al revisar el log del importador "Gradeimporter.log" se encuentra el error que hace referencia a que el nombre ya fue utilizado, se revisa en la carpeta save si existe un archivo con el mismo nombre sin encontrar nada. Se procede a revisar el contenido del archivo con problemas para ser subido y se encuentra con separadores ";" (punto coma) por lo que se le avisa para que actualicen el archivo. Una vez actualizado pasó sin problemas.</t>
  </si>
  <si>
    <t>11/14/2023 8:53 PM</t>
  </si>
  <si>
    <t>11/14/2023 9:30 PM</t>
  </si>
  <si>
    <t>00498838</t>
  </si>
  <si>
    <t>AMCEN - Camión 47 con la pantalla pegada</t>
  </si>
  <si>
    <t>Se revisa el equipo encontrándolo en primera instancia sin comunicación, al pasar 5 minutos se recupera la comunicación con el equipo por lo que se procede revisan los sensores encontrando todo en buen estado. El equipo se ve bien en mapa y la pantalla funciona.</t>
  </si>
  <si>
    <t>11/15/2023 2:33 AM</t>
  </si>
  <si>
    <t>11/15/2023 2:40 AM</t>
  </si>
  <si>
    <t>00498880</t>
  </si>
  <si>
    <t>MLCC - Revisión de señales para equipos</t>
  </si>
  <si>
    <t>Se envian los datos solicitados a Daniel</t>
  </si>
  <si>
    <t>11/15/2023 12:33 PM</t>
  </si>
  <si>
    <t>11/15/2023 12:53 PM</t>
  </si>
  <si>
    <t>00498898</t>
  </si>
  <si>
    <t>CNRT - C318 sin gps</t>
  </si>
  <si>
    <t>11/15/2023 15:40 PM</t>
  </si>
  <si>
    <t>11/15/2023 15:58 PM</t>
  </si>
  <si>
    <t>Claudio Hexagon</t>
  </si>
  <si>
    <t>00498970</t>
  </si>
  <si>
    <t>MLCC-Alejandro Larenas solicita Sumarizacion a lo que vamos de noviembre</t>
  </si>
  <si>
    <t>Se realiza sumarizacion exitosamente.</t>
  </si>
  <si>
    <t>11/16/2023 03:00</t>
  </si>
  <si>
    <t>11/16/2023 05:00</t>
  </si>
  <si>
    <t>A.ejandro Larenas</t>
  </si>
  <si>
    <t>00498999</t>
  </si>
  <si>
    <t>AMCEN-Luis Rios informa problema GPS PC47</t>
  </si>
  <si>
    <t>se reinicia los gps y vuelve a estar operativa.</t>
  </si>
  <si>
    <t>11/16/2023 07:20</t>
  </si>
  <si>
    <t>11/16/2023 07:45</t>
  </si>
  <si>
    <t>00499011</t>
  </si>
  <si>
    <t>MLCC - RE: Apoyo con Query de Perforaciones - JMineOps SQL Server</t>
  </si>
  <si>
    <t>Se revisa la query , la cual entrega datos correctamente en nuestro servidor, pero en el de ellos, no hay nada, se replican los datos para que estos vuelvan a estar disponibles.</t>
  </si>
  <si>
    <t>11/16/2023 9:29 AM</t>
  </si>
  <si>
    <t>11/16/2023 4:10 PM</t>
  </si>
  <si>
    <t>00499047</t>
  </si>
  <si>
    <t>AMZAL - Pala N°2 problemas con el gps</t>
  </si>
  <si>
    <t>Se revisa el equipo, el cual tiene problemas con la antena N° 2, se reinicia el core, recuperando asi la señal completa del GPS.</t>
  </si>
  <si>
    <t>11/16/2023 3:33 PM</t>
  </si>
  <si>
    <t>11/16/2023 3:42 PM</t>
  </si>
  <si>
    <t>00499060</t>
  </si>
  <si>
    <t>MLCC - GPS pala N°10</t>
  </si>
  <si>
    <t>Se revisa el equipo el cual no tiene conexion con el servidor, se logra acceder al core y despues se intenta saltar a la pantalla, pero no hay comunicacion, por lo que el problema debe ser el cableado que va a la pantalla o la misma pantalla en su defecto, se llama a despacho para que lo vean en terreno.</t>
  </si>
  <si>
    <t>11/16/2023 4:49 PM</t>
  </si>
  <si>
    <t>11/16/2023 5:02 PM</t>
  </si>
  <si>
    <t>00499092</t>
  </si>
  <si>
    <t>AMCEN-Cristian chiang solicita detener importador wenco.</t>
  </si>
  <si>
    <t>se comenta la linea del cron.</t>
  </si>
  <si>
    <t>11/16/2023 21:24</t>
  </si>
  <si>
    <t>11/16/2023 21:40</t>
  </si>
  <si>
    <t>00499102</t>
  </si>
  <si>
    <t>CNDMH - Sin acceso a ME</t>
  </si>
  <si>
    <t>Se reinician los servicios, recuperando asi el acceso a ME</t>
  </si>
  <si>
    <t>11/17/2023 7:50 AM</t>
  </si>
  <si>
    <t>11/17/2023 8:20 AM</t>
  </si>
  <si>
    <t>Rodrigo Hexagon</t>
  </si>
  <si>
    <t>00499118</t>
  </si>
  <si>
    <t>Se eliminan las consultas encoladas</t>
  </si>
  <si>
    <t>11/17/2023 10:15 AM</t>
  </si>
  <si>
    <t>00499136</t>
  </si>
  <si>
    <t>CNDMH - Reiniciar C334</t>
  </si>
  <si>
    <t>11/17/2023 2:43 PM</t>
  </si>
  <si>
    <t>11/17/2023 2:58 PM</t>
  </si>
  <si>
    <t>00499146</t>
  </si>
  <si>
    <t>MLCC - Correccion de nombre</t>
  </si>
  <si>
    <t>Se modifica el nombre del operador , se cambia Edgardo, por Eduardo</t>
  </si>
  <si>
    <t>11/17/2023 3:52 PM</t>
  </si>
  <si>
    <t>11/17/2023 4:05 PM</t>
  </si>
  <si>
    <t>Mesa ayuda</t>
  </si>
  <si>
    <t>00499154</t>
  </si>
  <si>
    <t>CNDMH - Sin acceso a Jview</t>
  </si>
  <si>
    <t>Se inician los servicios sql, recuperando asi el Jview</t>
  </si>
  <si>
    <t>11/17/2023 6:11 PM</t>
  </si>
  <si>
    <t>11/17/2023 6:18 PM</t>
  </si>
  <si>
    <t>Rogelio DMH</t>
  </si>
  <si>
    <t>00499173</t>
  </si>
  <si>
    <t>AMCEN-Luis Rios informa problema GPS PE6 , 5 y equipos rocmin</t>
  </si>
  <si>
    <t>al momento de revision los equipos tenian buena señal GPS.</t>
  </si>
  <si>
    <t>11/18/2023 00:27</t>
  </si>
  <si>
    <t>11/18/2023 01:27</t>
  </si>
  <si>
    <t>00499209</t>
  </si>
  <si>
    <t>MLCC-Fwd: Sin acceso a carpeta \\mineops\Xfer</t>
  </si>
  <si>
    <t>00499211</t>
  </si>
  <si>
    <t>00499213</t>
  </si>
  <si>
    <t>CNRT - Crear cuenta de jview</t>
  </si>
  <si>
    <t>00499315</t>
  </si>
  <si>
    <t>MLCC - Cargar datos a modelo de bloques</t>
  </si>
  <si>
    <t>00499348</t>
  </si>
  <si>
    <t>MLCC - Solidos Jigsaw PD 19-20 de noviembre 2023</t>
  </si>
  <si>
    <t>00499349</t>
  </si>
  <si>
    <t>MLCC - Pala 210 no deja asignar camiones</t>
  </si>
  <si>
    <t>00499391</t>
  </si>
  <si>
    <t>MLCC-Procesos sqlserver encolados</t>
  </si>
  <si>
    <t>se cierran las sesiones del servidor 59 de caserones y las replicas sqlserver pasan normalmente.</t>
  </si>
  <si>
    <t>11/19/2023 01:13 AM</t>
  </si>
  <si>
    <t>11/19/2023 01:23 AM</t>
  </si>
  <si>
    <t>00499427</t>
  </si>
  <si>
    <t>Mantoverde - revisar conexión entre servidor activo y JView</t>
  </si>
  <si>
    <t>00499436</t>
  </si>
  <si>
    <t>00499508</t>
  </si>
  <si>
    <t>MLCC - Reiniciar C310</t>
  </si>
  <si>
    <t>AMCEN-Luis Rios informa problema C115</t>
  </si>
  <si>
    <t>se reinicia el core y el equipo levanta normalmente.</t>
  </si>
  <si>
    <t>11/19/2023 03:29 AM</t>
  </si>
  <si>
    <t>11/19/2023 04:29 AM</t>
  </si>
  <si>
    <t>00499579</t>
  </si>
  <si>
    <t>DMH-Alan zaldivia informa mineops caído  y perdida de señal con  los equipos .</t>
  </si>
  <si>
    <t>la falla se debía que existía un carro caído que hacia el anillo de las redes. se recupera y vuelven a conectarse los equipos.</t>
  </si>
  <si>
    <t>11/20/2023 11:40 PM</t>
  </si>
  <si>
    <t>11/20/2023 4:40 AM</t>
  </si>
  <si>
    <t>Alan Zaldivia</t>
  </si>
  <si>
    <t>00499588</t>
  </si>
  <si>
    <t>MLCC-Alejandro solicita sumarizacion de noviembre.</t>
  </si>
  <si>
    <t>se realiza la sumarizacion.</t>
  </si>
  <si>
    <t>11/20/2023 12:40 PM</t>
  </si>
  <si>
    <t>11/21/2023 3:40 AM</t>
  </si>
  <si>
    <t>00499590</t>
  </si>
  <si>
    <t>AAM-Victor veragua solicita asistencia ya que tiene el frontal 1 y frontal 2 sin gps y camiones 24 26 y 29 pegados.</t>
  </si>
  <si>
    <t>no se tiene acceso a ninguno de los equipos mencionados, se hace incapie en la calidad de la red en el sector que trabajan y corte de energía algunos volvieron y otros se deriva a personal de terreno que revisen hardware.</t>
  </si>
  <si>
    <t>11/21/2023 03:18 AM</t>
  </si>
  <si>
    <t>11/21/2023 05:18 AM</t>
  </si>
  <si>
    <t>00499596</t>
  </si>
  <si>
    <t>AMCEN-Luis Rios informa problema GPS PE5</t>
  </si>
  <si>
    <t>se reinicia el equipo y vuelve operativo.</t>
  </si>
  <si>
    <t>11/21/2023 04:08 AM</t>
  </si>
  <si>
    <t>11/21/2023 05:08 AM</t>
  </si>
  <si>
    <t>00499660</t>
  </si>
  <si>
    <t>MLCC - Datos TKPH</t>
  </si>
  <si>
    <t>Se le entregan los datos solicitados.</t>
  </si>
  <si>
    <t>11/21/2023 1:21 PM</t>
  </si>
  <si>
    <t>11/22/2023 2:00 PM</t>
  </si>
  <si>
    <t>00499731</t>
  </si>
  <si>
    <t>DMH-Cristian Valenzuela requiere información de quien agrega cargas extras a ciertas descargas.</t>
  </si>
  <si>
    <t>se busca la información solicitada y se envía por correo a Cristian.</t>
  </si>
  <si>
    <t>11/22/2023 04:50 AM</t>
  </si>
  <si>
    <t>11/22/2023 05:20 AM</t>
  </si>
  <si>
    <t>Crstian Valenzuela</t>
  </si>
  <si>
    <t>00499734</t>
  </si>
  <si>
    <t>MLCC-Alejandro solicita cerrar sesiones servidor 59 para descargar reporte.</t>
  </si>
  <si>
    <t>se cierran las sesiones de sqlserver.</t>
  </si>
  <si>
    <t>11/22/2023 05:50 AM</t>
  </si>
  <si>
    <t>11/22/2023 06:00 AM</t>
  </si>
  <si>
    <t>00499769</t>
  </si>
  <si>
    <t>MLCC - Perforadora con problemas de GPS</t>
  </si>
  <si>
    <t>Se realiza apoyo para revisar el estado actual del equipo encontrando que se encuentra con todo en óptimas condiciones.</t>
  </si>
  <si>
    <t>11/22/2023 4:47 AM</t>
  </si>
  <si>
    <t>11/22/2023 5:14 AM</t>
  </si>
  <si>
    <t>Alexis técnico tres60</t>
  </si>
  <si>
    <t>00499771</t>
  </si>
  <si>
    <t>AMZAL - RV: Reporte Exceso de velocidad Zaldivar se ejecutó a las 22/11/2023 7:30:09</t>
  </si>
  <si>
    <t>Se modifica el reporte en Report Builder según petición del cliente.</t>
  </si>
  <si>
    <t>11/22/2023 5:00 AM</t>
  </si>
  <si>
    <t>11/22/2023 3:16 PM</t>
  </si>
  <si>
    <t>00499862</t>
  </si>
  <si>
    <t>MLCC - Acceso a carpeta xfer</t>
  </si>
  <si>
    <t>Se le envía por correo el 'Manual' generado por Claudio Ponce.</t>
  </si>
  <si>
    <t>11/22/2023 3:17 PM</t>
  </si>
  <si>
    <t>11/23/2023 2:51 PM</t>
  </si>
  <si>
    <t>Javier  Mora</t>
  </si>
  <si>
    <t>00499895</t>
  </si>
  <si>
    <t>AMZAL - Agregar equipos a flota CMZ</t>
  </si>
  <si>
    <t>Se realiza la creación de los 2 equipos solicitados por cliente. En estos momentos se está a la espera de la información de las direcciones ip para finalizar con las configuraciones de los devices y del archivo setup</t>
  </si>
  <si>
    <t>11/22/2023 4:46 PM</t>
  </si>
  <si>
    <t>11/24/2023 6:40 AM</t>
  </si>
  <si>
    <t>00499929</t>
  </si>
  <si>
    <t>AMCEN - Problema señal GPS Perforadoras</t>
  </si>
  <si>
    <t>Durante la revisión de las perforadoras me encontré con 2 de ellas con su calidad de gps en estado floating. Se procedió a revisar el estado de la conexión con la estación base y de las correcciones diferenciales en el servidor las cuales se encontraban funcionando de manera normal. Ante esto se procede a reiniciar el JAMS para mejorar la comunicación de los equipos con el servidor lo que permito dejar la calidad de los gps en estado fixed. En estos momentos las perforadoras se encuentran operando de manera normal.</t>
  </si>
  <si>
    <t>11/22/2023 7:03 PM</t>
  </si>
  <si>
    <t>11/22/2023 8:44 PM</t>
  </si>
  <si>
    <t>Belen Salgado - Despacho</t>
  </si>
  <si>
    <t>00499940</t>
  </si>
  <si>
    <t>AMCEN - Problema GPS Caex 56</t>
  </si>
  <si>
    <t>Equipo se encontraba con recepción de señal GPS en rojo, se realiza revisión del log del JAMS el cual arrojaba error (JRecord: error saving Traveling) este error sugiere que hay un problema al intentar actualizar un registro por lo que se realiza el borrado de la bd temporal y de un reinicio del JAMS, lo que permitió mejorar el estado del GPS y actualizar la posición del equipo en el jsmina.
Se realiza monitoreo al camión 56 y este no presenta problemas de GPS. Los log del JAMS no muestran errores de posicionamiento y todo funciona de manera normal. se da por cerrado el ticket.</t>
  </si>
  <si>
    <t>11/22/2023 9:49 PM</t>
  </si>
  <si>
    <t>11/23/2023 2:42 AM</t>
  </si>
  <si>
    <t>00499981</t>
  </si>
  <si>
    <t>CNN - Perforadora PE01 con problemas de carga de malla</t>
  </si>
  <si>
    <t>Se revisa la malla en MineOps encontrando que está generando puntos en dos ubicaciones diferentes, por lo que se presume que se subió con error. Se le sugiere al cliente eliminar la malla y volverla a cargar.</t>
  </si>
  <si>
    <t>11/23/2023 7:07 AM</t>
  </si>
  <si>
    <t>00499986</t>
  </si>
  <si>
    <t>Se cargan manualmente los archivos. Se revisa por qué no se subieron automáticamente y se encuentra procesos de importadores pegados del 20 de Noviembre, se matan y sigue funcionando normalmente.</t>
  </si>
  <si>
    <t>11/23/2023 7:24 AM</t>
  </si>
  <si>
    <t>11/23/2023 12:23 PM</t>
  </si>
  <si>
    <t>Javier Mora</t>
  </si>
  <si>
    <t>00500007</t>
  </si>
  <si>
    <t>RE: Agregar equipos a flota CMZ</t>
  </si>
  <si>
    <t>Según lo conversado con cliente se añaden ambos equipos como auxiliares a flota nueva EquipoPlanta.</t>
  </si>
  <si>
    <t>11/23/2023 1:06 PM</t>
  </si>
  <si>
    <t>11/24/2023 9:37 AM</t>
  </si>
  <si>
    <t>00500022</t>
  </si>
  <si>
    <t>Vista en JView. Consulta</t>
  </si>
  <si>
    <t>Se indica a cliente que se debe cotizar una funcion para dar solución a lo solicitado</t>
  </si>
  <si>
    <t>11/23/2023 4:18 PM</t>
  </si>
  <si>
    <t>00500031</t>
  </si>
  <si>
    <t>Señal de PE3 con problemas</t>
  </si>
  <si>
    <t>Se revisa el estado de la perforadora y esta se encuentra trabajando de manera normal, las revisiones de Calidad de GPS y las correcciones diferenciales no muestran anomalías. La revisión del hpgps de las perforadoras por algunos segundos se encontraron en modo floating lo que posiblemente haya afectado la performance de la señal. Se estará monitoreando el equipo para visualizar posibles cambios.
Equipo se encuentra trabajando con normalidad. Durante la noche se visualizaron eventos de centelleo que pudieron haber afectado la perfomance de los gps.</t>
  </si>
  <si>
    <t>11/23/2023 5:40 PM</t>
  </si>
  <si>
    <t>11/24/2023 1:54 AM</t>
  </si>
  <si>
    <t>00500049</t>
  </si>
  <si>
    <t>error en destinos</t>
  </si>
  <si>
    <t>Se realizo la revisión de los destinos en la BD, puntualmente en la tabla dumping y los 2 destinos informados con problemas tenían datos duplicados por lo que se procedió a borrar y dejar solo un dumping. Se informa a Karim vía telefónica lo realizado.</t>
  </si>
  <si>
    <t>11/23/2023 6:54 PM</t>
  </si>
  <si>
    <t>11/23/2023 9:00 PM</t>
  </si>
  <si>
    <t>00500052</t>
  </si>
  <si>
    <t>Señal PE4 y PE51</t>
  </si>
  <si>
    <t>Equipos se encontraban con sus gps en estado floating. Se revisaron las correcciones y el estado de la señal de GPS las cuales estaban trabajando con normalidad. Se reviso la página de GNSS Planning encontrando eventos de centelleo nivel medio alto, lo que pudo haber provocado los problemas vistos. En estos momentos los equipos se encuentran trabajando de manera normal.</t>
  </si>
  <si>
    <t>11/24/2023 1:50 AM</t>
  </si>
  <si>
    <t>00500059</t>
  </si>
  <si>
    <t>Problemas con el jsmineops</t>
  </si>
  <si>
    <t>Se presenta problemas en el servicio JAMS del servidor lo que ocasiona inconvenientes con el acceso al aplicativo y con la comunicación con los equipos de campo. Se realiza un reinicio al JAMS el servidor lo que permitió recuperar el funcionamiento del MineOps.</t>
  </si>
  <si>
    <t>11/24/2023 2:34 AM</t>
  </si>
  <si>
    <t>11/24/2023 9:38 AM</t>
  </si>
  <si>
    <t>Daniel Pizarro - soporte RT</t>
  </si>
  <si>
    <t>00500077</t>
  </si>
  <si>
    <t>AAM - Consulta por los paneles de camiones</t>
  </si>
  <si>
    <t>Se le informa al cliente que deberán llamarnos cuando se presenten problemas del estilo para diagnosticarlo en el momento. Ya que no podemos saber de manera certera cual es el problema si nos llaman cuando ya está solucionado.</t>
  </si>
  <si>
    <t>11/24/2023 7:08 AM</t>
  </si>
  <si>
    <t>11/24/2023 12:55 PM</t>
  </si>
  <si>
    <t>00500096</t>
  </si>
  <si>
    <t>AMZAL - Lentitud general del sistema</t>
  </si>
  <si>
    <t>Se le realiza un monitoreo y mantenimiento de procesos, consultas pegadas, uso de cpu y ram para mejorar la situación.</t>
  </si>
  <si>
    <t>11/24/2023 8:23 AM</t>
  </si>
  <si>
    <t>11/24/2023 12:38 PM</t>
  </si>
  <si>
    <t>00500103</t>
  </si>
  <si>
    <t>CNDMH - Camión 376 con problemas de GPS</t>
  </si>
  <si>
    <t>Se intenta revisar de manera remota pero no es posible acceder a el.</t>
  </si>
  <si>
    <t>11/24/2023 9:25 AM</t>
  </si>
  <si>
    <t>11/24/2023 9:32 AM</t>
  </si>
  <si>
    <t>00500117</t>
  </si>
  <si>
    <t>MLCC - Importador pegado</t>
  </si>
  <si>
    <t>Al acceder a servidor y buscar importadores pegados no se encuentra nada, posteriormente se le realiza un tail -F al log de Diglimit buscando posibles problemas y se puede ver justo cuando estaba cargándose al sistema el archivo.</t>
  </si>
  <si>
    <t>11/24/2023 12:05 PM</t>
  </si>
  <si>
    <t>11/24/2023 12:37 PM</t>
  </si>
  <si>
    <t>00500118</t>
  </si>
  <si>
    <t>MLCC - Cargador frontal 221 presenta problemas de sistema</t>
  </si>
  <si>
    <t>Es imposible conectarse con el equipo. Se intentó por mineops, por el servidor y por su ip de red.</t>
  </si>
  <si>
    <t>11/24/2023 12:25 PM</t>
  </si>
  <si>
    <t>11/24/2023 1:24 PM</t>
  </si>
  <si>
    <t>Alexis tres60</t>
  </si>
  <si>
    <t>00500152</t>
  </si>
  <si>
    <t>Problema señal Fase 8</t>
  </si>
  <si>
    <t>realice una revisión de cobertura en el jmineops y el sector donde se encuentra la PA9 muestra sectores oscuros que generan el problema que informas. Intente conectarme a la pala, pero no me fue posible debido a la baja señal wifi del sector.
Se realiza un nuevo monitoreo a la pala 9 ubicada en Fase 8 y está aún se encuentra sin comunicaciones. Además, se realiza un chequeo de la cobertura en el sector la cual arroja problemas de red en esa fase. Se envía correo a Despacho para que gestionen trabajos en los puntos de red que abastecen ese sector.</t>
  </si>
  <si>
    <t>11/24/2023 6:49 PM</t>
  </si>
  <si>
    <t>11/25/2023 12:36 AM</t>
  </si>
  <si>
    <t>00500153</t>
  </si>
  <si>
    <t xml:space="preserve"> Problema señal GPS Perforadoras</t>
  </si>
  <si>
    <t>Equipos se vieron afectados por los centelleos, entre las 23pm y las 04 am se visualizaron centelleos en niveles medio/alto esto ocasionó problemas en las comunicaciones entre los satélites con los equipos de alta. A las 04:30 am ya no se visualizan eventos de centello, las calidades de los gps ya se encuentran en modo a fixed y los equipos se encuentran posicionando son problemas.</t>
  </si>
  <si>
    <t>11/24/2023 6:53 PM</t>
  </si>
  <si>
    <t>11/25/2023 12:59 AM</t>
  </si>
  <si>
    <t>00500160</t>
  </si>
  <si>
    <t>Señal Pala 3</t>
  </si>
  <si>
    <t>Se realiza monitoreo a la pala la cual tiene variaciones en su calidad de GPS, está varía entre floating y fixed. En cada movimiento de la pala se presentó estos cambios, posiblemente el lugar donde está ubicada la pala está afectando la señal de una de las antenas de GPS.
Equipo ya se encuentra operando de manera estable con las señales de GPS, se realiza monitoreo por varios minutos no visualizando cambios en la calidad de los GPS.</t>
  </si>
  <si>
    <t>11/25/2023 12:05 AM</t>
  </si>
  <si>
    <t>11/25/2023 1:03 AM</t>
  </si>
  <si>
    <t>00500172</t>
  </si>
  <si>
    <t>CNDMH - Pala601 con problemas de sistema</t>
  </si>
  <si>
    <t>Se revisan todos los sensores internos encontrando todo funcionando en regla por lo que se deriva a revisión en terreno.</t>
  </si>
  <si>
    <t>11/25/2023 7:47 AM</t>
  </si>
  <si>
    <t>11/25/2023 9:14 AM</t>
  </si>
  <si>
    <t>00500173</t>
  </si>
  <si>
    <t>CNDMH - Agregar códigos a equipo auxiliar</t>
  </si>
  <si>
    <t>La flota del equipo EX800 se integra a los códigos de las demás excavadoras auxiliares.</t>
  </si>
  <si>
    <t>11/25/2023 7:49 AM</t>
  </si>
  <si>
    <t>11/25/2023 9:09 AM</t>
  </si>
  <si>
    <t>00500176</t>
  </si>
  <si>
    <t>AAM - Reportabilidad de las perforadoras 1 y 6</t>
  </si>
  <si>
    <t>Se reinician los servicios SQL en el servidor y se monitorean los logs del run.</t>
  </si>
  <si>
    <t>11/25/2023 11:11 AM</t>
  </si>
  <si>
    <t>11/25/2023 1:07 PM</t>
  </si>
  <si>
    <t>00500180</t>
  </si>
  <si>
    <t>AMZAL - Modificación vistas menú LP Mineops</t>
  </si>
  <si>
    <t>11/25/2023 12:47 PM</t>
  </si>
  <si>
    <t>existe una confusión en el requerimiento , se conversa con Miguel y se procede a abrir otro ticket con el requerimiento exacto.</t>
  </si>
  <si>
    <t>11/29/2023 8:00 AM</t>
  </si>
  <si>
    <t>11/29/2023 10:00 AM</t>
  </si>
  <si>
    <t>00500205</t>
  </si>
  <si>
    <t>AMCEN -  Caex 10 esta con 1 hora adelantada su reloj</t>
  </si>
  <si>
    <t>Equipo se encontraba con su hora adelantada. Se realiza borrado de la bd temporal y un reinicio al JAMS del equipo. Luego de esto el camión queda con su hora actualizada.</t>
  </si>
  <si>
    <t>11/25/2023 6:47 PM</t>
  </si>
  <si>
    <t>11/25/2023 8:31 PM</t>
  </si>
  <si>
    <t>00500206</t>
  </si>
  <si>
    <t>AMCEN - Caex 15 se reinicia su pantalla</t>
  </si>
  <si>
    <t>Log del equipo muestra 4 reinicios en 30 minutos, se realiza un borrado de la BD temporal del equipo y un reinicio del JAMS. Equipo lleva 1 hora trabajando sin problemas luego de la intervención.</t>
  </si>
  <si>
    <t>11/25/2023 6:48 PM</t>
  </si>
  <si>
    <t>11/25/2023 8:36 PM</t>
  </si>
  <si>
    <t>00500207</t>
  </si>
  <si>
    <t>AAM - Tronada cargada no muestra todas las zonas</t>
  </si>
  <si>
    <t>Archivo 0900F513.csv cargado ya existía en el mineops por lo que nuevo archivo se crea con el nombre 00900F513.csv. Ambas tronadas se están visualizando en el jsmina. Revisando el postgres se visualiza que se realizó un borrado lógico del polígono Z1 asociado a la nueva tronada quedando sin ningún polígono asociado. Se solicita al despachador enviar un correo en el caso de requerir modificar algún dato de la BD por parte de soporte.</t>
  </si>
  <si>
    <t>11/25/2023 8:38 PM</t>
  </si>
  <si>
    <t>11/26/2023 2:56 AM</t>
  </si>
  <si>
    <t>00500209</t>
  </si>
  <si>
    <t>AMCEN - Archivos Hazard no se cargan a la carpeta save</t>
  </si>
  <si>
    <t>Problema se genera al encontrar un archivo que pesa 69 MB, el importador puede cargar archivos de hasta 16 megas. Se informa al cliente que se debe modificar el archivo para que este cumpla con el tamaño necesario para ser cargado a la carpeta save. De manera provisoria y evitar que se siga encolando el importador se movió el archivo con problemas a una carpeta provisoria dentro del mismo servidor.</t>
  </si>
  <si>
    <t>11/26/2023 1:56 AM</t>
  </si>
  <si>
    <t>11/26/2023 2:54 AM</t>
  </si>
  <si>
    <t xml:space="preserve">Rodrigo Valladares - TICA </t>
  </si>
  <si>
    <t>00500216</t>
  </si>
  <si>
    <t>MLCC - Reinicio de credenciales cuentas SEP y SGO</t>
  </si>
  <si>
    <t>Se llama a mesa de ayuda Caserones para obtener mas información acerca de los sistemas y confirman que los sistemas SEP y SGO los administra otra área "Contact"</t>
  </si>
  <si>
    <t>11/26/2023 10:37 AM</t>
  </si>
  <si>
    <t>11/26/2023 12:19 PM</t>
  </si>
  <si>
    <t>Mesa de ayuda Caserones</t>
  </si>
  <si>
    <t>00500218</t>
  </si>
  <si>
    <t>AMANT - Sumarización manual</t>
  </si>
  <si>
    <t>Se realiza la sumarización solicitada.</t>
  </si>
  <si>
    <t>11/26/2023 12:10 PM</t>
  </si>
  <si>
    <t>11/26/2023 12:35 PM</t>
  </si>
  <si>
    <t>00500228</t>
  </si>
  <si>
    <t>Se realiza la sumarización como lo solicitó el cliente</t>
  </si>
  <si>
    <t>11/26/2023 12:53 PM</t>
  </si>
  <si>
    <t>11/26/2023 1:32 PM</t>
  </si>
  <si>
    <t>Belén Saéz</t>
  </si>
  <si>
    <t>00500235</t>
  </si>
  <si>
    <t>AMZAL - Modificar tramos en reporte velocidades</t>
  </si>
  <si>
    <t>Se han implementado las modificaciones solicitadas en el reporte. Se informa al cliente para su revisión y aprobación.</t>
  </si>
  <si>
    <t>11/26/2023 1:41 PM</t>
  </si>
  <si>
    <t>11/28/2023 3:18 PM</t>
  </si>
  <si>
    <t>00500238</t>
  </si>
  <si>
    <t>AMCEN - Vídeo de JSPlayback CAEX24</t>
  </si>
  <si>
    <t>Se graba el vídeo y se envía al cliente como lo solicitó.</t>
  </si>
  <si>
    <t>11/26/2023 2:26 PM</t>
  </si>
  <si>
    <t>11/26/2023 2:53 PM</t>
  </si>
  <si>
    <t>Scarlett Castillo</t>
  </si>
  <si>
    <t>00500270</t>
  </si>
  <si>
    <t>AMCEN - Perfo 3 con problemas de GPS</t>
  </si>
  <si>
    <t>Equipo se encontraba con GPS en estado floating, se realiza un reinicio del JAMS lo cual permitió mejorar la señal del equipo. Equipo se encuentra operando con normalidad.</t>
  </si>
  <si>
    <t>11/26/2023 6:47 PM</t>
  </si>
  <si>
    <t>11/26/2023 10:43 PM</t>
  </si>
  <si>
    <t>00500277</t>
  </si>
  <si>
    <t>AMCEN - Problema señal Fase 8 y PA1</t>
  </si>
  <si>
    <t>Se realiza un reinicio al JAMS de la pala para mejorar las comunicaciones. En estos momentos el equipo se encuentra operando con normalidad, señal wifi ya se encuentra en niveles aceptables para el buen funcionamiento.</t>
  </si>
  <si>
    <t>11/26/2023 7:41 PM</t>
  </si>
  <si>
    <t>11/26/2023 10:41 PM</t>
  </si>
  <si>
    <t>00500280</t>
  </si>
  <si>
    <t>CNDMH - Señal gps de pala con problemas</t>
  </si>
  <si>
    <t>Vista hpgps de palas y perforadoras muestran calidad floating, lo que genera problemas con el posicionamiento de los equipos. Se realiza revisión de las correcciones y comunicación con la estación base y todo funciona con normalidad. Se realizará un reinicio del jams de los equipos que se encuentren en floating para mejorar la calidad de señal.</t>
  </si>
  <si>
    <t>11/26/2023 8:02 PM</t>
  </si>
  <si>
    <t>11/26/2023 9:57 PM</t>
  </si>
  <si>
    <t>Oscar Barra</t>
  </si>
  <si>
    <t>00500284</t>
  </si>
  <si>
    <t>11/26/2023 8:56 PM</t>
  </si>
  <si>
    <t>11/27/2023 1:13 PM</t>
  </si>
  <si>
    <t>00500296</t>
  </si>
  <si>
    <t>AMZAL - Señal de gps en equipos de alta con problemas</t>
  </si>
  <si>
    <t>Se realiza un borrado de la bd temporal del equipo para mejorar la calidad del GPS, además se reinicia el jams para restablecer las comunicaciones del equipo con el servidor. Equipos quedan operando con su señal al 100%.</t>
  </si>
  <si>
    <t>11/26/2023 11:10 PM</t>
  </si>
  <si>
    <t>11/26/2023 11:22 PM</t>
  </si>
  <si>
    <t>00500304</t>
  </si>
  <si>
    <t>AMCEN - Señal GPS CF234</t>
  </si>
  <si>
    <t>Equipo se encontraba con calidad de GPS en 3 y en modo floating. Se realiza borrado de BD temporal y reinicio del JAMS para mejorar la comunicación del equipo.</t>
  </si>
  <si>
    <t>11/26/2023 11:52 PM</t>
  </si>
  <si>
    <t>11/27/2023 12:03 AM</t>
  </si>
  <si>
    <t>00500383</t>
  </si>
  <si>
    <t>CNDMH - Camión Regador pegado en sistema</t>
  </si>
  <si>
    <t>Se intenta revisar en primera instancia y no hay ping con el equipo, sin embargo se recupera pronto la conexión por lo que se conecta al equipo y se reinicia para recuperar su posición en mineops.</t>
  </si>
  <si>
    <t>11/27/2023 12:28 PM</t>
  </si>
  <si>
    <t>11/27/2023 1:10 PM</t>
  </si>
  <si>
    <t>00500412</t>
  </si>
  <si>
    <t>AMZAL - No se visualizan todos los bloques de archivo cargado</t>
  </si>
  <si>
    <t>Se revisan los bloques informados y estos se encuentran activos en la BD, además se realiza la activación de algunos en el jsmina y estos aparecen al momento de activar la vista de bloques. Se envía correo al cliente informando sobre esto.</t>
  </si>
  <si>
    <t>11/27/2023 3:06 PM</t>
  </si>
  <si>
    <t>11/27/2023 6:31 PM</t>
  </si>
  <si>
    <t>Mauricio Mercado</t>
  </si>
  <si>
    <t>00500413</t>
  </si>
  <si>
    <t>AMCEN - Camión 61 con diferencia de hora con el servidor</t>
  </si>
  <si>
    <t>Se le realiza un JAMSRouter update para que vuelva a tomar configuraciones correctas el equipo y se procede a realizar una recarga de la base de datos interna para que levante con nuevas configuraciones.</t>
  </si>
  <si>
    <t>11/27/2023 3:11 PM</t>
  </si>
  <si>
    <t>11/27/2023 3:32 PM</t>
  </si>
  <si>
    <t>Víctor Rojas</t>
  </si>
  <si>
    <t>00500432</t>
  </si>
  <si>
    <t>AMCEN - Pantalla C134</t>
  </si>
  <si>
    <t>Los Log del camión informan de un reinicio a eso de las 21:30 lo que provocó que la pantalla se reiniciara. En estos momentos el equipo se encuentra operando con normalidad.</t>
  </si>
  <si>
    <t>11/27/2023 6:16 PM</t>
  </si>
  <si>
    <t>11/27/2023 10:08 PM</t>
  </si>
  <si>
    <t>00500433</t>
  </si>
  <si>
    <t>MLCC - Sumarización</t>
  </si>
  <si>
    <t>Sumarización finalizada.</t>
  </si>
  <si>
    <t>11/27/2023 6:18 PM</t>
  </si>
  <si>
    <t>11/27/2023 9:38 PM</t>
  </si>
  <si>
    <t>00500440</t>
  </si>
  <si>
    <t>AMCEN - Pala 1 muestra diferencia en su cota</t>
  </si>
  <si>
    <t>Equipo se encuentra con sus GPS en estado floating, lo que genera problemas con el posicionamiento del equipo. La señal GPS se está viendo afectado por eventos de centelleo. Página de monitoreo informa centelleos desde las 23:00 hasta las 03:00.
Pala muestra cota normal, señal GPS ya se encuentra en estado optimo.</t>
  </si>
  <si>
    <t>11/27/2023 7:54 PM</t>
  </si>
  <si>
    <t>11/27/2023 10:07 PM</t>
  </si>
  <si>
    <t>00500466</t>
  </si>
  <si>
    <t>AMCEN - Camiones 18 y 162 presentan problemas con ubicación y con gps</t>
  </si>
  <si>
    <t>Camión 18 se encontraba pegado en el jsmina y sin comunicaciones en primera instancia. luego de unos minutos se tuvo acceso al equipo y se realiza un reinicio del JAMS para permitir la actualización de la, equipo queda operativo. Camión 162 no tiene comunicación, por lo que no se puede realizar alguna intervención por el momento.
Se accede por la red de terreno para realizar un reinicio del JAMS del Camión 162 el cual se encontraba pegado en el jsmina. Luego del reinicio el equipo queda operativo y con su ubicación actualizada.</t>
  </si>
  <si>
    <t>11/28/2023 1:16 AM</t>
  </si>
  <si>
    <t>11/28/2023 2:21 AM</t>
  </si>
  <si>
    <t>00500475</t>
  </si>
  <si>
    <t>CNN - Sumarización manual noviembre</t>
  </si>
  <si>
    <t>Se realiza la sumarización como lo solicitó el cliente.</t>
  </si>
  <si>
    <t>11/28/2023 4:46 AM</t>
  </si>
  <si>
    <t>11/28/2023 5:15 AM</t>
  </si>
  <si>
    <t>00500479</t>
  </si>
  <si>
    <t>MLCC - Información del reporte "Reporte Datos TKPH"</t>
  </si>
  <si>
    <t>Se recuperan directamente en base de datos con la query del reporte "Reporte Datos TKPH" los datos solicitados por el cliente. Se les da un formato legible y se envían.</t>
  </si>
  <si>
    <t>11/28/2023 5:16 AM</t>
  </si>
  <si>
    <t>11/28/2023 12:00 PM</t>
  </si>
  <si>
    <t>00500481</t>
  </si>
  <si>
    <t>Se sumariza como solicitó el cliente. Se le informa.</t>
  </si>
  <si>
    <t>11/28/2023 5:38 AM</t>
  </si>
  <si>
    <t>00500517</t>
  </si>
  <si>
    <t>Se revisan logs del importador, diglimit en este caso, encontrando que la ultima ejecución fue a las 23 hrs. Se buscan procesos relacionados con importadores encontrando algunos pegados del 26 de noviembre, se matan y luego se ejecuta manualmente el importador cargando sin problemas todos los archivos a carpeta save.</t>
  </si>
  <si>
    <t>11/28/2023 11:35 AM</t>
  </si>
  <si>
    <t>11/28/2023 11:52 AM</t>
  </si>
  <si>
    <t>00500536</t>
  </si>
  <si>
    <t>MLCC - Cabeceras de cada columna en planes mensuales</t>
  </si>
  <si>
    <t>se envían las cabeceras con un ejemplo guía.</t>
  </si>
  <si>
    <t>11/29/2023 11:12 AM</t>
  </si>
  <si>
    <t>12/29/2023 12:12 PM</t>
  </si>
  <si>
    <t>00500548</t>
  </si>
  <si>
    <t>CNDMH - Equipos pegados en el jsmina</t>
  </si>
  <si>
    <t>Servidor no presenta problemas de comunicación con los equipos de campo, se realiza revisión de conectividad y no hay indicios de caída del servidor. Equipos tienen actividad en el jsmina y no hay problemas con el aplicativo VNC. Se informa al despacho sobre lo revisado para que revisen sus conexiones internas.</t>
  </si>
  <si>
    <t>11/28/2023 4:34 PM</t>
  </si>
  <si>
    <t>11/28/2023 6:12 PM</t>
  </si>
  <si>
    <t>00500561</t>
  </si>
  <si>
    <t>CNDMH - Pala 760 sin comunicación</t>
  </si>
  <si>
    <t>No se puede acceder al equipo, ya sea por túnel, por red de terreno y SAR. Se solicita pedir apoyo a personal de terreno para verificar las comunicaciones de la pala.</t>
  </si>
  <si>
    <t>11/28/2023 5:44 PM</t>
  </si>
  <si>
    <t>11/28/2023 6:13 PM</t>
  </si>
  <si>
    <t>00500580</t>
  </si>
  <si>
    <t>AMCEN - Equipos presentan problemas en GPS</t>
  </si>
  <si>
    <t>Equipos de alta se encuentran en estado floating, se revisan las comunicaciones del servidor con la estación base y las correcciones diferenciales, no encontrando problemas. Página de monitoreo de GPS informa que existen centelleos lo que estaría provocando problemas con la calidad de los GPS.</t>
  </si>
  <si>
    <t>11/28/2023 7:18 PM</t>
  </si>
  <si>
    <t>11/29/2023 12:08 AM</t>
  </si>
  <si>
    <t>00500600</t>
  </si>
  <si>
    <t>AMANT - Problemas con Pala 4</t>
  </si>
  <si>
    <t>Equipo presentan problemas en GPS 2, se realiza un reinicio del JAMS y de su antena GPS, pero no logra tomar señal. Se derivará revisión en terreno. Se informa al despachador lo realizado.</t>
  </si>
  <si>
    <t>11/29/2023 1:38 AM</t>
  </si>
  <si>
    <t>11/29/2023 2:24 AM</t>
  </si>
  <si>
    <t>00500641</t>
  </si>
  <si>
    <t>AMZAL-Miguel Caceres solicita saber de donde salen ciertos datos.</t>
  </si>
  <si>
    <t>11/29/2023 3:00 PM</t>
  </si>
  <si>
    <t>00500654</t>
  </si>
  <si>
    <t>MLCC-Alejandro Larenas que informa Barra de comando de mineops no aparece en el computador de despacho.</t>
  </si>
  <si>
    <t>se cierra el proceso de mineops y se reinicia el equipo. luego levanta normalmente.</t>
  </si>
  <si>
    <t>11/29/2023 4:00 PM</t>
  </si>
  <si>
    <t>11/29/2023 5:00 PM</t>
  </si>
  <si>
    <t>00500683</t>
  </si>
  <si>
    <t>AMANT - Pala N°4 no responde</t>
  </si>
  <si>
    <t>Se reinicia el equipo recuperando asi su conexion.</t>
  </si>
  <si>
    <t>11/29/2023 9:00 PM</t>
  </si>
  <si>
    <t>11/29/2023 9:30 PM</t>
  </si>
  <si>
    <t>Alexis Soporte</t>
  </si>
  <si>
    <t>00500687</t>
  </si>
  <si>
    <t>AMCEN - Solicitud de revision de GPS C15</t>
  </si>
  <si>
    <t>Se revisa el equipo el cual tenia su gps trabajando de forma normal.</t>
  </si>
  <si>
    <t>11/29/2023 10:13 PM</t>
  </si>
  <si>
    <t>11/29/2023 10:33 PM</t>
  </si>
  <si>
    <t>00500692</t>
  </si>
  <si>
    <t>AMCEN - Solicitud de revision de Jmineops</t>
  </si>
  <si>
    <t>Se revisa el servidor, estando todo normal, ningun proceso pegado ni importador sin terminar, se realiza una consulta al jmineops de la tabla sumario, donde entrego mas de 1000 registros en 5 segundos, por lo que todo esta funcionando como deberia.</t>
  </si>
  <si>
    <t>11/29/2023 11:02 PM</t>
  </si>
  <si>
    <t>11/29/2023 11:40 PM</t>
  </si>
  <si>
    <t>00500694</t>
  </si>
  <si>
    <t>11/30/2023 07:22 AM</t>
  </si>
  <si>
    <t>00500729</t>
  </si>
  <si>
    <t>AMZAL - solicitud de cambio de contraseña JVIEW</t>
  </si>
  <si>
    <t>Se realiza el cambio de contraseña.</t>
  </si>
  <si>
    <t>11/30/2023 07:03 AM</t>
  </si>
  <si>
    <t>00500754</t>
  </si>
  <si>
    <t>AMZAL- Miguel Solicita volver a cambiar una configuracion en Reporte de Jview</t>
  </si>
  <si>
    <t>se cambia la configuración del color en base a la velocidad de los equipos en el reporte de exceso de velocidad.</t>
  </si>
  <si>
    <t>11/30/2023 11:00 AM</t>
  </si>
  <si>
    <t>11/30/2023 12:00 PM</t>
  </si>
  <si>
    <t>00500755</t>
  </si>
  <si>
    <t>AMZAL- Miguel Solicita volver a cambiar una configuración de segmentos de velocidad.</t>
  </si>
  <si>
    <t>se cambia los segmentos de velocidad en Mineops según las nuevas normas de zalvidar.</t>
  </si>
  <si>
    <t>11/30/2023 01:00 PM</t>
  </si>
  <si>
    <t>11/30/2023 02:00 PM</t>
  </si>
  <si>
    <t>00500779</t>
  </si>
  <si>
    <t>AMCEN-Alisson informa que sumarizador se devuelve a principios de noviembre y se encola.</t>
  </si>
  <si>
    <t>se evidencia que hubo un cambio en los movimientos por eso el sumarizador se devuelve, se deja por cron hasta que se solicite la sumarización del mes</t>
  </si>
  <si>
    <t>11/30/2023 04:00 PM</t>
  </si>
  <si>
    <t>11/30/2023 05:00 PM</t>
  </si>
  <si>
    <t>00500802</t>
  </si>
  <si>
    <t>AMZAL-Resumarizar 1 y 2 de Noviembre</t>
  </si>
  <si>
    <t>se completa la sumarizacion.</t>
  </si>
  <si>
    <t>11/30/2023 06:00 PM</t>
  </si>
  <si>
    <t>00500806</t>
  </si>
  <si>
    <t>AAS-Carolina Morales informa problema con PERV05</t>
  </si>
  <si>
    <t>11/30/2023 05:58 PM</t>
  </si>
  <si>
    <t>00500817</t>
  </si>
  <si>
    <t>11/30/2023 08:03 PM</t>
  </si>
  <si>
    <t>00500830</t>
  </si>
  <si>
    <t>MLCC - Sumarizacion Noviembre</t>
  </si>
  <si>
    <t>00500833</t>
  </si>
  <si>
    <t>AMCEN - Actualización Reporte Utilización plataforma OpenWorld</t>
  </si>
  <si>
    <t>El informe corresponde a otra plataforma, no Jview y no es responsabilidad de Hexagon</t>
  </si>
  <si>
    <t>00500871</t>
  </si>
  <si>
    <t>AMZAL- JAN de Sim solicita asistencia por Perforadora D10.</t>
  </si>
  <si>
    <t>el equipo no tenia conexión con el servidor , por lo que se informa a personal de sim que deben revisarla en terreno.</t>
  </si>
  <si>
    <t>JAN de empresa sim</t>
  </si>
  <si>
    <t>00500874</t>
  </si>
  <si>
    <t>AAM-Ericson de Electroram consulta sobre instalación CAS visitor</t>
  </si>
  <si>
    <t>se llama a personal de CAS de terreno y se informa los paso a seguir.</t>
  </si>
  <si>
    <t>Ericson ElectroRam</t>
  </si>
  <si>
    <t>00500875</t>
  </si>
  <si>
    <t>DMH-Rodrigo Valenzuela solicita asistencia por el camión C323 que según la operadora pierde vueltas.</t>
  </si>
  <si>
    <t>se revisa vueltas por BD y descarga sumario , la operadora tomo el camión cargado antes del inicio de turno , por eso le falta esa vuelta.</t>
  </si>
  <si>
    <t>00500879</t>
  </si>
  <si>
    <t>AMZAL- Sebastian Fernandez solicita sumarizacion del mes de noviembre</t>
  </si>
  <si>
    <t>sumarizacion completada. se informa via correo.</t>
  </si>
  <si>
    <t>00500907</t>
  </si>
  <si>
    <t>MLCC-Alejandro LArenas solicita asistencia ya que necesita asignar un material a una descarga y el sistema no lo deja y manda los equipos a reserva.</t>
  </si>
  <si>
    <t>Se eliminan dumping repetidos en la bd.</t>
  </si>
  <si>
    <t>00500912</t>
  </si>
  <si>
    <t>AMANT-Procesos sqlserver encoladas.</t>
  </si>
  <si>
    <t>se eliminan procesos encolados.se comenta linea dentro del run2</t>
  </si>
  <si>
    <t>00500918</t>
  </si>
  <si>
    <t xml:space="preserve">Sumarizacion del mes </t>
  </si>
  <si>
    <t>sumarizacion completada</t>
  </si>
  <si>
    <t>00500924</t>
  </si>
  <si>
    <t>DMH-Luis peña informa que los polígonos no se han subido.</t>
  </si>
  <si>
    <t>los polígonos venían con problemas de nombre. se avisa a personal de DMH para que los arregle.</t>
  </si>
  <si>
    <t>Luis PEña</t>
  </si>
  <si>
    <t>00500939</t>
  </si>
  <si>
    <t>MLCC-Jose Rojas informa que se le eliminan diglimits y hazzard del sistema.</t>
  </si>
  <si>
    <t>Jose Rojas</t>
  </si>
  <si>
    <t>00500944</t>
  </si>
  <si>
    <t>AMCEN - Solicitud de revision Pala N°1 y Perfo N°10 sin GPS</t>
  </si>
  <si>
    <t>Revisando la PA1, se le están asignando las cargas realizadas de forma correcta y la PE10, tiene su GPS funcionando de manera normal.</t>
  </si>
  <si>
    <t>00500952</t>
  </si>
  <si>
    <t>AMANT - Jview sin reportabilidad</t>
  </si>
  <si>
    <t>Se revisa la reportabilidad, pero esta esta entregando datos como corresponde, se devuelve el llamado para que reinicien su navegador.</t>
  </si>
  <si>
    <t>Alejandro Despacho</t>
  </si>
  <si>
    <t>00500953</t>
  </si>
  <si>
    <t>MLCC - Pala 210 envia los equipos a otra ubicacion</t>
  </si>
  <si>
    <t>Problema se estaba generando debido a los destinos duplicados.</t>
  </si>
  <si>
    <t>00500968</t>
  </si>
  <si>
    <t>MLCC-Alejandro Larenas indica que estan sin reportabilidad en jview</t>
  </si>
  <si>
    <t>los procesos se encolaron debido a la replica del servidor 59. se eliminan conexiones y las replicas funcionan correctamente.</t>
  </si>
  <si>
    <t>00500969</t>
  </si>
  <si>
    <t>MLCC-Daniel Godoy informa diferencia en los tonelajes de fin de mes</t>
  </si>
  <si>
    <t>la diferencia existio el día 27 que hubo una mala replica al servidor 59 perteneciente a personal de caserones. el servidor 58 de jview concuerda con postgres.se replica nuevamente el día en el servidor 59 y cuadran los tonelajes</t>
  </si>
  <si>
    <t>00500970</t>
  </si>
  <si>
    <t>AAS-Carolina Morales informa que perforadoras no están conectadas.</t>
  </si>
  <si>
    <t>se actualizan los certificados del servidor y de los equipos y vuelven a conectarse.</t>
  </si>
  <si>
    <t>00501001</t>
  </si>
  <si>
    <t>00501013</t>
  </si>
  <si>
    <t>AMCEN - Revisar sumarizador</t>
  </si>
  <si>
    <t>Se revisa el sumarizador, el cual estaba trabajando correctamente, devolviéndose solo hasta el día 1 de Diciembre.</t>
  </si>
  <si>
    <t>00501014</t>
  </si>
  <si>
    <t>AMCEN - RE: Solicitud de revision de equipos</t>
  </si>
  <si>
    <t xml:space="preserve">Se revisaron los equipos solicitados
PA3, recordar que hay afectación GPS, por lo que los equipos de alta van a funcionar de forma intermitente.
C156, C36 y CF2, su gps estaba funcionando de manera correcta
C51 y C47, funcionamiento intermitente, se reinician los equipo, los gps vuelven, pero sus señales suben y bajan constantemente, revisar las conexiones en terreno.
</t>
  </si>
  <si>
    <t>00501038</t>
  </si>
  <si>
    <t>AMCEN - Solicitud de revision CF2</t>
  </si>
  <si>
    <t>Se reinicia el equipo, recuperando asi su GPS.</t>
  </si>
  <si>
    <t>00501142</t>
  </si>
  <si>
    <t>00501146</t>
  </si>
  <si>
    <t>AMCEN - Solicitud de revision PE1 sin señal GPS</t>
  </si>
  <si>
    <t>El equipo estaba trabajando de manera normal</t>
  </si>
  <si>
    <t>00501153</t>
  </si>
  <si>
    <t>CNCHQ - C510 sin GPS</t>
  </si>
  <si>
    <t>Se revisa el jams del equipo, pero el GPS no esta entregando datos, se le indica a Javier que revisen el cableado.</t>
  </si>
  <si>
    <t>00501173</t>
  </si>
  <si>
    <t>MLCC - Equipos al descargar, se van a reserva.</t>
  </si>
  <si>
    <t>Jonathan Despacho</t>
  </si>
  <si>
    <t>00501307</t>
  </si>
  <si>
    <t>C156 y Pala 1, ambos trabajando con su GPS de forma correcta, en el caso de la Pala 1, no tengo llegada con este equipo, no me es posible conectarme de ninguna forma, para revisar su funcionamiento.</t>
  </si>
  <si>
    <t>00501308</t>
  </si>
  <si>
    <t>CNDMH - Cambio de ruta para camiones en faena</t>
  </si>
  <si>
    <t>Se revisa en mineops dentro del menú LP, hay opciones para restringir camiones o palas , pero a destinos, Luis quería que los equipos no pasaran por un camino especifico (los camiones iban a destinos diferentes, pero ese camino seguía siendo la mejor ruta según el sistema.)</t>
  </si>
  <si>
    <t>00501369</t>
  </si>
  <si>
    <t>AAM - Solicitud de código de calibración</t>
  </si>
  <si>
    <t>Sebastián Gonzales indica que necesita el código de calibración para terminar con la instalación de la pantalla en el equipo. El código es el 12345678 se rescata desde la tabla configurations en el campo atributte. Se entrega la información vía teléfonica.</t>
  </si>
  <si>
    <t>Sebastian Gonzalez</t>
  </si>
  <si>
    <t>00501407</t>
  </si>
  <si>
    <t>Monitoreo - AMANT - Importador encolado</t>
  </si>
  <si>
    <t>Se realiza la revisión de los procesos del importador el cual se encontraba encolado debido a un archivo que superaba los 16 megas. Se avisa a personal en terreno para que revise y avise al cliente sobre el problema.</t>
  </si>
  <si>
    <t>00501433</t>
  </si>
  <si>
    <t>AMCEN - Pala 3 con problemas de GPS</t>
  </si>
  <si>
    <t>Se revisan los sensores del equipo encontrando el estado del gps como floating. Como detalle al revisar el estado de las antenas se encuentra baja cantidad de conexión con satélites. Luego de realizarle gestiones remotas sin poder recuperar el estado fixed de los gps se deriva a revisión en terreno.</t>
  </si>
  <si>
    <t>00501440</t>
  </si>
  <si>
    <t>AMCEN - Deshabilitar importador automático de rutas Wenco</t>
  </si>
  <si>
    <t>Se comenta la ejecución automática en crontab.</t>
  </si>
  <si>
    <t>00501442</t>
  </si>
  <si>
    <t>AMCEN - Perforadora 10 con problemas de gps</t>
  </si>
  <si>
    <t>Al revisar el estado del gps de la perforadora se encuentra todo en óptimas condiciones. Se le informa al cliente.</t>
  </si>
  <si>
    <t>00501448</t>
  </si>
  <si>
    <t>AMCEN - Perforadora 5 con jspanel pegado</t>
  </si>
  <si>
    <t>Se le realiza un reinicio de pantalla remoto al equipo.</t>
  </si>
  <si>
    <t>00501449</t>
  </si>
  <si>
    <t>AMCEN - Perforadora 8 con problemas de gps</t>
  </si>
  <si>
    <t>Se revisa el equipo, el cual justamente se encontraba en traslado, por lo que la señal se vio afectada, sin embargo, cuando se detuvo recuperó la señal gps a máxima calidad.</t>
  </si>
  <si>
    <t>00501454</t>
  </si>
  <si>
    <t>AMANT - Pala 1 con problemas de posicionamiento</t>
  </si>
  <si>
    <t>Se revisa el equipo encontrando sus gps en floating, se procede a reiniciar el equipo para ver si así se recupera pero solo se pudo recuperar uno de los dos gps. Al revisar página web de los centelleos nocturnos encontrando que hasta las 2 am aproximadamente estarán afectados los gps's de los equipos. Se informa al cliente.</t>
  </si>
  <si>
    <t>00501461</t>
  </si>
  <si>
    <t>MLCC - Reportes alimentados por planillas excel no actualizan datos</t>
  </si>
  <si>
    <t>Se revisa el servidor encontrando múltiples procesos sql encolados los cuales están interfiriendo en la actualización de datos. Se eliminan estos procesos y se regulariza la situación.</t>
  </si>
  <si>
    <t>00501528</t>
  </si>
  <si>
    <t>AMCEN - Caex 130 esta pegado en el jsmina</t>
  </si>
  <si>
    <t>No se tiene comunicación con el equipo, se deriva a personal en terreno.</t>
  </si>
  <si>
    <t>00501557</t>
  </si>
  <si>
    <t>AMANT - Modificar reporte Frecuencia Camiones en Chancado</t>
  </si>
  <si>
    <t>Reporte es revisado por ingeniero on site Rodrigo Montenegro, quien realiza las correcciones y valida el trabajo con personal de despacho de la mina.</t>
  </si>
  <si>
    <t>Alberto Gallardo Rojas</t>
  </si>
  <si>
    <t>00501585</t>
  </si>
  <si>
    <t>AMCEN - Camión 23 pegado en mapa mina</t>
  </si>
  <si>
    <t>Se le realiza un reinicio remoto a la base de datos interna y sistema del equipo y al volver a levantar recupera posicionamiento en mineops.</t>
  </si>
  <si>
    <t>00501596</t>
  </si>
  <si>
    <t>AMCEN - Perforadora 4 con problemas de GPS</t>
  </si>
  <si>
    <t>Se revisan los gps del equipo encontrando gps en floating. Se revisa por eventos de centelleo encontrando que aproximadamente hasta las 02:00 am existirán problemas con la señal debido a esto. Se le informa al cliente</t>
  </si>
  <si>
    <t>00501606</t>
  </si>
  <si>
    <t>AMCEN - Camión 154 con problemas en tonelaje</t>
  </si>
  <si>
    <t>Se realiza reinicio del equipo para probar si puede solucionarse el problema del tonelaje pero sigue sin registrar datos por lo que se procede a monitorear vueltas determinando que el sensor de tonelaje no está funcionando y deberán revisarlo en terreno.</t>
  </si>
  <si>
    <t>00501616</t>
  </si>
  <si>
    <t>AMANT - Agregar equipo a Reporte Ejecutivo V2.0 - ANTUCOYA</t>
  </si>
  <si>
    <t>Se realiza la modificación al reporte, al cual se le agrega el equipo se solicitado. Se envía correo informando los cambios.</t>
  </si>
  <si>
    <t>Daniel Barbosa</t>
  </si>
  <si>
    <t>00501648</t>
  </si>
  <si>
    <t>AMCEN - Información (playback) Evento CAEX18 - Camioneta</t>
  </si>
  <si>
    <t>Se graba un video con la reproducción Playback del C18 y se envía al cliente por correo.</t>
  </si>
  <si>
    <t>00501651</t>
  </si>
  <si>
    <t>AMCEN - Archivos en carpeta Poligonos Hazard no cargan</t>
  </si>
  <si>
    <t>Se detectaron instancias duplicadas de procesos relacionados con importadores desde aproximadamente las 15:00. Se procedió a terminar dichos procesos, y posteriormente se ejecutó manualmente el script de carga de archivos de la carpeta "Poligonos Hazard". La ejecución manual se completó con éxito, cargando todos los archivos sin inconvenientes.</t>
  </si>
  <si>
    <t>Williams Leyton</t>
  </si>
  <si>
    <t>00501663</t>
  </si>
  <si>
    <t>AMCEN - Cargador Frontal con pantalla pegada</t>
  </si>
  <si>
    <t>Se revisan sensores del equipo encontrándolos en mal estado por lo que se informa al cliente que revisen en terreno.</t>
  </si>
  <si>
    <t>00501664</t>
  </si>
  <si>
    <t>AMCEN - Camión 18 con problemas de gps</t>
  </si>
  <si>
    <t>Se intenta revisar el equipo sin éxito en primera instancia ya que no existe comunicación. Luego de esperar unos minutos el equipo recupera conexión y al revisar sus sensores están en buenas condiciones. Debido a que el cliente informa que los equipos presentan problemas de señal en esa zona generalmente se revisa la cobertura encontrando que no es la mejor y se informa sobre esto.</t>
  </si>
  <si>
    <t>00501667</t>
  </si>
  <si>
    <t>CNN - Polígono Stock no muestra leyes</t>
  </si>
  <si>
    <t>Se revisa el polígono en base de datos y se encuentra que fue eliminado recientemente siendo esta la razón de que no se muestre en el mapa. Se actualiza y recupera este polígono por solicitud del cliente.</t>
  </si>
  <si>
    <t>00501677</t>
  </si>
  <si>
    <t>MLCC - No se carga archivo alojado en carpeta Mallas</t>
  </si>
  <si>
    <t>Se realiza revisión del archivo pegado y este tiene un carácter que no permite que el importador lo cargue a la carpeta save. Se llama al cliente para que modifique la variable con problemas.</t>
  </si>
  <si>
    <t>00501684</t>
  </si>
  <si>
    <t>AAM - Búsqueda de equipo</t>
  </si>
  <si>
    <t>Se revisa en servidor y equipo se encuentra creado en todas las carpetas (certs, clients y private) y en el archivo setup. Además de estar creado en la BD postgres. Se llama al usuario para informar lo revisado.</t>
  </si>
  <si>
    <t>00501695</t>
  </si>
  <si>
    <t>AMCEN - Importadores poligonos hazard pegados</t>
  </si>
  <si>
    <t>Se buscan procesos relacionados con importadores encontrando unos pegados hace una hora aproximadamente, al matar dichos procesos se libera toda la cola y se procede a cargar manualmente los archivos.</t>
  </si>
  <si>
    <t>00501700</t>
  </si>
  <si>
    <t>CNCHUQ - Camión 159 perdió vueltas</t>
  </si>
  <si>
    <t>Se revisa el reproductor gps del equipo encontrando que en el momento que llamaron llevaba dos vueltas y no tres como indicaba el operador. Estaba realizando su tercera vuelta pero no la había terminado aún. Se encontró que efectivamente la primera vuelta realizada desde 19:14 a las 20:24 no está registrada en la descarga sumario. Se informa de esto a personal de turno para que realicen acciones pertinentes con ingeniero on site de día.</t>
  </si>
  <si>
    <t>José Ramos</t>
  </si>
  <si>
    <t>00501702</t>
  </si>
  <si>
    <t>AMCEN - Perforadora 5 sin señal satelital</t>
  </si>
  <si>
    <t>Se revisan los sensores del equipo y está todo en perfecto estado, al revisar el VNC del equipo tambien se puede confirmar que está trabando sin problemas y los sensores están ok. Se revisa actividad de centelleo a las 00:00 horas y existe la posibilidad de que interfiera justamente.</t>
  </si>
  <si>
    <t>00501703</t>
  </si>
  <si>
    <t>AMCEN - Perforadora 1 y 6 con problemas de gps</t>
  </si>
  <si>
    <t>Se revisan los sensores de ambos equipos y se encuentran en buen estado, al revisar VNC de los mismos se puede ver que marcan buenos niveles y están operando sin problemas. Se revisa actividad de centelleo para advertir que puede ser debido a eso sufrir interferencias de señal eventualmente.</t>
  </si>
  <si>
    <t>00501705</t>
  </si>
  <si>
    <t>AMCEN - Perforadora 53 con problemas de gps</t>
  </si>
  <si>
    <t>Se revisan los sensores del equipo y se encuentran en buen estado, la perforadora se encuentra operando sin problemas. Se informa al cliente.</t>
  </si>
  <si>
    <t>00501716</t>
  </si>
  <si>
    <t>CNRT - aplicativo Mineops pegado/funciona muy lento</t>
  </si>
  <si>
    <t>se revisa el archivo JAMS.log y los procesos relacionados con JAMS, sin encontrar el error, se amplía la búsqueda hacia el backend. Se identifica una consulta activa de prolongada ejecución asociada al equipo TR457. Posteriormente, se procede a eliminar la base de datos interna de dicho equipo, logrando así normalizar la situación.</t>
  </si>
  <si>
    <t>00501730</t>
  </si>
  <si>
    <t>MLCC - Acceso a Xfer Marco Catalán</t>
  </si>
  <si>
    <t>Se realiza conexión remota al equipo con problemas de acceso. Una vez conectado se revisa el archivo host el cual no tiene ingresado la información del servidor, por lo que se realiza la conexión a través de la ip del servidor, con lo cual equipo del cliente queda conectado con el recurso.</t>
  </si>
  <si>
    <t>Marco Catalan</t>
  </si>
  <si>
    <t>00501766</t>
  </si>
  <si>
    <t>AMCEN - Pala 7 con problemas de asignación de camiones</t>
  </si>
  <si>
    <t>Se revisa el equipo encontrando sensores en buen estado y excelente respuesta por parte de las antenas gps. Se procede a reiniciar debido a que se ve lento en la asignación automática de camiones y luego se mantiene monitoreo del equipo confirmando que está trabajando con normalidad.</t>
  </si>
  <si>
    <t>00501816</t>
  </si>
  <si>
    <t>AMCEN - Camión regador pegado en sistema</t>
  </si>
  <si>
    <t>Se revisan los sensores del equipo y se encuentran en buen estado, se le realiza un reinicio al equipo para así recuperar su posición.</t>
  </si>
  <si>
    <t>00501817</t>
  </si>
  <si>
    <t>AMCEN - Camión 7 cambia de asignaciones</t>
  </si>
  <si>
    <t>Se revisan sensores del equipo encontrando el gps con diferencias, se procede a reiniciar el equipo y así se recupera el estado correcto de gps. Luego se mantiene monitoreo para apreciar si se hacen cambios de asignaciones y se ve que trabaja normal sin problemas.</t>
  </si>
  <si>
    <t>00501820</t>
  </si>
  <si>
    <t>AMCEN - Pala 9 no registra bien tonelaje en camiones</t>
  </si>
  <si>
    <t>Se revisan sensores del equipo encontrando todo correcto. Se reinicia la base de datos interna y el sistema del equipo y se mantiene monitoreo de cargas. La carga realizada tiene un valor muy cercano al registrado final lo cual es normal.</t>
  </si>
  <si>
    <t>00501827</t>
  </si>
  <si>
    <t>AMCEN - Camión 22 no muestra ubicación real</t>
  </si>
  <si>
    <t>Se revisan sensores del equipo los cuales se encuentran en buen estado, se procede a reiniciar la base de datos interna y el sistema del equipo recuperando su ubicación real.</t>
  </si>
  <si>
    <t>00501838</t>
  </si>
  <si>
    <t>AMCEN - Camión C18 no muestra ubicación real</t>
  </si>
  <si>
    <t>Se revisan sensores del equipo encontrando todo en buen estado, posteriormente al intentar monitorear se desconecta por redes múltiples veces por lo que no se le puede hacer seguimiento correcto.</t>
  </si>
  <si>
    <t>00501882</t>
  </si>
  <si>
    <t>CNN - Leyes Acopio</t>
  </si>
  <si>
    <t>Se realiza la carga de leyes y la sumarización correspondiente.</t>
  </si>
  <si>
    <t>00501894</t>
  </si>
  <si>
    <t>AMCEN - Revisar C51-C23-C37-C57</t>
  </si>
  <si>
    <t>Se revisan los equipos mencionados en el correo determinando que el C23 y C37 se encuentran sus gps en buen estado y están operando sin problemas. Por otro lado el C51 y C57 no tienen ping por lo que no se pueden revisar remotamente.</t>
  </si>
  <si>
    <t>Tomas ARias</t>
  </si>
  <si>
    <t>00501910</t>
  </si>
  <si>
    <t>Sumarización realizada, se informa al cliente vía correo.</t>
  </si>
  <si>
    <t>00501913</t>
  </si>
  <si>
    <t>AMZAL - Favor resumarizar tablas del 1 al 10 Diciembre</t>
  </si>
  <si>
    <t>Se realiza sumarización solicitada. Se informa vía correo al cliente.</t>
  </si>
  <si>
    <t>00501940</t>
  </si>
  <si>
    <t>MLCC - Archivos pegados en carpeta Modulo_Bloques</t>
  </si>
  <si>
    <t>Se revisa proceso de importador y este se encuentra pegado, por lo que se realiza un reinicio del proceso para permitir la carga de los archivos encolados.</t>
  </si>
  <si>
    <t>00501959</t>
  </si>
  <si>
    <t>AMCEN - Camión C53 no registra vueltas</t>
  </si>
  <si>
    <t>Se reinicia el equipo permitiendo que replique al sistema la información. Al existir problemas de red el equipo no es capaz de replicar al servidor general la información individual.</t>
  </si>
  <si>
    <t>00501962</t>
  </si>
  <si>
    <t>AMCEN - Camión 23 no registra vueltas</t>
  </si>
  <si>
    <t>El equipo se encontraba conectado en el servidor pero sin comunicación en mineops, se le reinicia la base de datos interna y el sistema interno al mismo y logra recuperar conexión con mineops volviendo a mostrar sus vueltas.</t>
  </si>
  <si>
    <t>00501963</t>
  </si>
  <si>
    <t>AMCEN - Camiones C47 y C164 no muestran ubicación real</t>
  </si>
  <si>
    <t>Se revisan los sensores de los equipos los cuales se encuentran en buen estado. Se detecta problemas de red wifi en el equipo C164 y se atribuye a eso su problema de visualización en el mapa, ya que frecuentemente figura sin comunicación en mineops.</t>
  </si>
  <si>
    <t>00501967</t>
  </si>
  <si>
    <t>AMCEN - Camión 10 pegado en el mapa</t>
  </si>
  <si>
    <t>Se intenta revisar el equipo pero en primera instancia no estaba conectado. Finalmente cuando se logra acceder al equipo y revisarlo se encuentra que el gps está en mal estado por lo que se deriva a revisión en terreno.</t>
  </si>
  <si>
    <t>00501969</t>
  </si>
  <si>
    <t>Se revisa equipo y se encuentra con buenas condiciones en sensores y excelente conectividad de antenas. Se encuentra operando sin problemas.</t>
  </si>
  <si>
    <t>00501970</t>
  </si>
  <si>
    <t>AMCEN - Perforadora 6 con problemas de gps</t>
  </si>
  <si>
    <t>El equipo se encuentra sin operador por lo que debe estar apagada lo cual no permite revisar el equipo. Se informa de esto a cliente</t>
  </si>
  <si>
    <t>00501997</t>
  </si>
  <si>
    <t>CNDMH - Reportes con problema</t>
  </si>
  <si>
    <t>Se reinician los servicios SQL en el servidor y al checkear nuevamente los reportes se encuentran entregando información y no el error.</t>
  </si>
  <si>
    <t>Jorge Gallardo</t>
  </si>
  <si>
    <t>00502054</t>
  </si>
  <si>
    <t>AMCEN - Camión 18 pegado en sistema</t>
  </si>
  <si>
    <t>Se intenta revisar el equipo pero no es posible debido a que se encuentra inactivo con estado sin operador disponible.</t>
  </si>
  <si>
    <t>00502061</t>
  </si>
  <si>
    <t>Se revisa el equipo y se encuentra con buenos niveles de señal, sensores ok.</t>
  </si>
  <si>
    <t>00502094</t>
  </si>
  <si>
    <t>AMCEN - Camión 22 con problemas de gps</t>
  </si>
  <si>
    <t>Se revisan los sensores del equipo encontrando en buen estado, se procede a reiniciar el equipo para recuperar su posicionamiento correcto.</t>
  </si>
  <si>
    <t>12/13/2023 2:09 AM</t>
  </si>
  <si>
    <t>12/13/2023 2:48 AM</t>
  </si>
  <si>
    <t>00502096</t>
  </si>
  <si>
    <t>AMCEN - Camión 125 con problemas de gps</t>
  </si>
  <si>
    <t>Se revisan los sensores del equipo encontrando que están con buen estado, se procede a reiniciar el equipo recuperando el correcto posicionamineto.</t>
  </si>
  <si>
    <t>12/13/2023 3:13 AM</t>
  </si>
  <si>
    <t>00502116</t>
  </si>
  <si>
    <t>12/13/2023 10:48 AM</t>
  </si>
  <si>
    <t>12/13/2023 7:48 PM</t>
  </si>
  <si>
    <t>00502122</t>
  </si>
  <si>
    <t>MLCC - Check list pre operacional</t>
  </si>
  <si>
    <t>Se revisa el informe, el cual efectivamente, no estaba mostrando los comentarios, se revisa la BD , donde los comentarios si estaban siendo almacenados de forma correcta, por lo que se modifica el informe para que estos vuelvan a aparecen de manera correcta.</t>
  </si>
  <si>
    <t>12/13/2023 10:16 AM</t>
  </si>
  <si>
    <t>12/13/2023 11:13 AM</t>
  </si>
  <si>
    <t>00502180</t>
  </si>
  <si>
    <t>CNN - Tablas sensor</t>
  </si>
  <si>
    <t>Se envía correo con archivos con información relacionada a las tablas sensors.</t>
  </si>
  <si>
    <t>12/13/2023 3:44 PM</t>
  </si>
  <si>
    <t>00502182</t>
  </si>
  <si>
    <t>MLCC - Usuarios con acceso a servidor Caserones</t>
  </si>
  <si>
    <t>12/13/2023 4:21 PM</t>
  </si>
  <si>
    <t>Benjamin mixtos</t>
  </si>
  <si>
    <t>00502198</t>
  </si>
  <si>
    <t>RV: Diferencias Jigsaw vs Información Oficial</t>
  </si>
  <si>
    <t>12/13/2023 7:23 PM</t>
  </si>
  <si>
    <t>Claudia armijo</t>
  </si>
  <si>
    <t>00502225</t>
  </si>
  <si>
    <t>AMCEN-Luis Rios informa problema GPS C122</t>
  </si>
  <si>
    <t>12/13/2023 10:19 PM</t>
  </si>
  <si>
    <t>00502226</t>
  </si>
  <si>
    <t>AMCEN-Luis Rios informa problema en pantalla CF232</t>
  </si>
  <si>
    <t>reinicia el equipo y queda operativo</t>
  </si>
  <si>
    <t>12/13/2023 10:35 PM</t>
  </si>
  <si>
    <t>12/13/2023 11:35 PM</t>
  </si>
  <si>
    <t>00502238</t>
  </si>
  <si>
    <t>se reincia el core y vuelve toda la calidad del gps</t>
  </si>
  <si>
    <t>12/14/2023 03:46 AM</t>
  </si>
  <si>
    <t>12/14/2023 04:46 AM</t>
  </si>
  <si>
    <t>00502245</t>
  </si>
  <si>
    <t>AMZAL-Freddie empresa sim solicita apoyo para D14 por gps</t>
  </si>
  <si>
    <t>12/14/2023 05:34 AM</t>
  </si>
  <si>
    <t>12/14/2023 06:34 AM</t>
  </si>
  <si>
    <t>00502257</t>
  </si>
  <si>
    <t>MLCC - Reiniciar conexiones de usuarios BD</t>
  </si>
  <si>
    <t>Se reinician las conexiones segun lo solicitado.</t>
  </si>
  <si>
    <t>12/14/2023 08:21 AM</t>
  </si>
  <si>
    <t>12/14/2023 08:35 AM</t>
  </si>
  <si>
    <t>00502288</t>
  </si>
  <si>
    <t>AMCEN - Solicitud de revision C47 no coincide el GPS</t>
  </si>
  <si>
    <t>El equipo estaba trabajando con su GPS ok.</t>
  </si>
  <si>
    <t>00502291</t>
  </si>
  <si>
    <t>AMCEN - Solicitud de revision C154 no coincide el GPS</t>
  </si>
  <si>
    <t>00502294</t>
  </si>
  <si>
    <t>00502354</t>
  </si>
  <si>
    <t>AMZAL-Freddie empresa sim solicita apoyo para D10 ya que tiene pantalla pegada</t>
  </si>
  <si>
    <t>el equipo no tenia comunicación por su ip flotante (pantalla) pero si tenia por la ip de terreno ,personal de terreno regulariza la situación y levanta sin problemas.</t>
  </si>
  <si>
    <t>12/14/2023 10:57 PM</t>
  </si>
  <si>
    <t>12/14/2023 11:57 PM</t>
  </si>
  <si>
    <t>Freddie Emresa Sim</t>
  </si>
  <si>
    <t>00502365</t>
  </si>
  <si>
    <t>MLCC-Alejandro larenas no puede asignar camiones con cierto material a un botadero.</t>
  </si>
  <si>
    <t>se eliminan destinos duplicados en la BD, y finalmente se puede asignar donde Alejandro quería.</t>
  </si>
  <si>
    <t>12/15/2023 05:00 AM</t>
  </si>
  <si>
    <t>12/15/2023 06:00 AM</t>
  </si>
  <si>
    <t>00502377</t>
  </si>
  <si>
    <t>Mantoverde - RE: Archivo de configuración Jigsaw Hexagon para CEKO054</t>
  </si>
  <si>
    <t>Se crea el nuevo equipo y se entrega el archivo setup por correo</t>
  </si>
  <si>
    <t>12/15/2023 08:21 AM</t>
  </si>
  <si>
    <t>00502386</t>
  </si>
  <si>
    <t>00502401</t>
  </si>
  <si>
    <t>00502403</t>
  </si>
  <si>
    <t>AMZAL - Revisar informe KPI mantencion zaldivar</t>
  </si>
  <si>
    <t>Se actualiza el registro del ultimo estado correspondiente al equipo para que vuelva a ser visible</t>
  </si>
  <si>
    <t>Sebastian despacho</t>
  </si>
  <si>
    <t>00502452</t>
  </si>
  <si>
    <t>AMCEN-Cristian chiang solicita asistencia para la PE6 por señal GPS</t>
  </si>
  <si>
    <t>se reincia el equipo y queda operativo</t>
  </si>
  <si>
    <t xml:space="preserve">12/15/2023 08:00 PM </t>
  </si>
  <si>
    <t xml:space="preserve">12/15/2023 09:00 PM </t>
  </si>
  <si>
    <t>00502453</t>
  </si>
  <si>
    <t>AMCEN-Cristian chiang solicita asistencia para CF233 por señal GPS</t>
  </si>
  <si>
    <t xml:space="preserve">12/15/2023 08:10 PM </t>
  </si>
  <si>
    <t xml:space="preserve">12/15/2023 09:10 PM </t>
  </si>
  <si>
    <t>00502454</t>
  </si>
  <si>
    <t>AMCEN-Luis Rios informa problema GPS de C19</t>
  </si>
  <si>
    <t xml:space="preserve">12/16/2023 02:14 AM </t>
  </si>
  <si>
    <t xml:space="preserve">12/16/2023 03:14 AM </t>
  </si>
  <si>
    <t>Luis rios ACT</t>
  </si>
  <si>
    <t>00502456</t>
  </si>
  <si>
    <t>AMCEN-Luis Rios informa problema CF232 con pantalla en negro.</t>
  </si>
  <si>
    <t>se revisa el equipo remotamente y no tiene problemas con su pantalla , se informa que se debe revisar en terreno si el problema continua.</t>
  </si>
  <si>
    <t xml:space="preserve">12/16/2023 03:27 AM </t>
  </si>
  <si>
    <t xml:space="preserve">12/16/2023 04:27 AM </t>
  </si>
  <si>
    <t>00502503</t>
  </si>
  <si>
    <t>MLCC-Alejandro larenas solicita sumarizacion del mes de noviembre.</t>
  </si>
  <si>
    <t>se realiza sumarizacion.</t>
  </si>
  <si>
    <t xml:space="preserve">12/16/2023 10:16 PM </t>
  </si>
  <si>
    <t xml:space="preserve">12/17/2023 01:18 AM </t>
  </si>
  <si>
    <t>00502507</t>
  </si>
  <si>
    <t>CNDRT-llama el tecnico de hexagon informando desconexion de los equipos en el sistema.</t>
  </si>
  <si>
    <t>se realiza reinicio del servicio de JAMS y los equipos vuelven a conectarse,se realiza revisión de la causa del problema no encontrando nada raro en el servidor, se presume problema en la red administrativa.</t>
  </si>
  <si>
    <t xml:space="preserve">12/17/2023 03:50 AM </t>
  </si>
  <si>
    <t xml:space="preserve">12/17/2023 04:50 AM </t>
  </si>
  <si>
    <t>Luis Cortes Hxg</t>
  </si>
  <si>
    <t>00502553</t>
  </si>
  <si>
    <t>MLCC-Alejandro larenas informa planillas excel no actualizadas</t>
  </si>
  <si>
    <t>planillas se completan de la replica al servidor 59 , el cual se encontraba encolado por las múltiples sesiones de usuarios. se eliminan esas conexión pasando las replicas y actualizando las planillas.</t>
  </si>
  <si>
    <t xml:space="preserve">12/17/2023 20:50 PM </t>
  </si>
  <si>
    <t xml:space="preserve">12/17/2023 21:50 PM </t>
  </si>
  <si>
    <t>00502554</t>
  </si>
  <si>
    <t>AMCEN-Luis Rios informa problema C10 con gps</t>
  </si>
  <si>
    <t>equipo presenta una falla física de gps , se debe revisar en terreno.</t>
  </si>
  <si>
    <t xml:space="preserve">12/17/2023 23:50 PM </t>
  </si>
  <si>
    <t xml:space="preserve">12/18/2023 00:50 AM </t>
  </si>
  <si>
    <t>00502557</t>
  </si>
  <si>
    <t>AMZAL-Freddie empresa sim solicita apoyo para D11 por gps</t>
  </si>
  <si>
    <t>se reincia el core de equipo y levanta sin problemas.</t>
  </si>
  <si>
    <t xml:space="preserve">12/18/2023 01:00 AM </t>
  </si>
  <si>
    <t xml:space="preserve">12/18/2023 02:00 AM </t>
  </si>
  <si>
    <t>Freddie empresa sim</t>
  </si>
  <si>
    <t>00502561</t>
  </si>
  <si>
    <t>AMANT-Cristian Barrera Solicita asistencia por C04 que esta pegado.</t>
  </si>
  <si>
    <t>equipo no tenia conexión. por lo que se solicito corte de energía de unos 3 minutos, el equipo se derivo a personal de terreno.</t>
  </si>
  <si>
    <t xml:space="preserve">12/18/2023 02:36 AM </t>
  </si>
  <si>
    <t xml:space="preserve">12/18/2023 02:50 AM </t>
  </si>
  <si>
    <t>Cristian Barrera Antucoya</t>
  </si>
  <si>
    <t>00502571</t>
  </si>
  <si>
    <t>AMCEN-Luis Rios informa problema Pala PA26 ,Al operador le aparece la pantalla congelada y no refleja los movimientos del equipo</t>
  </si>
  <si>
    <t>El equipo se encuentra en un lugar con una cobertura deficiente , se habla con personal de redes que regularizara la situación a penas se pueda.</t>
  </si>
  <si>
    <t xml:space="preserve">12/18/2023 05:25 AM </t>
  </si>
  <si>
    <t xml:space="preserve">12/18/2023 06:25 AM </t>
  </si>
  <si>
    <t>00502661</t>
  </si>
  <si>
    <t>AMCEN-Luis Rios informa problema en CF231 ya que no ve el icono de cargador frontal en la pantalla.</t>
  </si>
  <si>
    <t>se habilita el icono en las opciones de visualización dentro del vnc</t>
  </si>
  <si>
    <t xml:space="preserve">12/18/2023 20:38 PM </t>
  </si>
  <si>
    <t xml:space="preserve">12/18/2023 21:38 PM </t>
  </si>
  <si>
    <t>00502667</t>
  </si>
  <si>
    <t>CHQ-Miguel Huanchicay solicita apoyo por problemas GPS de C150.</t>
  </si>
  <si>
    <t>Equipo presentaba una falla física , técnico de turno se acerca al equipo y lo deja operativo.</t>
  </si>
  <si>
    <t xml:space="preserve">12/19/2023 00:27 AM </t>
  </si>
  <si>
    <t xml:space="preserve">12/19/2023 01:27 AM </t>
  </si>
  <si>
    <t>00502683</t>
  </si>
  <si>
    <t>AMCEN-Luis Rios informa problema gps de perforadoras HPGPS</t>
  </si>
  <si>
    <t>Problema asociado a tormentas solares previamente detectadas, una vez pasa el fenómeno vuelve a tener buena calidad los gps.</t>
  </si>
  <si>
    <t xml:space="preserve">12/19/2023 00:31 AM </t>
  </si>
  <si>
    <t xml:space="preserve">12/19/2023 02:31 AM </t>
  </si>
  <si>
    <t>00502684</t>
  </si>
  <si>
    <t>DRT-Luis Cortes solicita apoyo ya que perforadora 109 no ve la malla</t>
  </si>
  <si>
    <t>se actualiza la fecha del updated_at de la malla , ya que tenia una anterior a 30 días por lo cual el sistema no la veía. se confirma con técnico de turno que la perforadora ahora si ve la malla.</t>
  </si>
  <si>
    <t xml:space="preserve">12/19/2023 04:57 AM </t>
  </si>
  <si>
    <t xml:space="preserve">12/19/2023 05:57 AM </t>
  </si>
  <si>
    <t>Luis Cortes</t>
  </si>
  <si>
    <t>00502765</t>
  </si>
  <si>
    <t>AMCEN-Luis Rios informa problema donde CF231 no registra movimientos en su pantalla.</t>
  </si>
  <si>
    <t>se revisa el equipo el cual si tiene movimientos en tiempo real en su pantalla.</t>
  </si>
  <si>
    <t xml:space="preserve">12/19/2023 20:28 PM </t>
  </si>
  <si>
    <t xml:space="preserve">12/19/2023 21:28 PM </t>
  </si>
  <si>
    <t>00502770</t>
  </si>
  <si>
    <t>CNDMH-Alvaro silva Solicita asistencia para pala 212 ya que no tiene comunicación.</t>
  </si>
  <si>
    <t>el equipo presenta cobertura intermitente y se asocia al encajonamiento que se encuentra , la calidad de gps en la antena 1 es de 3 siendo el máximo 4, si es necesario se debe revisar en terreno.</t>
  </si>
  <si>
    <t xml:space="preserve">12/19/2023 23:44 PM </t>
  </si>
  <si>
    <t xml:space="preserve">12/20/2023 00:44 PM </t>
  </si>
  <si>
    <t>00502808</t>
  </si>
  <si>
    <t>MLCC - Generar usuario nuevo Mineops</t>
  </si>
  <si>
    <t>Se genera nuevo usuario de dispositivo PLANIFICACION en mineops.</t>
  </si>
  <si>
    <t>12/20/2023 7:58 AM</t>
  </si>
  <si>
    <t>12/20/2023 12:43 PM</t>
  </si>
  <si>
    <t>Mesa de Ayuda Ti To</t>
  </si>
  <si>
    <t>00502809</t>
  </si>
  <si>
    <t>AAM - Equipo CF cambia automáticamente de polígono</t>
  </si>
  <si>
    <t>Se le realizó un monitoreo al equipo encontrando intermitencias en la red, igualmente se aplicaron acciones de checkeo de sensores, encontrando todo bien, y un reinicio. Justamente se movió de ubicación el equipo y no ha presentado problemas por el momento.</t>
  </si>
  <si>
    <t>12/20/2023 8:03 AM</t>
  </si>
  <si>
    <t>12/20/2023 9:24 AM</t>
  </si>
  <si>
    <t>00502810</t>
  </si>
  <si>
    <t>AMZAL - Pala 4 no visualiza bloques en su pantalla</t>
  </si>
  <si>
    <t>Se revisa si los bloques están eliminados pero está todo correcto, se reinicia el equipo y al levantar nuevamente se recupera vista en pantalla de operador.</t>
  </si>
  <si>
    <t>12/20/2023 8:59 AM</t>
  </si>
  <si>
    <t>00502830</t>
  </si>
  <si>
    <t>MLCC - Camión 327 se pierde o desconecta al entrar en rango de equipos de carguío</t>
  </si>
  <si>
    <t>Equipo no presenta problemas en los ciclos de carga, se realiza monitoreo y en todas las cargas que se visualizaron el equipo se mantuvo conectado son caídas del sistema.</t>
  </si>
  <si>
    <t>12/20/2023 1:06 PM</t>
  </si>
  <si>
    <t>12/20/2023 10:02 PM</t>
  </si>
  <si>
    <t>00502878</t>
  </si>
  <si>
    <t>CNRT - Agregar vista alineación y opción listado de camiones</t>
  </si>
  <si>
    <t>Se agrega la vista alineación y la opción listado de camiones al perfil minadrt, según indica Daniel Pizarro.</t>
  </si>
  <si>
    <t>12/21/2023 12:15 AM</t>
  </si>
  <si>
    <t>12/21/2023 1:59 AM</t>
  </si>
  <si>
    <t>Daniel Pizarro</t>
  </si>
  <si>
    <t>00502905</t>
  </si>
  <si>
    <t>MLCC - Pala 202 no reconoce equipos cargando ni tonelajes</t>
  </si>
  <si>
    <t>No es posible acceder al equipo de manera remota por lo que se deriva a revisión en terreno.</t>
  </si>
  <si>
    <t>12/21/2023 5:21 AM</t>
  </si>
  <si>
    <t>12/21/2023 8:29 AM</t>
  </si>
  <si>
    <t>00502916</t>
  </si>
  <si>
    <t>AAM - Revisar proceso sumarización</t>
  </si>
  <si>
    <t>Se vuelve a sumarizar solo la tabla que estaba generando problemas.</t>
  </si>
  <si>
    <t>12/21/2023 7:03 AM</t>
  </si>
  <si>
    <t>12/21/2023 2:41 PM</t>
  </si>
  <si>
    <t>00502917</t>
  </si>
  <si>
    <t>CNRT - Mineops application not working</t>
  </si>
  <si>
    <t>12/21/2023 7:06 AM</t>
  </si>
  <si>
    <t>00502922</t>
  </si>
  <si>
    <t>Se realiza la creación de todos los equipos en sistema, manteniendo la misma configuración solicitada. Se informa al cliente vía correo.</t>
  </si>
  <si>
    <t>12/21/2023 7:33 AM</t>
  </si>
  <si>
    <t>12/21/2023 8:14 PM</t>
  </si>
  <si>
    <t>00502925</t>
  </si>
  <si>
    <t>CNN - Juan solicita información vista TKPH</t>
  </si>
  <si>
    <t>Se le envía información detallando a que corresponde cada columna de la vista "Configuraciones TKPH"</t>
  </si>
  <si>
    <t>12/21/2023 8:05 AM</t>
  </si>
  <si>
    <t>12/21/2023 2:40 PM</t>
  </si>
  <si>
    <t>00502930</t>
  </si>
  <si>
    <t>AMZAL - Inconsistencia reporte Daily con Descargas sumario</t>
  </si>
  <si>
    <t>Se revisan los datos informados y no se encuentran diferencias entre el mineops y jview. Posiblemente el sistema halla realizo la corrección de la descarga extra que se visualizó, permitiendo corregir la diferencia. Se informa al cliente vía correo.</t>
  </si>
  <si>
    <t>12/21/2023 8:56 AM</t>
  </si>
  <si>
    <t>00502964</t>
  </si>
  <si>
    <t>AMZAL - Pala 4 no reconoce bien bloques</t>
  </si>
  <si>
    <t>12/21/2023 2:43 PM</t>
  </si>
  <si>
    <t>00502986</t>
  </si>
  <si>
    <t>MLCC - Problemas de asignaciones a destino</t>
  </si>
  <si>
    <t>Destino presentaba varias duplicidades en la tabla dumping lo que provocaba que el sistema no pudiera realizar asignaciones con normalidad. Se realiza el borrado de los destinos duplicados y se deja solo uno para permitir las correctas asignaciones.</t>
  </si>
  <si>
    <t>12/21/2023 4:56 PM</t>
  </si>
  <si>
    <t>12/21/2023 6:22 PM</t>
  </si>
  <si>
    <t>00502999</t>
  </si>
  <si>
    <t>AMCEN - Perforadoras presentan problemas en GPS</t>
  </si>
  <si>
    <t>Se realiza revisión de las correcciones diferenciales y la comunicación con la estación base desde el servidor y estas no presentan problemas. equipos tampoco presentan inconvenientes con sus correcciones diferenciales. Sitio de monitoreo de GPS muestra eventos de centelleo entre las 23 hasta las 03:00, lo que genera problemas con el posicionamiento.</t>
  </si>
  <si>
    <t>12/21/2023 9:43 PM</t>
  </si>
  <si>
    <t>12/21/2023 10:41 PM</t>
  </si>
  <si>
    <t>00503000</t>
  </si>
  <si>
    <t>Monitoreo - AAS - VPN desconectada</t>
  </si>
  <si>
    <t>12/21/2023 10:07 PM</t>
  </si>
  <si>
    <t>00503097</t>
  </si>
  <si>
    <t>MLCC - Revisión de query</t>
  </si>
  <si>
    <t>Se realiza modificación de query para permitir la visualización de datos de la columna quality de la tabla hour_detail_dumps. Se envía a Karim Campos la query con los cambios aplicados y se explica vía telefónica lo realizado.</t>
  </si>
  <si>
    <t>12/23/2023 8:27 PM</t>
  </si>
  <si>
    <t>12/23/2023 9:49 PM</t>
  </si>
  <si>
    <t>00503107</t>
  </si>
  <si>
    <t>AAM - Cargadores cambian de zona</t>
  </si>
  <si>
    <t>12/24/2023 2:48 AM</t>
  </si>
  <si>
    <t>00503110</t>
  </si>
  <si>
    <t>CNDMH - Camión 374 sin comunicación</t>
  </si>
  <si>
    <t>Se revisa el equipo encontrando el gps diferencial por lo que se reinicia el sistema interno y al volver a levantar se encuentra sin problemas, VNC funcionando bien.</t>
  </si>
  <si>
    <t>12/24/2023 3:47 AM</t>
  </si>
  <si>
    <t>12/24/2023 5:36 AM</t>
  </si>
  <si>
    <t>00503112</t>
  </si>
  <si>
    <t>CNDMH - Pala 212 no está registrando bien sus cargas</t>
  </si>
  <si>
    <t>Se revisa el estado de los sensores del equipo encontrando todo en buenas condiciones. Se procede a reiniciar el equipo y mantener monitoreo confirmando que se encuentra registrando bien cargas.</t>
  </si>
  <si>
    <t>12/24/2023 5:41 AM</t>
  </si>
  <si>
    <t>12/24/2023 6:23 AM</t>
  </si>
  <si>
    <t>00503149</t>
  </si>
  <si>
    <t>AMZAL - Inconsistencia entre reportes "Reporte Daily" y "Resumen de producción"</t>
  </si>
  <si>
    <t>Comenzó el caso realizando una investigación sobre porqué podría existir una inconsistencia entre reportes, se comparó la data de Postgresql con SQL Server, Se solicitó mas información sobre que datos están siendo inconsistentes y cuales son los valores esperados cuando se comunicaron para informar que encontraron internamente el problema a nivel de mineops asi que realizaron las modificaciones pertinentes y solicitaron sumarizar. Sumarizadon se arregló la inconsistencia.</t>
  </si>
  <si>
    <t>12/25/2023 7:22 AM</t>
  </si>
  <si>
    <t>12/26/2023 12:47 PM</t>
  </si>
  <si>
    <t>Belén Sáez</t>
  </si>
  <si>
    <t>00503170</t>
  </si>
  <si>
    <t>MLCC - Revisión de destino DL_E3.5</t>
  </si>
  <si>
    <t>Karim Campos informa que destino DL_E3.5 presenta problemas, al cual no puede asignarle materiales.</t>
  </si>
  <si>
    <t>12/25/2023 7:45 PM</t>
  </si>
  <si>
    <t>12/25/2023 9:59 PM</t>
  </si>
  <si>
    <t>00503178</t>
  </si>
  <si>
    <t>AMZAL - Aplicativo mineops pegado</t>
  </si>
  <si>
    <t>Proceso change_hpgps_grade se encontraba encolado. Se realiza la detención de todos los procesos encolados para luego reiniciar el JAMSRouter, con esto los equipos vuelven a conectarse con el servidor. Sistema operativo.</t>
  </si>
  <si>
    <t>12/26/2023 12:26 AM</t>
  </si>
  <si>
    <t>12/26/2023 1:12 AM</t>
  </si>
  <si>
    <t>Pablo Carmona</t>
  </si>
  <si>
    <t>00503186</t>
  </si>
  <si>
    <t>MLCC - Todos los equipos pegados</t>
  </si>
  <si>
    <t>Se revisa logs del JAMS para encontrar el origen del problema, en los logs no parece haber nada determinante, al realizar repc en servidor reconoce equipos conectados y al visualizar el aplicativo los equipos se mueven sin problemas. Al llamar nuevamente al cliente confirma que está funcionando bien y probablemente el problema fue en su computador directamente.</t>
  </si>
  <si>
    <t>12/26/2023 4:25 AM</t>
  </si>
  <si>
    <t>12/26/2023 4:52 AM</t>
  </si>
  <si>
    <t>00503194</t>
  </si>
  <si>
    <t>AMZAL - Resumarizar Noviembre del 2023</t>
  </si>
  <si>
    <t>Se realiza la sumarización como lo solicitó el cliente. Finaliza sin problemas.</t>
  </si>
  <si>
    <t>12/26/2023 8:06 AM</t>
  </si>
  <si>
    <t>12/26/2023 10:42 AM</t>
  </si>
  <si>
    <t>00503201</t>
  </si>
  <si>
    <t>CNN - Crear Fase 3</t>
  </si>
  <si>
    <t>Se genera la Fase 3 en vista Ubicaciones.</t>
  </si>
  <si>
    <t>12/26/2023 10:47 AM</t>
  </si>
  <si>
    <t>12/26/2023 12:01 PM</t>
  </si>
  <si>
    <t>00503211</t>
  </si>
  <si>
    <t>MLCC - Problema con query</t>
  </si>
  <si>
    <t>Problema se generaba por estar activo job, el cual cierres de las conexiones al SQL desde aplicativos externos. Se deja job inactivo y Daniel Godoy puede generar la query son inconvenientes.</t>
  </si>
  <si>
    <t>12/26/2023 12:49 PM</t>
  </si>
  <si>
    <t>12/26/2023 8:28 PM</t>
  </si>
  <si>
    <t>00503228</t>
  </si>
  <si>
    <t>CNN - Problema con importador</t>
  </si>
  <si>
    <t>El cliente experimentó dificultades al intentar cargar el archivo debido a la obsolescencia del importador en su máquina. Al actualizarlo, el problema se resolvió.</t>
  </si>
  <si>
    <t>12/26/2023 3:02 PM</t>
  </si>
  <si>
    <t>12/26/2023 3:36 PM</t>
  </si>
  <si>
    <t>Katherine Naranjo</t>
  </si>
  <si>
    <t>00503233</t>
  </si>
  <si>
    <t>AMCEN - Pala 7 no cambia de estado</t>
  </si>
  <si>
    <t>Al momento de la revision pala no cambia de estado. Se revisa el log y este no muestra algun problema en el sistema, por lo que se realiza el borrado de la bd del equipo y un reinicio del JAMS, lo que permitio mejorar la comunicación de la pala. En estos momentos el equipo se encuentra operando con normalidad.</t>
  </si>
  <si>
    <t>12/26/2023 4:29 PM</t>
  </si>
  <si>
    <t>12/26/2023 6:48 PM</t>
  </si>
  <si>
    <t>00503234</t>
  </si>
  <si>
    <t>Se realiza sumarización solicitada y se informa vía correo al usuario.</t>
  </si>
  <si>
    <t>12/26/2023 5:19 PM</t>
  </si>
  <si>
    <t>12/26/2023 8:30 PM</t>
  </si>
  <si>
    <t>00503246</t>
  </si>
  <si>
    <t>CNRT -Cambiar clave a cuenta de mineops</t>
  </si>
  <si>
    <t>Se realiza el cambio de calve requerido. Se informa nueva clave a través de correo.</t>
  </si>
  <si>
    <t>12/26/2023 8:33 PM</t>
  </si>
  <si>
    <t>12/26/2023 10:19 PM</t>
  </si>
  <si>
    <t>Marco Cortez</t>
  </si>
  <si>
    <t>00503298</t>
  </si>
  <si>
    <t>AMCEN-Alison solicita asistencia para sacar una data que le solicitaron</t>
  </si>
  <si>
    <t>Se adjunta data en un excel y se envía a Alisson.</t>
  </si>
  <si>
    <t>12/27/2023 10:10 AM</t>
  </si>
  <si>
    <t>12/27/2023 12:10 PM</t>
  </si>
  <si>
    <t>00503310</t>
  </si>
  <si>
    <t>MLCC-Daniel Godoy solicita sumarizacion del mes de Diciembre.</t>
  </si>
  <si>
    <t>sumarizacion terminada , se informa a daniel.</t>
  </si>
  <si>
    <t>12/27/2023 11:10 AM</t>
  </si>
  <si>
    <t>12/27/2023 15:10 PM</t>
  </si>
  <si>
    <t>00503324</t>
  </si>
  <si>
    <t>AMANT-Procesos sqlserver encolados</t>
  </si>
  <si>
    <t>se eliminan procesos encolados y se reinicia servicios de sqlserver.</t>
  </si>
  <si>
    <t>12/27/2023 14:00 PM</t>
  </si>
  <si>
    <t>12/27/2023 15:00 PM</t>
  </si>
  <si>
    <t>00503325</t>
  </si>
  <si>
    <t>CAPCNN-Creación setup PE06</t>
  </si>
  <si>
    <t>se crea setup de configuración nuevo y se envía por correo.</t>
  </si>
  <si>
    <t>12/27/2023 16:00 PM</t>
  </si>
  <si>
    <t>12/27/2023 17:00 PM</t>
  </si>
  <si>
    <t>Cristopher vergara</t>
  </si>
  <si>
    <t>00503334</t>
  </si>
  <si>
    <t>MLCC-Benjamín Mixtos solicita agregar permisos a un usuario para ocupar ciertas funciones</t>
  </si>
  <si>
    <t>Requerimiento completado. se envía correo de confirmación.</t>
  </si>
  <si>
    <t>12/27/2023 18:20 PM</t>
  </si>
  <si>
    <t>12/27/2023 19:20 PM</t>
  </si>
  <si>
    <t>Benjamin Mixtos</t>
  </si>
  <si>
    <t>00503341</t>
  </si>
  <si>
    <t>MLCC - Sin reportes de jview</t>
  </si>
  <si>
    <t>Primero se reinician los servicios sql, se detiene el iis y se vuelve a intentar, recordando que hubo un cambio de dominio hace poco, el nuevo ingreso a jview es a través de google chrome, despues de un rato, los informes vuelven a mostrar información, se le devuelve el llamado a Jonathan indicando que el problema quedo resuelto</t>
  </si>
  <si>
    <t>12/27/2023 20:13 PM</t>
  </si>
  <si>
    <t>12/27/2023 21:23 PM</t>
  </si>
  <si>
    <t>Jonathan despacho</t>
  </si>
  <si>
    <t>00503342</t>
  </si>
  <si>
    <t>12/28/2023 7:43 AM</t>
  </si>
  <si>
    <t>00503369</t>
  </si>
  <si>
    <t>AMCEN - Solicitud de revision CF02</t>
  </si>
  <si>
    <t>Se revisa el equipo, el cual esta trabajando con su gps correctamente, tambien se le hace un correo explicando a Juan, porque el gps indica none.</t>
  </si>
  <si>
    <t>12/28/2023 4:37 AM</t>
  </si>
  <si>
    <t>12/28/2023 6:40 AM</t>
  </si>
  <si>
    <t>00503404</t>
  </si>
  <si>
    <t>CNRT-Claudio Quiroz solicita asistencia por una nueva configuración en los relevos.</t>
  </si>
  <si>
    <t>la opción solicitada no era viable o tomaría un desarrollo nuevo por lo que se opto de poner una vista del mineops en el computador de los relevos ya que el requerimiento era solo por tiempo limitado.</t>
  </si>
  <si>
    <t>12/28/2023 10:40 AM</t>
  </si>
  <si>
    <t>12/28/2023 11:40 AM</t>
  </si>
  <si>
    <t>Clauido Quiroz</t>
  </si>
  <si>
    <t>00503425</t>
  </si>
  <si>
    <t>AMZAL-Sebastian Fernandez solicita sumarizar desde el 1 al 25 de diciembre</t>
  </si>
  <si>
    <t>sumarizacion terminada.</t>
  </si>
  <si>
    <t>12/28/2023 15:15 PM</t>
  </si>
  <si>
    <t>12/28/2023 17:15 PM</t>
  </si>
  <si>
    <t>00503426</t>
  </si>
  <si>
    <t>MLCC-Alejandro Larenas solicita sumarizar todo el mes de diciembre</t>
  </si>
  <si>
    <t>sumarizacion completada.</t>
  </si>
  <si>
    <t>12/28/2023 15:25 PM</t>
  </si>
  <si>
    <t>12/28/2023 18:25 PM</t>
  </si>
  <si>
    <t>00503430</t>
  </si>
  <si>
    <t>CNRT-Claudio Quiroz solicita asistencia para revisión conectividad PA205.ya que se encuentra en terreno</t>
  </si>
  <si>
    <t>se reinicia el sahrm retomando conexión , pero luego cae debido a una demora "Corte de energía Operacional" , se espera que cuando este operativa levante de buena manera.</t>
  </si>
  <si>
    <t>12/28/2023 18:00 PM</t>
  </si>
  <si>
    <t>12/28/2023 18:50 PM</t>
  </si>
  <si>
    <t>00503437</t>
  </si>
  <si>
    <t>12/28/2023 21:00 PM</t>
  </si>
  <si>
    <t>12/29/2023 7:50 AM</t>
  </si>
  <si>
    <t>00503438</t>
  </si>
  <si>
    <t>AMCEN - Solicitud de revision CF233 sin GPS</t>
  </si>
  <si>
    <t>El equipo estaba trabajando con su gps de manera normal.</t>
  </si>
  <si>
    <t>12/28/2023 21:21 PM</t>
  </si>
  <si>
    <t>12/28/2023 22:13 PM</t>
  </si>
  <si>
    <t>00503455</t>
  </si>
  <si>
    <t>AMCEN - Solicitud de revision CF2 sin GPS</t>
  </si>
  <si>
    <t>Se reinicia el equipo, pero el GPS seguía fallando, al cabo de un rato logra recuperar el buen funcionamiento, se le envia un correo a Juan confirmando que ya esta funcionando el gps.</t>
  </si>
  <si>
    <t>12/29/2023 7:14 AM</t>
  </si>
  <si>
    <t>12/29/2023 7:44 AM</t>
  </si>
  <si>
    <t>00503463</t>
  </si>
  <si>
    <t>CAPCNN-Juan Nuñez solicita habilitar al perfil de despachador la opción de modificar la zona el menú Ingeniería , opción Polígono.</t>
  </si>
  <si>
    <t>se habilita la modificación solicitada por juan y se envía correo.</t>
  </si>
  <si>
    <t>12/29/2023 10:50 AM</t>
  </si>
  <si>
    <t>12/29/2023 11:50 AM</t>
  </si>
  <si>
    <t>Juan Muñez</t>
  </si>
  <si>
    <t>00503490</t>
  </si>
  <si>
    <t>AMZAL - Sumarizacion 01 al 25 de diciembre</t>
  </si>
  <si>
    <t>Se realiza la sumarizacion solicitada y se avisa en el correo que quedo lista.</t>
  </si>
  <si>
    <t>12/29/2023 20:15 PM</t>
  </si>
  <si>
    <t>12/29/2023 21:21 PM</t>
  </si>
  <si>
    <t>00503494</t>
  </si>
  <si>
    <t>12/29/2023 21:30 PM</t>
  </si>
  <si>
    <t>12/30/2023 07:00 AM</t>
  </si>
  <si>
    <t>00503495</t>
  </si>
  <si>
    <t>AMCEN - Solicitud de revision C12 sin pantalla</t>
  </si>
  <si>
    <t>Se reinicia el equipo, se le pide a Juan que nos indique si el operador puede ver bien la pantalla, pero este no responde.</t>
  </si>
  <si>
    <t>12/29/2023 23:01 PM</t>
  </si>
  <si>
    <t>12/29/2023 23:56 PM</t>
  </si>
  <si>
    <t>00503496</t>
  </si>
  <si>
    <t>MLCC - Pala 201 envia los equipos a reserva</t>
  </si>
  <si>
    <t>El problema se debe a los destinos duplicados, estos se eliminan, pero siguen los problemas, se detecta que los destinos con los que estaban trabajando, no aceptaban uno de los materiales que estaban utilizando, se le agrega y ya no manda los equipos a reserva</t>
  </si>
  <si>
    <t>12/30/2023 00:24 AM</t>
  </si>
  <si>
    <t>12/30/2023 03:42 AM</t>
  </si>
  <si>
    <t>00503500</t>
  </si>
  <si>
    <t>MLCC - Perforadora 104 sin GPS</t>
  </si>
  <si>
    <t>Se reinicia el equipo, recuperando asi el GPS.</t>
  </si>
  <si>
    <t>12/30/2023 02:47 AM</t>
  </si>
  <si>
    <t>12/30/2023 03:32 AM</t>
  </si>
  <si>
    <t>00503503</t>
  </si>
  <si>
    <t>AMCEN - Solicitud de revision PE3 y PE5</t>
  </si>
  <si>
    <t>Se revisan ambos equipos, PE3 no hay conexión con la perforadora, tendrían que reiniciarla en terreno , y la PE5, esta trabajando de forma normal.
Se le hace un correo a Juan Ortuño indicando lo averiguado.</t>
  </si>
  <si>
    <t>12/30/2023 04:28 AM</t>
  </si>
  <si>
    <t>12/30/2023 06:4 AM</t>
  </si>
  <si>
    <t>00503529</t>
  </si>
  <si>
    <t>AMCEN - Solicitud de revision PE3</t>
  </si>
  <si>
    <t>12/30/2023 23:15 PM</t>
  </si>
  <si>
    <t>12/30/2023 23:52 PM</t>
  </si>
  <si>
    <t>00503530</t>
  </si>
  <si>
    <t>AMCEN - Solicitud de revision C37</t>
  </si>
  <si>
    <t>No hay conexion con el equipo, se le indica a Juan que lo deben reiniciar de forma manual.</t>
  </si>
  <si>
    <t>12/31/2023 00:11 AM</t>
  </si>
  <si>
    <t>12/31/2023 00:31 AM</t>
  </si>
  <si>
    <t>00503539</t>
  </si>
  <si>
    <t>CNMS-Diego Gonzalez informa MineEnterprise sin alarmas</t>
  </si>
  <si>
    <t>se evidencia que el sqlserver no estaba procesando las alarmas , se reinicia el job y se recuperan las alarmas.</t>
  </si>
  <si>
    <t>12/31/2023 08:31 AM</t>
  </si>
  <si>
    <t>12/31/2023 09:31 AM</t>
  </si>
  <si>
    <t>00503551</t>
  </si>
  <si>
    <t>MLCC-Daniel Godoy solicita sumarizacion del mes de diciembre</t>
  </si>
  <si>
    <t>12/31/2023 11:00 AM</t>
  </si>
  <si>
    <t>12/31/2023 14:00 PM</t>
  </si>
  <si>
    <t>00503552</t>
  </si>
  <si>
    <t>MLCC-Alejandro Larenas informa que no tienen sus planillas Excel actualizadas.</t>
  </si>
  <si>
    <t>se evidencia procesos encolados en el servidor 59 , se eliminan las sesiones y procesos , se reinicia sqlserver y la replica pasa sin problemas.</t>
  </si>
  <si>
    <t>12/31/2023 16:21 PM</t>
  </si>
  <si>
    <t>12/31/2023 17:21 PM</t>
  </si>
  <si>
    <t>00503553</t>
  </si>
  <si>
    <t>DMH-Procesos Sqlserver encolados.</t>
  </si>
  <si>
    <t>se elimina los procesos encolados.</t>
  </si>
  <si>
    <t>12/31/2023 16:36 PM</t>
  </si>
  <si>
    <t>12/31/2023 17:36 PM</t>
  </si>
  <si>
    <t>00503556</t>
  </si>
  <si>
    <t>AMCEN - Solicitud de revision PA1</t>
  </si>
  <si>
    <t>Se revisa el VNC del equipo, y los camiones aparecen de manera correcta, tambien indica si los esta cargando.</t>
  </si>
  <si>
    <t>12/31/2023 20:21 PM</t>
  </si>
  <si>
    <t>12/31/2023 20:56 PM</t>
  </si>
  <si>
    <t>00503557</t>
  </si>
  <si>
    <t>12/31/2023 20:5 PM</t>
  </si>
  <si>
    <t>00503563</t>
  </si>
  <si>
    <t>AMCEN - Solicitud de revision CF231</t>
  </si>
  <si>
    <t>12/31/2023 23:04 PM</t>
  </si>
  <si>
    <t>12/31/2023 23:57 PM</t>
  </si>
  <si>
    <t>00503566</t>
  </si>
  <si>
    <t>AMCEN - Solicitud de revision C36</t>
  </si>
  <si>
    <t>00503567</t>
  </si>
  <si>
    <t>AMCEN - Equipos pegados en jsmine</t>
  </si>
  <si>
    <t>Se revisa el log del JAMS del servidor, en el cual había un error indicando que no se podían guardar datos en la event_logs, el error se produjo porque el campo ID, llego a su limite numérico, se respaldan los datos de la table y posteriormente se limpia, los datos comienzan a actualizarse y los equipos reflejan su ubicación correcta dentro del mapa.</t>
  </si>
  <si>
    <t>00503569</t>
  </si>
  <si>
    <t>CNCHQ - Camiones no cuentan las vueltas</t>
  </si>
  <si>
    <t>Se revisan los camiones C163 y C510, ambos al terminar la descarga, se actualizan correctamente en el sistema, en el caso del C163 se tardo unos 20 segundos, pero la informacion se vio reflejada correctamente, ademas en las descargas sumario, las cargas y descargas estaban siendo registradas de forma correcta.</t>
  </si>
  <si>
    <t>00503570</t>
  </si>
  <si>
    <t>Se reinician los servicios sql, se eliminan las consultas encoladas y se revisa que estas no vuelvan a quedarse pegadas.</t>
  </si>
  <si>
    <t>00503571</t>
  </si>
  <si>
    <t>AMZAL - Sin sistema jview ni mineops</t>
  </si>
  <si>
    <t>Al entrar al servidor, se detectan una serie de importadores pegados, ademas de un error indicando que el puerto 5000 esta siendo utilizado, se eliminan los importadores, y se comenta el config.jams, para que el puerto 5000 no se utilice, al realizar estos cambios, se vuelve a tener accceso a mineops y Jview.</t>
  </si>
  <si>
    <t>Isaac Despacho</t>
  </si>
  <si>
    <t>00503595</t>
  </si>
  <si>
    <t>01/01/2023 14:56 PM</t>
  </si>
  <si>
    <t>01/01/2023 16:56 PM</t>
  </si>
  <si>
    <t>00503597</t>
  </si>
  <si>
    <t>MLCC-Daniel Godoy informa que no le cargan los datos de la vista "descarga sumario".</t>
  </si>
  <si>
    <t>Daniel consultaba el mes completo , por lo que la carga de datos era demasiada , se le sugirió hacerlo por cada 15 días. finalmente logro recuperar los datos.</t>
  </si>
  <si>
    <t>01/01/2023 17:41 PM</t>
  </si>
  <si>
    <t>01/01/2023 18:41 PM</t>
  </si>
  <si>
    <t>00503604</t>
  </si>
  <si>
    <t>AMCEN - Solicitud de revision C19</t>
  </si>
  <si>
    <t>Se reinicia el equipo, pero la calidad del GPS sigue baja, se le indica a Juan, coordinar revisión del cableado en terreno.</t>
  </si>
  <si>
    <t>01/01/2024  21:47:00 p. m.</t>
  </si>
  <si>
    <t>00503605</t>
  </si>
  <si>
    <t>AMANT - G42 cambio de estado automaticamente</t>
  </si>
  <si>
    <t>Se monitorean ambos equipos un buen rato, viendo que sus cambios de estado se realizan correctamente, cuando se detienen, cuando van a cargar agua y cuando estan regando respectivamente.</t>
  </si>
  <si>
    <t>01/01/2024  22:06:00 p. m.</t>
  </si>
  <si>
    <t>Alejandro Kalasic</t>
  </si>
  <si>
    <t>00503614</t>
  </si>
  <si>
    <t>AMCEN - Solicitud de revision cambio de actividad a cargado en equipos.</t>
  </si>
  <si>
    <t>Se revisa en primera instancia el CF232 el cual hace sus cambios de estado correctamente, despues Juan nos aclara que es el C129 el del problema, se detecta que cuando esta cargando con el CF232, este casi no tiene conexion con el servidor, perdiendo casi la mitad de la informacion en un ping prolongado que se la hace al equipo, se le indica a Juan que el problema es de conexion por parte del equipo.</t>
  </si>
  <si>
    <t>01/01/2024  22:30:00 p. m.</t>
  </si>
  <si>
    <t>00503625</t>
  </si>
  <si>
    <t>AAM - Sumarizacion</t>
  </si>
  <si>
    <t>Se realizan las sumarizaciones solicitadas.</t>
  </si>
  <si>
    <t>00503626</t>
  </si>
  <si>
    <t>MLCC - Reporte KPI operaciones solo muestra los Tonelajes</t>
  </si>
  <si>
    <t>Se revisa el informe, el cual efectivamente tiene datos en cero, se revisa el servidor, estando todo normal. pero la replicacion de datos al sql no esta terminando, se reinician los servicios y esta funciona correctamente, al actualizar los datos, el informe ahora muestra toda la informacion correspondiente.</t>
  </si>
  <si>
    <t>00503629</t>
  </si>
  <si>
    <t>AMCEN - Solicitud de revisión CF233</t>
  </si>
  <si>
    <t>Se revisa el equipo y este esta trabajando con su gps de manera normal, se compara con el vnc de otro equipo, mostrando la misma ubicacion.</t>
  </si>
  <si>
    <t>00503632</t>
  </si>
  <si>
    <t>CNRT - C931 pegado en ruta</t>
  </si>
  <si>
    <t>Se actualiza la ubicación por BD, utilizando el C833 como referencia.</t>
  </si>
  <si>
    <t>00503648</t>
  </si>
  <si>
    <t>se realiza la sumarizacion</t>
  </si>
  <si>
    <t>01/02/2024  13:51 PM</t>
  </si>
  <si>
    <t>00503691</t>
  </si>
  <si>
    <t>AMZAL-Ingresar Caex a sistema</t>
  </si>
  <si>
    <t>se reviven los equipos y se espera la actualziacion de los estados por parte de zaldivar</t>
  </si>
  <si>
    <t>01/02/2024  18:13 PM</t>
  </si>
  <si>
    <t>01/02/2024  19:13 PM</t>
  </si>
  <si>
    <t>00503700</t>
  </si>
  <si>
    <t>AMCEN - Revisión y cierre base Diciembre GOM</t>
  </si>
  <si>
    <t>01/02/2024  20:08 PM</t>
  </si>
  <si>
    <t>01/02/2024  21:14 PM</t>
  </si>
  <si>
    <t>00503703</t>
  </si>
  <si>
    <t>AMZAL - Reporte Jview Palas por hora no esta actualizado</t>
  </si>
  <si>
    <t>Se revisa el informe el cual tenia datos solo hasta las 19:00 hrs. el problema es que el sumarizador no estaba terminando su ciclo, se hace una sumarizacion manual y el sumarizador se deja corriendo por cron.
Se actualiza el informe y se le devuelve el llamado a Cristian, este revisa el informe y confirma que esta funcionando nuevamente.</t>
  </si>
  <si>
    <t>01/02/2024  21:09 PM</t>
  </si>
  <si>
    <t>01/02/2024  22:1 PM</t>
  </si>
  <si>
    <t>Cristian Alvares</t>
  </si>
  <si>
    <t>00503705</t>
  </si>
  <si>
    <t>AMANT - Cargar malla de perforacion</t>
  </si>
  <si>
    <t>Se cargan los archivos solicitados.</t>
  </si>
  <si>
    <t>01/02/2024  21:11 PM</t>
  </si>
  <si>
    <t>01/02/2024  21:27 PM</t>
  </si>
  <si>
    <t>Rolando Herrera</t>
  </si>
  <si>
    <t>00503708</t>
  </si>
  <si>
    <t>Se revisa el equipo y este esta trabajando con su gps de manera normal, se le envia tambien una imagen a Juan con la calidad del GPs del equipo, siendo esta 4 lo cual es la maxima calidad de un equipo.</t>
  </si>
  <si>
    <t>01/02/2024  21:35 PM</t>
  </si>
  <si>
    <t>01/02/2024  22:31 PM</t>
  </si>
  <si>
    <t>00503710</t>
  </si>
  <si>
    <t>AMCEN - Solicitud de revision C129</t>
  </si>
  <si>
    <t>Se revisa el equipo el cual sigue con problemas de conexión, perdida de datos constante, antes de responder a Juan, Alberto envía un correo indicando que ese camión tiene problemas en el VIMS, que lo pidieron para su revisión, pero no desocuparon el equipo durante el día.</t>
  </si>
  <si>
    <t>01/02/2024  21:58 PM</t>
  </si>
  <si>
    <t>01/02/2024  22:05 PM</t>
  </si>
  <si>
    <t>00503714</t>
  </si>
  <si>
    <t>AMCEN - Solicitud de revision PA3</t>
  </si>
  <si>
    <t>Se trata de revisar el equipo, pero tiene conexion deficiente con el servidor, se le indica a Juan si lo pueden reiniciar en terreno.</t>
  </si>
  <si>
    <t>01/02/2024  22:41 PM</t>
  </si>
  <si>
    <t>01/02/2024  23:28 PM</t>
  </si>
  <si>
    <t>00503718</t>
  </si>
  <si>
    <t>AMZAL - Agregar 3 Restricciones más de Velocidad</t>
  </si>
  <si>
    <t>Se realiza la creación de las 3 restricciones solicitadas.</t>
  </si>
  <si>
    <t>00503723</t>
  </si>
  <si>
    <t>Se revisa el equipo y este esta trabajando con su gps de manera norma.</t>
  </si>
  <si>
    <t>00503729</t>
  </si>
  <si>
    <t>00503730</t>
  </si>
  <si>
    <t>AMCEN - Solicitud de revision C11</t>
  </si>
  <si>
    <t>Se reinicia el equipo recuperando asi el GPS.</t>
  </si>
  <si>
    <t>00503744</t>
  </si>
  <si>
    <t>CNCHQ - Perfo 317 operador no finalizo un pozo</t>
  </si>
  <si>
    <t>Se finaliza el pozo de forma manual</t>
  </si>
  <si>
    <t>00503755</t>
  </si>
  <si>
    <t>AMCEN - Sumarización</t>
  </si>
  <si>
    <t>Sumarización finalizada. Se informa a Víctor vía telefónica.</t>
  </si>
  <si>
    <t>00503757</t>
  </si>
  <si>
    <t>Mantoverde - Sumarización</t>
  </si>
  <si>
    <t>Se realiza la sumarización requerida. Se envía correo informando al cliente.</t>
  </si>
  <si>
    <t>00503765</t>
  </si>
  <si>
    <t>Sumarización finalizada, se envía correo al cliente informando lo realizado.</t>
  </si>
  <si>
    <t>00503771</t>
  </si>
  <si>
    <t>AMZAL - Resumarizar dias 2 de Enero 2024</t>
  </si>
  <si>
    <t>se realiza la sumarizacion solicitada, se informa vía correo al cliente la finalización de lo solicitado.</t>
  </si>
  <si>
    <t>00503786</t>
  </si>
  <si>
    <t>AMZAL - Región aparezca en factores de Carga para ajustar estos</t>
  </si>
  <si>
    <t>Se agrega a la vista Factores de Carga en Categoría Locación la opción RIPIOS-HL.</t>
  </si>
  <si>
    <t>00503805</t>
  </si>
  <si>
    <t>AMZAL - Reporte Daily que considere movimientos ripios ( Para eso se dejo hace un tiempo pensando que este año se ocuparía)</t>
  </si>
  <si>
    <t>Se agrega la información requerida en el reporte daily. Se envía correo al cliente informando lo realizado para su validación.</t>
  </si>
  <si>
    <t>00503820</t>
  </si>
  <si>
    <t>AMZAL - Porque L13 si tiene horas efectivas y Ton asociadas aparece con un rendimiento muy grande. Me puedes ayudar a resolver esto</t>
  </si>
  <si>
    <t>Conclusión: el equipo al estar en lugar sin cobertura de red genera problemas con los cambios de estado lo que ocasiona y queda en estado waiting y operativo disparando los tiempos de efectividad. Ante esto no es posible realizar alguna corrección dado que los datos quedan en las BD y hay muchas tablas asociadas en estas actividades. Se explica esto en reunión con Miguel Cáceres quien da el ok para el cierre del ticket.</t>
  </si>
  <si>
    <t>00503873</t>
  </si>
  <si>
    <t>AMZAL Resumarizar algunos dias de Diciembre</t>
  </si>
  <si>
    <t>Inicialmente, se investiga el método de trabajo del cliente, ya sea utilizando un sumarizador como servicio o a través de crontab. Se identifica que actualmente opera mediante crontab, por lo que se procede a comentar la línea que activa el sumarizador y la replicación de información. Posteriormente, se realiza la sumarización de los días requeridos, y finalmente se descomenta la línea para asegurar el funcionamiento automático.</t>
  </si>
  <si>
    <t>00503881</t>
  </si>
  <si>
    <t>AMCEN - Camiones con problemas de GPS</t>
  </si>
  <si>
    <t>Se revisan los equipos por mineops encontrando el C51 en colación por lo que se asume está apagado y no se puede diagnosticar, por otro lado el C123 está operando sin problemas y tiene sus sensores internos en buen estado.</t>
  </si>
  <si>
    <t>00503886</t>
  </si>
  <si>
    <t>AMCEN - Camión C125 con problemas de gps</t>
  </si>
  <si>
    <t>Al revisar el equipo se encuentra levantando el panel por lo que se asume recibió un reinicio, se monitorea el equipo y levanta sin problemas su pantalla, a su vez se revisan los sensores y se encuentran en buen estado.</t>
  </si>
  <si>
    <t>00503890</t>
  </si>
  <si>
    <t>AMCEN - Camión 38 no muestra ubicación real</t>
  </si>
  <si>
    <t>El equipo no contaba con comunicación y se informó de esto al cliente, igualmente se le mantuvo monitoreo al equipo para que una vez levantara realizar un diagnostico y al realizarlo se encuentran los sensores en buen estado.</t>
  </si>
  <si>
    <t>00503916</t>
  </si>
  <si>
    <t>CNN - Favor sumarizar mes de diciembre.</t>
  </si>
  <si>
    <t>Sumarización realizada, se informa vía correo al cliente.</t>
  </si>
  <si>
    <t>00503918</t>
  </si>
  <si>
    <t>CNN - Cambios Jigsaw Dieciembre</t>
  </si>
  <si>
    <t>Se realiza la carga de los FC para el mes de enero del 2024. Se informa al cliente lo realizado vía correo.</t>
  </si>
  <si>
    <t>00503992</t>
  </si>
  <si>
    <t>AMCEN - JSPanel con problemas</t>
  </si>
  <si>
    <t>Se realiza una modificación en la configuración para las pantallas de los cargadores, para mejorar la visualización y refresco del hardware. Equipos trabajan con normalidad.</t>
  </si>
  <si>
    <t>00503997</t>
  </si>
  <si>
    <t>AMCEN - Camión C51 con problemas de gps</t>
  </si>
  <si>
    <t>Se revisa el equipo y se encuentra operando con normalidad en sistema, se revisan sensores internos y está todo en buen estado.</t>
  </si>
  <si>
    <t>00503998</t>
  </si>
  <si>
    <t>AMCEN - Camión C14 con problemas de GPS</t>
  </si>
  <si>
    <t>Se revisa el equipo y funciona perfecto en mineops, se encuentra comunicando con buenas señales, finalmente se revisa estado de los sensores internos y se encuentra todo bien.</t>
  </si>
  <si>
    <t>00503999</t>
  </si>
  <si>
    <t>AMCEN - Camión C47 con problemas de GPS</t>
  </si>
  <si>
    <t>Se realiza monitoreo del equipo pero se encuentra sin comunicación ni ping a través del servidor. Después de unos 20 minutos lo trasladaron y el equipo empezó a comunicar por lo que se revisan los sensores y está todo bien.</t>
  </si>
  <si>
    <t>00504004</t>
  </si>
  <si>
    <t>AMZAL - Equipos Auxiliares Planta</t>
  </si>
  <si>
    <t>Se actualizan en vista Dispositivo y Equipos los valores solicitados. Además se tuvieron que generar en Enum Table las nuevas flotas.</t>
  </si>
  <si>
    <t>00504010</t>
  </si>
  <si>
    <t>AMZAL - Favor sacar Flota en H36</t>
  </si>
  <si>
    <t>Se elimina el equipo solicitado.</t>
  </si>
  <si>
    <t>00504021</t>
  </si>
  <si>
    <t>AMCEN - Camión C162 con problemas de GPS</t>
  </si>
  <si>
    <t>Se revisa el C162 y se encuentra operando sin problemas con un buen estado de sus sensores, por otro lado el C51 se vuelve a encontrar con bad point en el gps por lo que se recomienda revisión en terreno.</t>
  </si>
  <si>
    <t>00504041</t>
  </si>
  <si>
    <t>AMZAL - Ingresar Plan Anual a Planes en XFER</t>
  </si>
  <si>
    <t>Miguel Caceres indica que una vez tenga el plan anual lo enviara, pero por ahora da el ok para cerrar este requerimiento.</t>
  </si>
  <si>
    <t>00504046</t>
  </si>
  <si>
    <t>CNN - Ajustes Jigsaw Dieciembre</t>
  </si>
  <si>
    <t>Se realizan los ajustes correspondientes y se realiza sumarización del mes de diciembre. Se informa vía correo al cliente lo realizado.</t>
  </si>
  <si>
    <t>00504053</t>
  </si>
  <si>
    <t>Se revisa el importador el cual se encontraba encolado lo que ocasiono que los archivos no se cargaran al sistema. Se realiza la cancelación de los procesos encolados para luego ejecutar manualmente el script del importador, lo que genero la carga de los archivos. En estos momentos todo está funcionando con normalidad.</t>
  </si>
  <si>
    <t>00504071</t>
  </si>
  <si>
    <t>AMCEN - Problemas con Caex 25</t>
  </si>
  <si>
    <t>Equipo presenta problemas con el hardware por lo que se solicita su revisión en terreno. Se envía correo para informar lo realizado.</t>
  </si>
  <si>
    <t>00504092</t>
  </si>
  <si>
    <t>AMANT - Mine Enterprise Antucoya Caída</t>
  </si>
  <si>
    <t>Mine Enterprise no inicia y arroja error con la comunicación con el servidor por lo que se realiza la instalación de los data models y la integración de los datos. Actualmente la integración se encuentra ejecutándose.</t>
  </si>
  <si>
    <t>Adrian Tapia</t>
  </si>
  <si>
    <t>00504093</t>
  </si>
  <si>
    <t>AMCEN - Grabación radial y playback</t>
  </si>
  <si>
    <t>Se envía correo con la grabación solicitada.</t>
  </si>
  <si>
    <t>00504115</t>
  </si>
  <si>
    <t>AMCEN - Camión C131 pegado en sistema con pantalla en negro</t>
  </si>
  <si>
    <t>Se revisa el equipo y se encuentra operando sin problemas con sensores en buen estado.</t>
  </si>
  <si>
    <t>00504116</t>
  </si>
  <si>
    <t>AMCEN - Camión C129 no cambia asignaciones ni actividades</t>
  </si>
  <si>
    <t>Se revisan los sensores del equipo y están en buen estado, se realiza monitoreo de cambio de actividades y asignaciones internamente y está funcionando de manera correcta.</t>
  </si>
  <si>
    <t>00504118</t>
  </si>
  <si>
    <t>AMCEN - Pala 2 con jspanel pegado</t>
  </si>
  <si>
    <t>Al momento de revisar VNC del equipo se encuentra operando correctamente y los sensores internos están en buen estado.</t>
  </si>
  <si>
    <t>00504119</t>
  </si>
  <si>
    <t>AMCEN - Camión C18 no muestra ubicación correcta</t>
  </si>
  <si>
    <t>Se intenta revisar y monitorear el equipo pero no es posible debido a falta de comunicación. Se atribuyen problemas a redes.</t>
  </si>
  <si>
    <t>00504124</t>
  </si>
  <si>
    <t>AMCEN - Cargadores frontales CF231 y CF233 con problemas de gps</t>
  </si>
  <si>
    <t>Se reinician los equipos y se mantiene monitoreo sobre el comportamiento, el CF231 levanta sin mayores problemas, sin embargo, el CF233 sigue teniendo baja señal con calidad de gps 3, por lo que se mantiene en monitoreo hasta que recupera el estado ok de señal.</t>
  </si>
  <si>
    <t>00504126</t>
  </si>
  <si>
    <t>AMCEN - Camión C19 no muestra ubicación real</t>
  </si>
  <si>
    <t>Se revisan sensores internos y se encuentran con problemas, se intenta reiniciando el equipo para ver si así recupera una buena condición de gps pero no es así, se deriva a revisión en terreno.</t>
  </si>
  <si>
    <t>00504128</t>
  </si>
  <si>
    <t>AMCEN - Camión C25 no muestra ubicación real</t>
  </si>
  <si>
    <t>Se revisan sensores internos y presentan errores, se procede a realizar un reinicio por si se recupera una buena condición pero no es así, por lo que se deriva a revisión en terreno.</t>
  </si>
  <si>
    <t>00504129</t>
  </si>
  <si>
    <t>AMCEN - Pala 4 con problemas de gps</t>
  </si>
  <si>
    <t>Se realiza reinicio y se recupera posicionamiento, se revisa el estado de los sensores y se encuentran todos funcionando correctamente.</t>
  </si>
  <si>
    <t>00504133</t>
  </si>
  <si>
    <t>AMCEN - Camión C162 pegado en sistema</t>
  </si>
  <si>
    <t>Se le realiza un reinicio al equipo para que recupere su posición real, sensor interno de gps en buen estado.</t>
  </si>
  <si>
    <t>00504154</t>
  </si>
  <si>
    <t>AMZAL - Generación de nuevo setup</t>
  </si>
  <si>
    <t>se realiza actualización del setup para actualizar equipo al cual se le cambio su pantalla.</t>
  </si>
  <si>
    <t>00504162</t>
  </si>
  <si>
    <t>AMCEN - C49 no cambia de asignaciones</t>
  </si>
  <si>
    <t>Se revisa el equipo y se encuentran sensores internos ok, se le realiza un reinicio para que mejore la situación con el cambio de asignaciones, se le realiza un monitoreo detectando que esporádicamente se pierde la comunicación generando el problema del cambio de asignaciones, finalmente se realiza un monitoreo internamente determinando que funciona ok.</t>
  </si>
  <si>
    <t>00504164</t>
  </si>
  <si>
    <t>AMCEN - Camión C16 no muestra ubicación real</t>
  </si>
  <si>
    <t>Se revisan sensores y se encuentra todo ok, se le realiza un reinicio al equipo para así recuperar su posicionamiento en el sistema.</t>
  </si>
  <si>
    <t>00504169</t>
  </si>
  <si>
    <t>Internal - CODELCO - Exceso de consolas en servidor jview</t>
  </si>
  <si>
    <t xml:space="preserve">
Se realiza la modificación en el programador de tareas en los servidores de Codelco.</t>
  </si>
  <si>
    <t>00504173</t>
  </si>
  <si>
    <t>AMCEN - Camión C50 no aparece en el sistema</t>
  </si>
  <si>
    <t>Se realiza un reinicio de la base de datos del equipo y del sistema recuperando la imagen en mapa del equipo.</t>
  </si>
  <si>
    <t>00504186</t>
  </si>
  <si>
    <t>AMCEN - Cargador frontal 2 no muestra ubicación real</t>
  </si>
  <si>
    <t>Se le realiza un reinicio de base de datos interna y del sistema recuperando la posición en sistema.</t>
  </si>
  <si>
    <t>00504188</t>
  </si>
  <si>
    <t>AMCEN - Pala 3 y Pala 6 con problemas de gps</t>
  </si>
  <si>
    <t>Se revisan los equipos, primero pala 3 encontrando que los sensores están en buen estado y recibiendo buena señal satelital. Por otro lado, la pala 6 presenta mal estado de sensores, constantes desconexiones por lo que se recomienda revisión en terreno.</t>
  </si>
  <si>
    <t>00504201</t>
  </si>
  <si>
    <t>MLCC - GPS sin señal</t>
  </si>
  <si>
    <t>Equipo presenta problemas en el hardware, no fue posible levantar el servicio del GPS, se realizaron varias pruebas para restablecer el servicio, pero señal del equipo no funciona. Se solicita revisar cableado y hardware del camión.</t>
  </si>
  <si>
    <t>Alexis de 360</t>
  </si>
  <si>
    <t>00504213</t>
  </si>
  <si>
    <t>AMCEN - Camión 161 sin sistema</t>
  </si>
  <si>
    <t>Se reinicia el equipo recuperando así el funcionamiento interno de su sistema.</t>
  </si>
  <si>
    <t>00504222</t>
  </si>
  <si>
    <t>AMCEN - Camión C49 no cambia de asignaciones</t>
  </si>
  <si>
    <t>Se intentó inicialmente revisar el equipo, pero este carecía de comunicación. Una vez restaurada la conectividad, se procedió a monitorear el comportamiento durante los cambios de asignación. En su mayoría, estos cambios ocurren de manera automática y sin inconvenientes. No obstante, en algunas situaciones, el operador tuvo que seleccionar manualmente la asignación. Al revisar los sensores, se verificó que todo estaba en orden, pero al realizar un ping al equipo, se detectaron niveles elevados, lo que se considera como la causa subyacente del problema</t>
  </si>
  <si>
    <t>00504224</t>
  </si>
  <si>
    <t>AMCEN - Camión C129 no está cambiando de actividades</t>
  </si>
  <si>
    <t>Se intentó inicialmente revisar el equipo, pero este carecía de comunicación. Una vez restablecida la conectividad, se procedió a monitorear el comportamiento durante los cambios de asignación. En su mayoría, estos cambios se realizan de manera automática y sin inconvenientes. Sin embargo, en ciertas situaciones, el operador debió seleccionar manualmente la asignación. Al verificar los sensores, se confirmó que todo estaba en orden; no obstante, al realizar un ping al equipo, se identificaron niveles elevados, lo que se considera como la causa subyacente del problema, similar al incidente experimentado previamente en el C49.</t>
  </si>
  <si>
    <t>0050423</t>
  </si>
  <si>
    <t>Al momento de revisar ya se había cargado automáticamente el archivo.</t>
  </si>
  <si>
    <t>1/17/2024 3:18 PM</t>
  </si>
  <si>
    <t>1/17/2024 3:27 PM</t>
  </si>
  <si>
    <t>00504232</t>
  </si>
  <si>
    <t>AMCEN - Recuperar STM02 - OXIDO</t>
  </si>
  <si>
    <t>Se revisa en mineops y base de datos encontrando en ambos la localización sin eliminar, se informa y confirman.</t>
  </si>
  <si>
    <t>00504263</t>
  </si>
  <si>
    <t>AMZAL - Desfase en carga de datos</t>
  </si>
  <si>
    <t>Re portabilidad se actualiza con normalidad. Se informa al usuario que lo tiempos de actualización son cada 5 minutos y que los reportes pueden tomar unos minutos en actualiza la data desde la BD.</t>
  </si>
  <si>
    <t>Belen Saez</t>
  </si>
  <si>
    <t>00504272</t>
  </si>
  <si>
    <t>Monitoreo - Túnel caído</t>
  </si>
  <si>
    <t>Acceso vía red lgs-mobile se encuentra con problemas, túnel VPN hacia Caserones se encuentra activo. Se informa a soporte para que revise.</t>
  </si>
  <si>
    <t>00504308</t>
  </si>
  <si>
    <t>CNN - Cambios Dieciembre</t>
  </si>
  <si>
    <t>FC solicitados ya han sido modificados y la sumarizacion se realizó sin novedades. Se informa vía correo al cliente.</t>
  </si>
  <si>
    <t>00504315</t>
  </si>
  <si>
    <t>MLCC - Señal de gps en rojo</t>
  </si>
  <si>
    <t>El equipo no presenta problemas con sus GPS, por lo que se descarta un problema en este aspecto. Sin embargo, hemos identificado pérdida de paquetes, lo que podría estar afectando la actualización en la pantalla. Solicitamos revisar la cobertura de red en el sector.</t>
  </si>
  <si>
    <t>Alexis 360</t>
  </si>
  <si>
    <t>00504367</t>
  </si>
  <si>
    <t>AMCEN - Pala 26 no muestra tonelaje en pantalla</t>
  </si>
  <si>
    <t>Se revisan sensores internos del equipo los cuales están todos en buen estado, se reinicia la base de datos interna y el equipo esperando que pueda resolver la situación, sin embargo, el equipo se encuentra fuera de servicio por lo que no se puede confirmar el correcto funcionamiento.</t>
  </si>
  <si>
    <t>00504394</t>
  </si>
  <si>
    <t>AMCEN - Perforadora 1 no muestra datos de profundímetro</t>
  </si>
  <si>
    <t>Se prueba reiniciando el equipo lo cual no arregla la situación, se procede a eliminar la base de datos interna para que equipo vuelva a tomar configuraciones lo cual tampoco arregló la situación, después de mantener monitoreo del equipo finalmente se recomienda atención en terreno.</t>
  </si>
  <si>
    <t>00504404</t>
  </si>
  <si>
    <t>AMCEN - Problema con asignación a petroleras</t>
  </si>
  <si>
    <t>La programación de asignación a petroleras opera de manera que solo se puedan asignar equipos que estén en condiciones de viajar vacíos y donde la petrolera no tenga más de 2 equipos en cola. En resumen, la no asignación de los camiones depende de la configuración específica en la faena dentro del sistema. Esta información se comunica al personal en terreno.</t>
  </si>
  <si>
    <t>00504495</t>
  </si>
  <si>
    <t>Mantoverde - Revisar resultados de indicadores en reporte Indicadores de Indisponibilidad</t>
  </si>
  <si>
    <t>00504505</t>
  </si>
  <si>
    <t>AMZAL - Problemas con la carga de archivos</t>
  </si>
  <si>
    <t>Archivo presenta problemas en la columna materiales, en la cual existe un valor que hace referencia a un material que no existe. Se informa al cliente el problema y se solicita modificar el valor para que el archivo pueda ser cargado.</t>
  </si>
  <si>
    <t>00504522</t>
  </si>
  <si>
    <t>CNN - Alarma tolva arriba</t>
  </si>
  <si>
    <t>00504532</t>
  </si>
  <si>
    <t>CNDMH - Reportets desactualizados</t>
  </si>
  <si>
    <t>Se reinician los servicios SQL recuperando los reportes actualizados.</t>
  </si>
  <si>
    <t>00504536</t>
  </si>
  <si>
    <t>Finaliza sumarización como lo solicitó.</t>
  </si>
  <si>
    <t>00504537</t>
  </si>
  <si>
    <t>AMZAL - Camión H42 con problemas de gps</t>
  </si>
  <si>
    <t>Se apoya en la revisión junto con terreno, se determina que el equipo en temas de GPS debido a los problemas de señal está perfecto por lo que se llega a la conclusión de cambiar el core del equipo.</t>
  </si>
  <si>
    <t>Freddie Quiste</t>
  </si>
  <si>
    <t>00504541</t>
  </si>
  <si>
    <t>MLCC - Sumarizar manualmente</t>
  </si>
  <si>
    <t>00504552</t>
  </si>
  <si>
    <t>AMCEN - Camión C11 muestra las vueltas correspondientes al turno anterior</t>
  </si>
  <si>
    <t>Se le realiza un borrado de la base de datos interna y un reinicio al sistema del equipo normalizando la situación.</t>
  </si>
  <si>
    <t>00504566</t>
  </si>
  <si>
    <t>AMCEN - Camión C42 no muestra ubicación real</t>
  </si>
  <si>
    <t>Se intenta revisar el equipo pero no es posible debido a falta de comunicación, se le informa al cliente que el problema con su posición debe ser por la misma condición.</t>
  </si>
  <si>
    <t>00504577</t>
  </si>
  <si>
    <t>AMCEN - Camión C54 con problemas en asignaciones</t>
  </si>
  <si>
    <t>Se monitorea el equipo y se puede observar que cambia de asignaciones automáticamente sin problema.</t>
  </si>
  <si>
    <t>00504598</t>
  </si>
  <si>
    <t>Se eliminan las consultas encoladas y se monitorea para que no vuelvan a encolarse.</t>
  </si>
  <si>
    <t>00504614</t>
  </si>
  <si>
    <t>MLCC - Equipos se van a reserva</t>
  </si>
  <si>
    <t>Se eliminan los destinos duplicados que afectan a la correcta asignacion de los equipos.</t>
  </si>
  <si>
    <t>00504645</t>
  </si>
  <si>
    <t>Mantoverde - Generar nuevo Setup</t>
  </si>
  <si>
    <t>Se crean los equipos solicitados y se envia el setup nuevo</t>
  </si>
  <si>
    <t>00504661</t>
  </si>
  <si>
    <t>MLCC - Consulta de tablas para plan mensual y budget</t>
  </si>
  <si>
    <t>Se le indica a Daniel, que lo que esta consultando, es una funcion, no una tabla ademas se le manda foto del a tabla donde saca la informacion dicha funcion</t>
  </si>
  <si>
    <t>00504665</t>
  </si>
  <si>
    <t>Mantoverde - Fwd: Mantoverde - Creacion de nuevo equipo y actualización de archivo Setup</t>
  </si>
  <si>
    <t>Se crea el equipo y se envia el nuevo setup</t>
  </si>
  <si>
    <t>00504704</t>
  </si>
  <si>
    <t>AMCEN-Luis Rios informa problema con CR4 que no tiene Sistema</t>
  </si>
  <si>
    <t>no existe conexion con el equipo , se deriva a personal de terreno</t>
  </si>
  <si>
    <t>00504710</t>
  </si>
  <si>
    <t>AMCEN-Luis Rios informa problema con MT08 por GPS</t>
  </si>
  <si>
    <t>se reinicia el equipo y levanta normalmente.</t>
  </si>
  <si>
    <t>00504717</t>
  </si>
  <si>
    <t>AMCEN-Luis Rios informa problema con PE8 yPE51 por señal GPS</t>
  </si>
  <si>
    <t>se reinicia el core del equipo y levanta normalmente.</t>
  </si>
  <si>
    <t>00504731</t>
  </si>
  <si>
    <t>AMANT-Cristian Barrera informa que JView no esta actualizado.</t>
  </si>
  <si>
    <t>00504738</t>
  </si>
  <si>
    <t>Monitoreo - AMANT - Consultas SQL</t>
  </si>
  <si>
    <t>00504761</t>
  </si>
  <si>
    <t>Monitoreo - CNDMH - Procesos sql</t>
  </si>
  <si>
    <t>00504776</t>
  </si>
  <si>
    <t>CNRT - Job con problemas</t>
  </si>
  <si>
    <t>Se revisa el Job, el cual no termina, arroja un error de ID repetido , se sigue investigando pero no hay muchos resultados, despues el Job dejo de enviar errores incluso, se eleva el Ticket y David Vilches junto con Tac revisan nuevamente, pero el problema ya estaba solucionado.</t>
  </si>
  <si>
    <t>Leandro</t>
  </si>
  <si>
    <t>00504836</t>
  </si>
  <si>
    <t>AMCEN-Karl Alvarez de COASIN indica que no puede subir polígonos Hazzard en el GIO.</t>
  </si>
  <si>
    <t>el importador arroja un error , por lo que se solicita volver a crear el archivo.</t>
  </si>
  <si>
    <t>Karl Alaverz de Coasin</t>
  </si>
  <si>
    <t>00504845</t>
  </si>
  <si>
    <t>AMZAL-Hector brito solicita asistencia para cambiar contraseña de su usuario JView</t>
  </si>
  <si>
    <t>se cambia contraseña y se le informa al usuario.</t>
  </si>
  <si>
    <t>Hector brito</t>
  </si>
  <si>
    <t>00504848</t>
  </si>
  <si>
    <t>AMCEN-Luis Rios informa problema con CF231 por señal GPS</t>
  </si>
  <si>
    <t>al momento de revisión el equipo se encontraba con buena señal GPS</t>
  </si>
  <si>
    <t>00504867</t>
  </si>
  <si>
    <t>CNDMH - Sin Jview</t>
  </si>
  <si>
    <t>Se detecta que estaba detenido el servicio sql, se inicia y la reportabilidad vuelve a los pocos minutos.
Se llama a Rodrigo quien confirma que ya están con reportabilidad en despacho.</t>
  </si>
  <si>
    <t>00504880</t>
  </si>
  <si>
    <t>MLCC - RV: Solicita Baja de Servicios: ERIK ANDRES NAVARRO PINO</t>
  </si>
  <si>
    <t>Se revisa mineops y jview , el usuario indicado no tenia cuentas personales en ninguna de las plataformas.
Se les envia un correo a mesa de ayuda indicando lo encontrado.</t>
  </si>
  <si>
    <t xml:space="preserve">Mesa ayuda </t>
  </si>
  <si>
    <t>00504883</t>
  </si>
  <si>
    <t>MAGSA - Conexion caida del tunel</t>
  </si>
  <si>
    <t>Vuelve la conexion correctamente</t>
  </si>
  <si>
    <t>00504897</t>
  </si>
  <si>
    <t>AMZAL - Jmineops tiene los equipos pegados en el mapa</t>
  </si>
  <si>
    <t>Se entra al servidor, se detecta que no hay procesos pegados, importadores, los datos se están sumarizando correctamente, y el log del JAMS, tampoco indica ningún problema, se tiene acceso a jview y mineops, lo cual era un claro indicador que el problema no era el sistema, se le consulta a Mario nuevamente si están seguros de que la red esta funcionando correctamente.
Después de unos minutos viendo que todo esta ok, se termina la llamada con Mario porque tenían que revisar unas cosas.
A las horas vuelvo a ingresar al servidor y los equipos ya estaban conectados, se le envía un correo a Mario preguntando por lo ocurrido y nos cuenta que un puerto se había bloqueado lo cual no permitia comunicarse con los equipos.</t>
  </si>
  <si>
    <t>00504918</t>
  </si>
  <si>
    <t>CNDMH - Sin vista de colacion</t>
  </si>
  <si>
    <t>Se le envia el archivo a Luis para que haga una nueva instalacion - A la espera de que responda</t>
  </si>
  <si>
    <t>00504941</t>
  </si>
  <si>
    <t>AMCEN-Luis Rios informa que llego un mensaje del GIO que se había pegado el sistema.</t>
  </si>
  <si>
    <t>se revisa el servidor completamente , se entra al escritorio remoto jview , y se revisa el Mineops no encontrando nada raro , equipos conectados , estabilidad en el trabajo del servidor y Mineops funcionando correctamente. se informa a Luis quien devuelve el llamado a despacho.</t>
  </si>
  <si>
    <t>01/13/2024  02:25</t>
  </si>
  <si>
    <t>01/13/2024  04:25</t>
  </si>
  <si>
    <t>00504942</t>
  </si>
  <si>
    <t>CHQ-Servicio Hxg CasApi detenido</t>
  </si>
  <si>
    <t>se activa nuevamente el servicio.</t>
  </si>
  <si>
    <t>01/13/2024  02:30</t>
  </si>
  <si>
    <t>01/13/2024  03:00</t>
  </si>
  <si>
    <t>00504945</t>
  </si>
  <si>
    <t>MLCC-Alejandro LArenas informa que un destino no recibe cierto material</t>
  </si>
  <si>
    <t>se eliminan destinos duplicados y pueden asignarle materiales a  los destinos.</t>
  </si>
  <si>
    <t>01/13/2024  03:19</t>
  </si>
  <si>
    <t>01/13/2024  04:19</t>
  </si>
  <si>
    <t>00504948</t>
  </si>
  <si>
    <t>MLCC-Alejandro LArenas informa que existen archivo de bloques que no se han subido</t>
  </si>
  <si>
    <t>se suben individualmente 3 de los 4 archivo de bloques , el cuarto genera un error se informa a alejandro para que lo vuelvan a subir el archivo corregido</t>
  </si>
  <si>
    <t>01/13/2024  04:48</t>
  </si>
  <si>
    <t>01/13/2024  05:48</t>
  </si>
  <si>
    <t>00504962</t>
  </si>
  <si>
    <t>01/13/2024  09:48</t>
  </si>
  <si>
    <t>01/13/2024  19:48</t>
  </si>
  <si>
    <t>00504974</t>
  </si>
  <si>
    <t>AMZAL - Perfo 14 con GPS intermitente</t>
  </si>
  <si>
    <t>Se reinicia el equipo pero sus señales de GPS estaban al maximo</t>
  </si>
  <si>
    <t>01/13/2024  15:24</t>
  </si>
  <si>
    <t>01/13/2024  15:41</t>
  </si>
  <si>
    <t>00504975</t>
  </si>
  <si>
    <t>01/13/2024  16:01</t>
  </si>
  <si>
    <t>01/13/2024  16:46</t>
  </si>
  <si>
    <t>00504978</t>
  </si>
  <si>
    <t>MLCC - Reiniciar perforadora 101</t>
  </si>
  <si>
    <t>01/13/2024  16:43</t>
  </si>
  <si>
    <t>01/13/2024  17:21</t>
  </si>
  <si>
    <t>00504985</t>
  </si>
  <si>
    <t>AMCEN-Luis Rios informa problema con C10 sin sistema.</t>
  </si>
  <si>
    <t>el equipo se encontraba pasando por una zona de mala cobertura , cuando empieza a subir a otra zona retoma la señal.se deriva a personal de terreno.</t>
  </si>
  <si>
    <t>01/13/2024  23:37</t>
  </si>
  <si>
    <t>01/14/2024  00:37</t>
  </si>
  <si>
    <t>00504986</t>
  </si>
  <si>
    <t>AMCEN-Luis Rios informa problema con PE6 sin señal satelital.</t>
  </si>
  <si>
    <t>Se reinicia core y retoma la calidad de la señal.</t>
  </si>
  <si>
    <t>01/14/2024  00:22</t>
  </si>
  <si>
    <t>01/14/2024  01:22</t>
  </si>
  <si>
    <t>00504987</t>
  </si>
  <si>
    <t>AMCEN-Luis Rios informa problema con C58 sin señal satelital.</t>
  </si>
  <si>
    <t>Equipo luego de salir de colacion levanta normalmente.</t>
  </si>
  <si>
    <t>01/14/2024  00:23</t>
  </si>
  <si>
    <t>01/14/2024  04:23</t>
  </si>
  <si>
    <t>00504988</t>
  </si>
  <si>
    <t>CNRT-Luis Cortes informa que despacho vee una diferencia entre jview y Mineops</t>
  </si>
  <si>
    <t>se revisa la diferencia la cual existe ya que el mineops esta en tiempo real y sqlserver (jview) tiene sus replicas de datos cada 5 minutos , por eso nunca los tonelajes mostrados serán iguales.de igual forma se revisaron los procesos de replicas y sumarización</t>
  </si>
  <si>
    <t>01/14/2024  02:00</t>
  </si>
  <si>
    <t>01/14/2024  03:30</t>
  </si>
  <si>
    <t>00504997</t>
  </si>
  <si>
    <t>AMZAL - Ingreso H36 sistema mineops</t>
  </si>
  <si>
    <t>Se re ingresa el equipo segun lo solicitado</t>
  </si>
  <si>
    <t>01/14/2024  11:09</t>
  </si>
  <si>
    <t>01/14/2024  19:35</t>
  </si>
  <si>
    <t>00504998</t>
  </si>
  <si>
    <t>01/14/2024  11:45</t>
  </si>
  <si>
    <t>00505015</t>
  </si>
  <si>
    <t>CNDMH - Caex 307 no marca las vueltas</t>
  </si>
  <si>
    <t>Se revisa el equipo el cual estaba contabilizando las vueltas correctamente, al hacer ping vims nos da error, se reinicia el equipo, y el vims nos vuelve a dar datos.</t>
  </si>
  <si>
    <t>01/14/2024  16:41</t>
  </si>
  <si>
    <t>01/14/2024  17:13</t>
  </si>
  <si>
    <t>00505053</t>
  </si>
  <si>
    <t>AMCEN-Luis Rios informa problema con PA9 , no muestra su ubicación real.</t>
  </si>
  <si>
    <t>se reinicia el equipo y levanta de buena manera.</t>
  </si>
  <si>
    <t>01/15/2024  05:13</t>
  </si>
  <si>
    <t>01/15/2024  06:13</t>
  </si>
  <si>
    <t>00505056</t>
  </si>
  <si>
    <t>MLCC-Procesos SQlserver encolados</t>
  </si>
  <si>
    <t>se eliminan procesos sqlserver encolados</t>
  </si>
  <si>
    <t>01/15/2024  05:40</t>
  </si>
  <si>
    <t>01/15/2024  06:00</t>
  </si>
  <si>
    <t>00505063</t>
  </si>
  <si>
    <t>01/15/2024  08:25</t>
  </si>
  <si>
    <t>01/15/2024  08:50</t>
  </si>
  <si>
    <t>00505065</t>
  </si>
  <si>
    <t>CNRT - Lentitud en mineops</t>
  </si>
  <si>
    <t>Se revisa el sistema, encontrándose todo normal, se carga el mapa donde los equipos tienen constante actualización en su posicionamiento, la descarga sumario estaba entregando datos actualizados, se abre el vnc de un equipo, sumamente rapido y anda fluido, al revisar el servidor, tampoco se encuentra ninguna anomalía, se concluye que es un problema de redes.</t>
  </si>
  <si>
    <t>01/15/2024  08:54</t>
  </si>
  <si>
    <t>01/15/2024  09:46</t>
  </si>
  <si>
    <t>00505075</t>
  </si>
  <si>
    <t>CNMS - C467 no asigna estados</t>
  </si>
  <si>
    <t>Se reinica el JAMS del servidor y deja de aparecer el error</t>
  </si>
  <si>
    <t>01/15/2024  11:36</t>
  </si>
  <si>
    <t>01/15/2024  16:50</t>
  </si>
  <si>
    <t>00505080</t>
  </si>
  <si>
    <t>AMCEN - Mineops pegado</t>
  </si>
  <si>
    <t>Se revisa el mineops, el cual esta trabajando correctamente, los equipos en el mapa se estan moviendo, hay acceso a los VNC, descarga sumario entrega datos actualizados, se revisa el servidor y esta todo en regla, no hay procesos pegados ,y el servidor tiene un load average estable.</t>
  </si>
  <si>
    <t>01/15/2024  11:14</t>
  </si>
  <si>
    <t>01/15/2024  11:22</t>
  </si>
  <si>
    <t>Alison</t>
  </si>
  <si>
    <t>00505166</t>
  </si>
  <si>
    <t>AMZAL-llama Freddie de sim Solictando apoyo por D11 que tiene pegada la pantalla</t>
  </si>
  <si>
    <t>se finaliza el pozo anterior , se reinicia y levanta normalmente. se confirma con operador en terreno</t>
  </si>
  <si>
    <t>01/15/2024  20:35</t>
  </si>
  <si>
    <t>01/15/2024  21:00</t>
  </si>
  <si>
    <t>Freddie Quispe SIM</t>
  </si>
  <si>
    <t>00505167</t>
  </si>
  <si>
    <t>CNRT-Luis cortes solicita apoyo para PE115</t>
  </si>
  <si>
    <t>se finaliza el pozo anterior , se reinicia y levanta normalmente.</t>
  </si>
  <si>
    <t>01/15/2024  21:13</t>
  </si>
  <si>
    <t>01/15/2024  21:40</t>
  </si>
  <si>
    <t>Luis Cortes Hexagon</t>
  </si>
  <si>
    <t>00505168</t>
  </si>
  <si>
    <t>AMCEN-Luis Rios  informa problema con C23 el cual no toma asignaciones</t>
  </si>
  <si>
    <t>el equipo tiene problemas con modulo vims , se deriva a personal de terreno.</t>
  </si>
  <si>
    <t>01/15/2024  21:26</t>
  </si>
  <si>
    <t>01/15/2024  22:00</t>
  </si>
  <si>
    <t>00505169</t>
  </si>
  <si>
    <t>AMZAL-llama Isaac de despacho indicando que tiene Mineops pegado.</t>
  </si>
  <si>
    <t>se reincia el jamsRouter y se eliminan procesos de importadores pegados.levanta normalmente el sistema.se continuara monitoreando</t>
  </si>
  <si>
    <t>01/15/2024  21:37</t>
  </si>
  <si>
    <t>Isaac despacho zaldivar</t>
  </si>
  <si>
    <t>00505170</t>
  </si>
  <si>
    <t>AMCEN-Luis Rios informa problema GPS con PA9</t>
  </si>
  <si>
    <t>se reinicia el equipo y levanta normalmente</t>
  </si>
  <si>
    <t>01/15/2024  23:00</t>
  </si>
  <si>
    <t>00505171</t>
  </si>
  <si>
    <t>AMCEN-Luis Rios informa problema con C156 que no registra la actividad cargando en pala</t>
  </si>
  <si>
    <t>se revisa el ciclo del equipo no encontrando ningún problema</t>
  </si>
  <si>
    <t>01/15/2024  22:30</t>
  </si>
  <si>
    <t>01/16/2024  00:00</t>
  </si>
  <si>
    <t>Luis  rios ACT</t>
  </si>
  <si>
    <t>00505176</t>
  </si>
  <si>
    <t>CHUQ-Miguel solicita apoyo para confirmación que el C151 queda operativo.</t>
  </si>
  <si>
    <t>se revisa el camión , tiene buena conexión y su VNC funcionando.se monitorea un ciclo completo</t>
  </si>
  <si>
    <t>01/15/2024  23:39</t>
  </si>
  <si>
    <t>01/16/2024  01:00</t>
  </si>
  <si>
    <t>00505178</t>
  </si>
  <si>
    <t>MLCC-Alejandro Larenas solicita sumarizacion del mes de enero.</t>
  </si>
  <si>
    <t>01/16/2024  00:24</t>
  </si>
  <si>
    <t>01/16/2024  02:24</t>
  </si>
  <si>
    <t>00505185</t>
  </si>
  <si>
    <t>AMCEN-Luis Rios informa problema GPS con CF232</t>
  </si>
  <si>
    <t>01/16/2024  01:20</t>
  </si>
  <si>
    <t>01/16/2024  02:20</t>
  </si>
  <si>
    <t>00505196</t>
  </si>
  <si>
    <t>AMCEN-Luis Rios informa problema GPS con C162</t>
  </si>
  <si>
    <t>01/16/2024  05:14</t>
  </si>
  <si>
    <t>01/16/2024  06:14</t>
  </si>
  <si>
    <t>00505205</t>
  </si>
  <si>
    <t>01/16/2024  08:07</t>
  </si>
  <si>
    <t>01/16/2024  19:07</t>
  </si>
  <si>
    <t>00505226</t>
  </si>
  <si>
    <t>AMZAL - RV: Información / CAEX H32</t>
  </si>
  <si>
    <t>Se ingresa el equipo nuevamente al sistema.</t>
  </si>
  <si>
    <t>01/16/2024  11:56</t>
  </si>
  <si>
    <t>01/16/2024  12:02</t>
  </si>
  <si>
    <t>00505231</t>
  </si>
  <si>
    <t>Monitoreo - CNTTE - Load average servidor secundario</t>
  </si>
  <si>
    <t>Se revisan los backups de la base de datos diarios, Daily, encontrando que tienen pesos inconsistentes lo cual lleva a creer que se corrompió algún archivo generando el problema de elevada carga de CPU. Es por esta razón que se realiza un backup de la base de datos y se vuelve a cargar desde el primario una instancia de base de datos limpia</t>
  </si>
  <si>
    <t>01/16/2024  12:28</t>
  </si>
  <si>
    <t>1/19/2024 11:22 AM</t>
  </si>
  <si>
    <t>00505281</t>
  </si>
  <si>
    <t>MLCC - Baja de cuentas Cesar Contreras</t>
  </si>
  <si>
    <t>No habia ningun usuario asociado a mineops ni jview</t>
  </si>
  <si>
    <t>01/16/2024  18:36</t>
  </si>
  <si>
    <t>01/16/2024  18:54</t>
  </si>
  <si>
    <t>00505283</t>
  </si>
  <si>
    <t>MLCC - Datos sin actualizar en las planillas</t>
  </si>
  <si>
    <t>Se reinicial los servicios  sql y al cabo de unos minutos se comienza a cargar la informacion, Alejando nos confirma que tiene ya informes actualizados</t>
  </si>
  <si>
    <t>01/16/2024  19:05</t>
  </si>
  <si>
    <t>01/16/2024  19:47</t>
  </si>
  <si>
    <t>00505306</t>
  </si>
  <si>
    <t>AMCEN-Luis Rios informa problema GPS con PE5,PE3 y PE44</t>
  </si>
  <si>
    <t>se reinician los equipos y levantan de buena manera</t>
  </si>
  <si>
    <t>01/16/2024  22:35</t>
  </si>
  <si>
    <t>01/16/2024  23:35</t>
  </si>
  <si>
    <t>00505330</t>
  </si>
  <si>
    <t>AMCEN-Luis Rios informa problema GPS con C131</t>
  </si>
  <si>
    <t>al momento de la revision el equipo se encontraba con buena señal GPS y de comunicación</t>
  </si>
  <si>
    <t>01/17/2024  04:09</t>
  </si>
  <si>
    <t>01/17/2024  05:09</t>
  </si>
  <si>
    <t>00505376</t>
  </si>
  <si>
    <t>AAM - Problema con ruta a destino</t>
  </si>
  <si>
    <t>Se cierra ticket ya que se asume que el problema era el mismo mencionado en el ticket 00505743 el cual ya se resolvió</t>
  </si>
  <si>
    <t>1/17/2024 7:44 AM</t>
  </si>
  <si>
    <t>1/23/2024 12:46 PM</t>
  </si>
  <si>
    <t>00505451</t>
  </si>
  <si>
    <t>AMCEN - Problema señal GPS CF231</t>
  </si>
  <si>
    <t>Equipo no presenta problemas en la señal de gps, se informa al usuario lo revisado. Se realizará un monitoreo para descartar cualquier inconveniente.</t>
  </si>
  <si>
    <t>1/17/2024 6:22 PM</t>
  </si>
  <si>
    <t>1/17/2024 8:50 PM</t>
  </si>
  <si>
    <t>Belen Castillo</t>
  </si>
  <si>
    <t>00505455</t>
  </si>
  <si>
    <t>Monitoreo - Datos de la Position desactualizados</t>
  </si>
  <si>
    <t>Se realiza la integración de los datos de posicionamiento y reinicio todos los servicios del sistema. En estos momentos, el sistema ya se encuentra con posicionamiento y alarmas actualizadas.</t>
  </si>
  <si>
    <t>1/17/2024 6:54 PM</t>
  </si>
  <si>
    <t>1/18/2024 2:37 AM</t>
  </si>
  <si>
    <t>00505456</t>
  </si>
  <si>
    <t>Se realiza la integración de los datos de posicionamiento y reinicio todos los servicios del sistema. En estos momentos, el sistema se encuentra actualizando datos de posicionamiento y alarmas desde el día 11/01.</t>
  </si>
  <si>
    <t>1/17/2024 6:57 PM</t>
  </si>
  <si>
    <t>1/18/2024 3:11 PM</t>
  </si>
  <si>
    <t>00505458</t>
  </si>
  <si>
    <t>AMCEN - Problema GPS pe53</t>
  </si>
  <si>
    <t>El equipo presentaba varios reinicios del JAMS de manera consecutiva, se procede a borrar la base de datos temporal y reiniciar el equipo. Después de estas acciones, el JAMS se mantuvo estable y el posicionamiento volvió a funcionar normalmente. Se continuará monitoreando el funcionamiento de la perforadora para descartar nuevamente el problema.</t>
  </si>
  <si>
    <t>1/17/2024 7:18 PM</t>
  </si>
  <si>
    <t>1/17/2024 8:52 PM</t>
  </si>
  <si>
    <t>00505461</t>
  </si>
  <si>
    <t>AMCEN - Problema GPS Caex 46</t>
  </si>
  <si>
    <t>Actualmente el equipo presenta inconvenientes de comunicación. Al parecer, hay problemas en el hardware, por lo que se hace necesario realizar una revisión en terreno para restablecer la comunicación. Se informa vía correo al usuario.</t>
  </si>
  <si>
    <t>1/17/2024 7:38 PM</t>
  </si>
  <si>
    <t>00505490</t>
  </si>
  <si>
    <t>AMCEN - Problema GPS PA9</t>
  </si>
  <si>
    <t>Se realiza reinicio del jspanel refrescar los cambios en el icono de la señal de red.</t>
  </si>
  <si>
    <t>1/17/2024 11:26 PM</t>
  </si>
  <si>
    <t>1/18/2024 12:39 AM</t>
  </si>
  <si>
    <t>00505511</t>
  </si>
  <si>
    <t>TECKQB - Web MineEnterprise caída</t>
  </si>
  <si>
    <t>Se reinician los servicios de sharperlight recuperando el funcionamiento y acceso a web Mine Enterprise.</t>
  </si>
  <si>
    <t>1/18/2024 4:26 AM</t>
  </si>
  <si>
    <t>1/18/2024 5:08 AM</t>
  </si>
  <si>
    <t>Patricio Orellana</t>
  </si>
  <si>
    <t>00505528</t>
  </si>
  <si>
    <t>MLCC - Reportes excel desactualizados</t>
  </si>
  <si>
    <t>Se reinician los servicios SQL en servidor 58 y 59 recuperando reportes actualizados.</t>
  </si>
  <si>
    <t>1/18/2024 7:31 AM</t>
  </si>
  <si>
    <t>1/18/2024 8:21 AM</t>
  </si>
  <si>
    <t>00505548</t>
  </si>
  <si>
    <t>MLCC - Planillas excel no tienen valores actualizados</t>
  </si>
  <si>
    <t>Se ejecuta query para eliminar el exceso de conexiones a la base de datos permitiendo que la replicación termine correctamente lo cual soluciona el problema de información desactualizada</t>
  </si>
  <si>
    <t>1/18/2024 10:30 AM</t>
  </si>
  <si>
    <t>1/18/2024 10:44 AM</t>
  </si>
  <si>
    <t>00505551</t>
  </si>
  <si>
    <t>CNN - Registro tiempo de viaje</t>
  </si>
  <si>
    <t>1/18/2024 10:51 AM</t>
  </si>
  <si>
    <t>00505552</t>
  </si>
  <si>
    <t>AMCEN - Alerta de espacio disco G: en servidor CENVMJVIEWPRO01</t>
  </si>
  <si>
    <t>Se eliminan el exceso de archivos backup debido a que no se reconoce el objetivo de guardar los mismos.</t>
  </si>
  <si>
    <t>1/18/2024 11:05 AM</t>
  </si>
  <si>
    <t>1/18/2024 3:16 PM</t>
  </si>
  <si>
    <t>00505594</t>
  </si>
  <si>
    <t>AMZAL - Reportes jview presentan diferencias</t>
  </si>
  <si>
    <t>Se realiza sumarización para ajustar datos los cuales quedan ok. Se valida con el usuario vía telefónica.</t>
  </si>
  <si>
    <t>1/18/2024 5:35 PM</t>
  </si>
  <si>
    <t>1/18/2024 8:32 PM</t>
  </si>
  <si>
    <t>Pablo Carmona de despacho</t>
  </si>
  <si>
    <t>00505600</t>
  </si>
  <si>
    <t>AMCEN - Problema GPS Caex 19</t>
  </si>
  <si>
    <t>Se realiza revisión del log no encontrando problemas, por lo que se realiza un borrado de la bd temporal y un reinicio del JAMS, con lo cual el equipo actualiza su posición y los indicadores de wifi y gps. Equipo se encuentra operado al 100.</t>
  </si>
  <si>
    <t>1/18/2024 6:32 PM</t>
  </si>
  <si>
    <t>1/18/2024 7:20 PM</t>
  </si>
  <si>
    <t>Belén Castillo</t>
  </si>
  <si>
    <t>00505601</t>
  </si>
  <si>
    <t>AMCEN - No se cargan archivos</t>
  </si>
  <si>
    <t>Se revisa importador de polígonos Hazard y este se encontraba encolado, por lo que se detiene el proceso y con esto se realiza la carga de los archivos que se encontraban pegados. Sr informa al usuario vía telefónica.</t>
  </si>
  <si>
    <t>1/18/2024 6:35 PM</t>
  </si>
  <si>
    <t>1/18/2024 7:17 PM</t>
  </si>
  <si>
    <t>Rodrigo Valladares de TICA</t>
  </si>
  <si>
    <t>00505628</t>
  </si>
  <si>
    <t>AMZAL - Equipos H34 y H36 presentan problemas de comunicación</t>
  </si>
  <si>
    <t>Al revisar el setup para los equipos con cibox, noté que el equipo H36 no estaba registrado. Por lo tanto, he realizado una nueva configuración para agregarlo. Actualmente, el nuevo setup se encuentra en la carpeta Pendrive con el equipo H36 agregado.</t>
  </si>
  <si>
    <t>1/18/2024 8:34 PM</t>
  </si>
  <si>
    <t>1/18/2024 10:59 PM</t>
  </si>
  <si>
    <t>00505665</t>
  </si>
  <si>
    <t>MLCC - Consulta información específica core</t>
  </si>
  <si>
    <t>Se comparte el comando para obtener el número de serie del core por pantalla, además de dejar un correo con registro y pasos de como realizar el proceso.</t>
  </si>
  <si>
    <t>1/19/2024 6:30 AM</t>
  </si>
  <si>
    <t>1/23/2024 6:11 AM</t>
  </si>
  <si>
    <t>Alexis Artigas Tres60</t>
  </si>
  <si>
    <t>00505667</t>
  </si>
  <si>
    <t>Se detecta archivo en carpeta Poligono_Diglimit subido a una hora que coincide con lo que el cliente informó. Se corre manualmente la carga del polígono y pasa sin problemas. Al revisar por procesos de importadores pegados no hay nada.</t>
  </si>
  <si>
    <t>1/19/2024 7:18 AM</t>
  </si>
  <si>
    <t>1/19/2024 8:56 AM</t>
  </si>
  <si>
    <t>00505721</t>
  </si>
  <si>
    <t>MLCC - destinos duplicados</t>
  </si>
  <si>
    <t>Se realiza revisión de los destinos DL_E3.5 y se encontraron varios datos duplicados por lo que se realiza un borrado y se deja un único destino para evitar problemas de asignación. Se avisa el usuario vía teléfonica.</t>
  </si>
  <si>
    <t>1/19/2024 5:13 PM</t>
  </si>
  <si>
    <t>1/19/2024 5:41 PM</t>
  </si>
  <si>
    <t>Karim Campos de despacho</t>
  </si>
  <si>
    <t>00505729</t>
  </si>
  <si>
    <t>AMZAL - Equipos H34 presenta problemas de comunicación</t>
  </si>
  <si>
    <t>Se realiza reinicio del JAMS para mejorar las comunicaciones del equipo, además de un borrado de las bd temporales. Equipo presenta problemas de hardware por lo que debe ser revisado en terreno.</t>
  </si>
  <si>
    <t>1/19/2024 5:44 PM</t>
  </si>
  <si>
    <t>1/19/2024 9:11 PM</t>
  </si>
  <si>
    <t>00505732</t>
  </si>
  <si>
    <t>AMCEN - Señal Caex 47</t>
  </si>
  <si>
    <t>Equipo se encuentra con operando con normalidad y las señales de red y de gps están en rangos normales de funcionamiento. Se realizo seguimiento en 1 ciclo completo y no mostro problemas de comunicación.</t>
  </si>
  <si>
    <t>1/19/2024 7:09 PM</t>
  </si>
  <si>
    <t>1/19/2024 7:41 PM</t>
  </si>
  <si>
    <t>00505743</t>
  </si>
  <si>
    <t>AAM - No está asignando de manera dinámica en zona botadero 1050</t>
  </si>
  <si>
    <t>Se revisa la situación con el cliente determinando que existía un problema con la V-57 la cual no permitía que se llegara a la mejor ruta programada y por esto se asignaban a otros destinos. Una vez cliente retocó parámetros de la baliza equipos quedan asignándose correctamente.</t>
  </si>
  <si>
    <t>1/20/2024 4:40 AM</t>
  </si>
  <si>
    <t>1/20/2024 9:39 AM</t>
  </si>
  <si>
    <t>00505747</t>
  </si>
  <si>
    <t>Se accede a directorio Poligono_Diglimit encontrando un archivo cargado a las 10:30 aprox que no ha sido cargado pasada mas de una hora, se revisan los logs de la ejecución automática del importador el cual se encontraba pegado a las 8 am. Al correr el importador de manera manual pasa sin problemas. Queda en investigación por que la ejecución automática no se ejecutó.</t>
  </si>
  <si>
    <t>1/20/2024 8:16 AM</t>
  </si>
  <si>
    <t>1/20/2024 9:34 AM</t>
  </si>
  <si>
    <t>00505757</t>
  </si>
  <si>
    <t>CNDMH - Reportes desactualizados</t>
  </si>
  <si>
    <t>Se reinician los servicios SQL recuperando la actualización de los reportes.</t>
  </si>
  <si>
    <t>1/20/2024 3:31 PM</t>
  </si>
  <si>
    <t>00505758</t>
  </si>
  <si>
    <t>CNRT - Jview se encuentra caído</t>
  </si>
  <si>
    <t>Servicios del sql en el servidor 27 se encontraban detenidos y ocasionaban el error de la página jview. Se realiza la activación de los servicios permitiendo recuperar la reportabilidad.</t>
  </si>
  <si>
    <t>1/20/2024 5:36 PM</t>
  </si>
  <si>
    <t>1/20/2024 9:10 PM</t>
  </si>
  <si>
    <t>00505763</t>
  </si>
  <si>
    <t>Monitoreo - Load average sobre 3</t>
  </si>
  <si>
    <t>Sistema de Monitoreo muestra niveles sobre 3 en el load average por lo que se realiza revisión del postgres para eliminar consultas pegadas. Se encontraron consultas del día 16/01 y se realiza la eliminación de estas permitiendo bajar la carga del procesador.</t>
  </si>
  <si>
    <t>1/20/2024 6:12 PM</t>
  </si>
  <si>
    <t>1/20/2024 9:08 PM</t>
  </si>
  <si>
    <t>00505775</t>
  </si>
  <si>
    <t>AMCEN - Problema GPS CF233</t>
  </si>
  <si>
    <t>Se realiza borrado de bd temporal junto a reinicio del equipo para permitir refrescar icono de GPS. Se informa vía correo al usuario.</t>
  </si>
  <si>
    <t>1/20/2024 10:38 PM</t>
  </si>
  <si>
    <t>1/20/2024 11:34 PM</t>
  </si>
  <si>
    <t>00505819</t>
  </si>
  <si>
    <t>MLCC - credenciales actualización de información</t>
  </si>
  <si>
    <t>Se envía correo con la información solicitada.</t>
  </si>
  <si>
    <t>1/21/2024 3:53 PM</t>
  </si>
  <si>
    <t>1/22/2024 2:55 AM</t>
  </si>
  <si>
    <t>Mesa De Ayuda Ti</t>
  </si>
  <si>
    <t>00505843</t>
  </si>
  <si>
    <t>CNRT - Pala 722 no muestra poligonos</t>
  </si>
  <si>
    <t>Daniel Pizarro informa que el problema se debía a una mala asignación, se informa a despacho para que se realice la corrección pertinente. Luego de la corrección equipo queda mostrando los polígonos correspondientes.</t>
  </si>
  <si>
    <t>1/21/2024 5:50 PM</t>
  </si>
  <si>
    <t>1/21/2024 8:15 PM</t>
  </si>
  <si>
    <t>00505848</t>
  </si>
  <si>
    <t>AMCEN - Señal GPS perforadoras</t>
  </si>
  <si>
    <t>Equipos ya se encuentran con sus GPS en estado fixed. Problema de posicionamiento se asocia a los niveles de centelleo presentados en el turno.</t>
  </si>
  <si>
    <t>1/21/2024 7:08 PM</t>
  </si>
  <si>
    <t>1/21/2024 11:54 PM</t>
  </si>
  <si>
    <t>00505867</t>
  </si>
  <si>
    <t>AMCEN - Problema GPS CF231</t>
  </si>
  <si>
    <t>Se realiza un reinicio del core para mejorar recepción de la señal GPS, luego de esto señal queda en estado fixed y operando con normalidad</t>
  </si>
  <si>
    <t>1/21/2024 11:45 PM</t>
  </si>
  <si>
    <t>1/21/2024 11:56 PM</t>
  </si>
  <si>
    <t>00505959</t>
  </si>
  <si>
    <t>MLCC - Se eliminan de descargas sumario al borrar bloques</t>
  </si>
  <si>
    <t>1/22/2024 12:33 PM</t>
  </si>
  <si>
    <t>00505991</t>
  </si>
  <si>
    <t>AMZAL - Equipo H34 con problemas</t>
  </si>
  <si>
    <t>1/22/2024 3:37 PM</t>
  </si>
  <si>
    <t>Ivonne Ibañez</t>
  </si>
  <si>
    <t>00506021</t>
  </si>
  <si>
    <t>MLCC - Identificación de usuario</t>
  </si>
  <si>
    <t>Se envía correo al usuario con la información solicitada.</t>
  </si>
  <si>
    <t>1/22/2024 5:18 PM</t>
  </si>
  <si>
    <t>1/22/2024 8:06 PM</t>
  </si>
  <si>
    <t>00506026</t>
  </si>
  <si>
    <t>AMCEN - Señal GPS CAEX 162</t>
  </si>
  <si>
    <t>Equipo se encontraba sin comunicaciones vía túnel por lo que se realiza conexión vía red de terreno pudiendo acceder al core. Una vez dentro del core se procede a borrar la bd temporal y reiniciar el equipo. Luego de esto el equipo trabaja con normalidad.</t>
  </si>
  <si>
    <t>1/22/2024 7:50 PM</t>
  </si>
  <si>
    <t>1/22/2024 10:28 PM</t>
  </si>
  <si>
    <t>00506030</t>
  </si>
  <si>
    <t>MLCC - Equipo L221</t>
  </si>
  <si>
    <t>Equipo presenta problemas de hardware, se realiza revisión y antena 1 no responde a las pruebas, se realiza reseteo de gps 1 pero se mantiene desconectada. Periférico debe ser revisado en terreno. Se llama a Karim Campos para informar.</t>
  </si>
  <si>
    <t>1/22/2024 9:40 PM</t>
  </si>
  <si>
    <t>00506042</t>
  </si>
  <si>
    <t>Mantoverde - Actualización de archivo Setup</t>
  </si>
  <si>
    <t>Se revisa si ya está creado el equipo en vista Device y Equipment, como ya está creado se procede con los últimos pasos de la creación del equipo, generar su llave propia, crear cliente, escribir llave y escribirlo en archivo "/etc/hosts". Finalmente se copia el archivo setup a carpeta "xfer/Pendrive" y se le pasa por correo igualmente.</t>
  </si>
  <si>
    <t>1/23/2024 4:40 AM</t>
  </si>
  <si>
    <t>1/23/2024 11:54 AM</t>
  </si>
  <si>
    <t>00506064</t>
  </si>
  <si>
    <t>Se reinician los servicios SQL del servidor .59 el cual alimenta la reportería en excel.</t>
  </si>
  <si>
    <t>1/23/2024 6:22 AM</t>
  </si>
  <si>
    <t>1/23/2024 7:37 AM</t>
  </si>
  <si>
    <t>00506142</t>
  </si>
  <si>
    <t>MLCC - Planillas excel sin datos actualizados desde las 15</t>
  </si>
  <si>
    <t>Se reinician los servicios SQL del servidor .58 y .59, además se ejecutó query para botar el exceso de conexiones a la base de datos.</t>
  </si>
  <si>
    <t>1/23/2024 1:28 PM</t>
  </si>
  <si>
    <t>1/23/2024 3:30 PM</t>
  </si>
  <si>
    <t>00506157</t>
  </si>
  <si>
    <t>AAM - Proyecto de equipo nuevo ROKO005</t>
  </si>
  <si>
    <t>Se genera el proyecto nuevo AuxEquipment con las actividades Moviendose - Trabajando - Completo, (Se tuvieron que crear las actividades Trabajando y Completo, Moviendose existía).</t>
  </si>
  <si>
    <t>1/23/2024 3:04 PM</t>
  </si>
  <si>
    <t>1/24/2024 2:43 AM</t>
  </si>
  <si>
    <t>00506190</t>
  </si>
  <si>
    <t>AMCEN - Problema GPS CF234</t>
  </si>
  <si>
    <t>Equipo no presenta problemas de GPS. Se informa al usuario que problema pasa por temas de comunicación para que pueda ver con personal de redes de la mina.</t>
  </si>
  <si>
    <t>1/23/2024 7:05 PM</t>
  </si>
  <si>
    <t>1/23/2024 10:03 PM</t>
  </si>
  <si>
    <t>00506194</t>
  </si>
  <si>
    <t>AMZAL - Reportabilidad desactualizada</t>
  </si>
  <si>
    <t>Reportes mostraban datos desactualizados, se realiza sumarización para cuadrar, luego del proceso de réplica los reportes se cuadran y muestran la información real.</t>
  </si>
  <si>
    <t>1/23/2024 7:38 PM</t>
  </si>
  <si>
    <t>1/23/2024 10:00 PM</t>
  </si>
  <si>
    <t>00506209</t>
  </si>
  <si>
    <t>Equipos se encuentran trabajando con sus de GPS en niveles normales, se realiza un monitoreo de cada uno de los equipos y no visualizan problemas en la señal. Solo equipo PE4 se encuentra sin comunicaciones, por lo que no se puede acceder al equipo vía remota. Se envía correo al usuario sobre lo revisado.</t>
  </si>
  <si>
    <t>1/24/2024 12:08 AM</t>
  </si>
  <si>
    <t>1/24/2024 2:13 AM</t>
  </si>
  <si>
    <t>00506304</t>
  </si>
  <si>
    <t>MLCC - Daniel Godoy - Sumarización enero</t>
  </si>
  <si>
    <t>1/24/2024 8:04 PM</t>
  </si>
  <si>
    <t>1/24/2024 11:23 PM</t>
  </si>
  <si>
    <t>00506315</t>
  </si>
  <si>
    <t>CNCHQ - no hay ping a la estación base</t>
  </si>
  <si>
    <t>Se revisa y si hay ping, ademas de ver las correcciones tanto en el servidor como en un equipo de alta</t>
  </si>
  <si>
    <t>1/24/2024 8:10 PM</t>
  </si>
  <si>
    <t>1/24/2024 9:17 PM</t>
  </si>
  <si>
    <t>00506365</t>
  </si>
  <si>
    <t>AMCEN - GPS C154 y C47</t>
  </si>
  <si>
    <t>Se reinician todos los equipos, recuperando los GPS y la pantalla del C12</t>
  </si>
  <si>
    <t>1/25/2024 7:07 PM</t>
  </si>
  <si>
    <t>1/25/2024 7:45 PM</t>
  </si>
  <si>
    <t>Francisco Arias</t>
  </si>
  <si>
    <t>00506367</t>
  </si>
  <si>
    <t>AMZAL - Datos no actualizados y pala n°4 no visualiza una dibujo</t>
  </si>
  <si>
    <t>1/25/2024 7:21 PM</t>
  </si>
  <si>
    <t>1/25/2024 8:44 PM</t>
  </si>
  <si>
    <t>00506490</t>
  </si>
  <si>
    <t>AMCEN - RE: GPS C36 y C47</t>
  </si>
  <si>
    <t>El C47 esta trabajando de forma correcta, en C36 no se tiene acceso se les indica reiniciar en terreno</t>
  </si>
  <si>
    <t>1/25/2024 10:34 PM</t>
  </si>
  <si>
    <t>1/25/2024 11:23 PM</t>
  </si>
  <si>
    <t>00506493</t>
  </si>
  <si>
    <t>CNRT - GPS C953</t>
  </si>
  <si>
    <t>El equipo no tenia conexion y la pala, estaba reconociendo el material trabajado correctamente</t>
  </si>
  <si>
    <t>1/26/2024 02:10 AM</t>
  </si>
  <si>
    <t>1/26/2024 03:20 AM</t>
  </si>
  <si>
    <t>00506501</t>
  </si>
  <si>
    <t>CNRT - C931 sin comunicacion</t>
  </si>
  <si>
    <t>No se logra acceder al equipo de ninguna manera, se le indica a Javier</t>
  </si>
  <si>
    <t>1/26/2024 06:39 AM</t>
  </si>
  <si>
    <t>1/26/2024 07:20 AM</t>
  </si>
  <si>
    <t>00506511</t>
  </si>
  <si>
    <t>CNDMH - Monitoreo - Prosesos sql pegados</t>
  </si>
  <si>
    <t>Después de matar los procesos y comentar la ejecución del "run". se comentaron las replicas que estan en el script y se fueron ejecutando una a una. funcionó en un principio pero despues de unos ciclos dejó de replicar y se encontró que el campo backup_at del servidor 58 estaba en null. Se modificó el campo con la fecha del dia y la replica comenzó a funcionar nuevamente.</t>
  </si>
  <si>
    <t>00506523</t>
  </si>
  <si>
    <t>AMANT- Monitoreo - Importador pegado</t>
  </si>
  <si>
    <t>Se matan los importadores, se monitorea y funciona con normalidad.</t>
  </si>
  <si>
    <t>00506561</t>
  </si>
  <si>
    <t>CNRT - C326 se ve gigante en el Mineops</t>
  </si>
  <si>
    <t>Se corrigen los datos del equipo, solo faltaba poner el ancho del camión, al estar en 0, se pone un valor por defecto elevado.</t>
  </si>
  <si>
    <t>1/26/2024 08:01 PM</t>
  </si>
  <si>
    <t>1/26/2024 08:25 PM</t>
  </si>
  <si>
    <t>00506572</t>
  </si>
  <si>
    <t>CNRT - Claudio Quiroz - Equipos desconectados</t>
  </si>
  <si>
    <t>Un archivo en la carpeta Poligono_Hazard estaba arrojando error de desbordamiento en el log del postgres. el nombre que le tienen es demasiado largo y el postgres acusaba un error cada vez que el importador trataba de procesarlo. Se da aviso a claudio y se mueve el archivo a una carpeta bkp dentro de Pligono_Hazard. Mientras se mataban los procesos y se detenia la ejecución del importador , confirmaron en terreno que los equipos volvieron.</t>
  </si>
  <si>
    <t>00506577</t>
  </si>
  <si>
    <t>AMZAL - Freddy - H45 mensaje en pantalla</t>
  </si>
  <si>
    <t>Se llama a fredy y se indica que es problema de comunicación con el core. Se indica que cambie los cables y en caso de seguir igual, haga lo mismo con el core. al cambiar la antena el equipo tiene ping y funciona correctamente.</t>
  </si>
  <si>
    <t>00506579</t>
  </si>
  <si>
    <t>Vuelve a ocurrir lo mismo que ayer. la replica al servidor 58 (de producción) se pega en la tabla shift_dumps. se comentan la replica al servidor 57 y al TIMining AON. una vez da una vuelta el script, se deja como estaba originalmente y vuelve a la normalidad. se monitorea el servidor 58 ya que ayer el campo backup_at se volvió null.</t>
  </si>
  <si>
    <t>00506584</t>
  </si>
  <si>
    <t>00506586</t>
  </si>
  <si>
    <t>MLCC - Sebastian- Modelo de bloque no pasa</t>
  </si>
  <si>
    <t>Se informó que el problema era por un archivo mal creado, al subirlo correctamente el archivo pasó sin problemas</t>
  </si>
  <si>
    <t>Carlos E. Contreras</t>
  </si>
  <si>
    <t>00506587</t>
  </si>
  <si>
    <t>CAPCNN - - Problemas CAEX01</t>
  </si>
  <si>
    <t>Estuve monitoreando el equipo y en la revisión de las antenas estaba todo en orden. Procedí a restaurar la base de datos con la información del mineop y hacer un reinicio del equipo. En el monitoreo se ve que la señal mejora y el problema no persiste.</t>
  </si>
  <si>
    <t>00506606</t>
  </si>
  <si>
    <t>CNDMH - Sin acceso a servidor secundario</t>
  </si>
  <si>
    <t>Se intenta entrar y efectivamente no hay comunicación, se le indica a Rodrigo que tendrá que ir a la sala de los servidores para ver si esta encendido el secundario</t>
  </si>
  <si>
    <t>00506649</t>
  </si>
  <si>
    <t>CNDMH - Intermitencia en el mineops</t>
  </si>
  <si>
    <t>Se le indica a Adrian que ya se habia informado sobre caidas de red en multiples sectores en DMH, quien nos indica que le hace sentido, porque el mapa se ve bien con los equipos en otros sectores, de todas formas se revisa el servidor, estando todo dentro de lo normal, y la descarga sumario nos esta entregando datos actualizados.</t>
  </si>
  <si>
    <t>Adrian</t>
  </si>
  <si>
    <t>00506651</t>
  </si>
  <si>
    <t>AMCEN - Polígono _Hazard no se actualiza</t>
  </si>
  <si>
    <t>Se revisa el importador, el cual da un error porque el nombre del archivo, es demasiado largo, se le indica a Sebastian el problema, vuelven a cargar los archivos con nombres mas cortos, y estos se suben sin ningun problema.</t>
  </si>
  <si>
    <t>Sebastian Muñoz</t>
  </si>
  <si>
    <t>00506652</t>
  </si>
  <si>
    <t>Mantoverde - Equipos pegados en cancha 10 y 12</t>
  </si>
  <si>
    <t>Se le pregunta si la situcion es general o solo en los sectores mencionados, a lo que nos dice que es solo en algunos sectores, se le comenta que lo mas probable es que sea señal, pero de todas formas se revisa el servidor, estando todo funcionando normalmente, la descarga sumario, tambien esta con datos actualizados.</t>
  </si>
  <si>
    <t>Carlos</t>
  </si>
  <si>
    <t>00506666</t>
  </si>
  <si>
    <t>AMCEN - Solicitud de revision CF233</t>
  </si>
  <si>
    <t>00506678</t>
  </si>
  <si>
    <t>AMCEN - Solicitud de revision de GPS de C38</t>
  </si>
  <si>
    <t>Se reinicia el equipo, pero el GPS sigue con problemas, se revisa el JAMS y el gps manda errores, se le indica a Juan que lo deben revisar en terreno.</t>
  </si>
  <si>
    <t>00506806</t>
  </si>
  <si>
    <t>MLCC - Reiniciar pala N°2</t>
  </si>
  <si>
    <t>Se reinicia el equipo segun lo solicitado.</t>
  </si>
  <si>
    <t>00506818</t>
  </si>
  <si>
    <t>AMZAL - T13 sin GPS</t>
  </si>
  <si>
    <t>Se revisa el equipo, el cual entrega cero señal en ambas antenas GPS, se reinicia el core y la pantalla, pero la situación se mantiene, se le indica a Alexis que el problema pareciera ser la antena, no se puede seguir trabajando con el equipo, porque al final lo dejaron fuera de servicio sin energía.</t>
  </si>
  <si>
    <t>00506823</t>
  </si>
  <si>
    <t>00506938</t>
  </si>
  <si>
    <t>AMANT - Sin acceso a ME</t>
  </si>
  <si>
    <t>Se reinician los servicios de sharperlight y de Hxgn para volver a tener acceso al ME.</t>
  </si>
  <si>
    <t>Maria</t>
  </si>
  <si>
    <t>00506940</t>
  </si>
  <si>
    <t>AMZAL - Resumarizar Enero desde el 01 al 27 2024</t>
  </si>
  <si>
    <t>00506947</t>
  </si>
  <si>
    <t>AMCEN - Solicitud de revision de PA2 no le figuran Caex</t>
  </si>
  <si>
    <t>Se revisa el equipo, el cual estaba cargando ya un camion, este aparecia tanto en su vnc, como en el menu del a pala, se le indica a Juan que todo se ve en orden, pero que la pala , tiene momentos de comunicacion lenta, no interrumpida, pero si con un MS bastante grande, lo cual afecta en los cambios de estado.</t>
  </si>
  <si>
    <t>00506952</t>
  </si>
  <si>
    <t>Salvador</t>
  </si>
  <si>
    <t>Codelco Salvador - GPS CAEX 101 - 111 - 122</t>
  </si>
  <si>
    <t>Se revisan los equipos, donde solo se tiene comunicacion con el C101 , el C111 y el C122 no tienen comunicacion con el servidor, se les indica que los deben reiniciar en terreno.</t>
  </si>
  <si>
    <t>00506954</t>
  </si>
  <si>
    <t>MLCC - Reinicio de Pala N°2</t>
  </si>
  <si>
    <t>Mauricio Despacho</t>
  </si>
  <si>
    <t>00506959</t>
  </si>
  <si>
    <t>MLCC - Sumarizacion de Enero</t>
  </si>
  <si>
    <t>00506993</t>
  </si>
  <si>
    <t>Mantoverde - Sumarización.</t>
  </si>
  <si>
    <t>Se realiza sumarización solicitada.</t>
  </si>
  <si>
    <t>1/31/2024 4:21 AM</t>
  </si>
  <si>
    <t>1/31/2024 5:14 AM</t>
  </si>
  <si>
    <t>00506995</t>
  </si>
  <si>
    <t>AMZAL -  Habilitación Lectura PLM en Caex CMZ</t>
  </si>
  <si>
    <t>Se realiza la desactivación del PLM en equipo H59 y se informa vía correo lo realizado.</t>
  </si>
  <si>
    <t>1/31/2024 4:50 AM</t>
  </si>
  <si>
    <t>1/31/2024 2:54 PM</t>
  </si>
  <si>
    <t>00507068</t>
  </si>
  <si>
    <t>MLCC - sumarizacion mes de enero</t>
  </si>
  <si>
    <t>Sumarización finaliza sin novedades. Se informa vía correo al usuario.</t>
  </si>
  <si>
    <t>1/31/2024 10:05 AM</t>
  </si>
  <si>
    <t>1/31/2024 1:02 PM</t>
  </si>
  <si>
    <t>00507078</t>
  </si>
  <si>
    <t>MLCC - perforadora 104</t>
  </si>
  <si>
    <t>Perfo presentaba problemas con sus GPS las cuales se encontraban con calidad 1. Se realiza el borrado de la bd interna y un reinicio del equipo, lo que permite recuperar el correcto funcionamiento de las antenas GPS. Equipo queda operativo.</t>
  </si>
  <si>
    <t>1/31/2024 11:19 AM</t>
  </si>
  <si>
    <t>1/31/2024 11:30 AM</t>
  </si>
  <si>
    <t>Alexis Artigas de tres60</t>
  </si>
  <si>
    <t>00507083</t>
  </si>
  <si>
    <t>AMZAL - Sumarización FC 01 al 27 de enero 2024</t>
  </si>
  <si>
    <t>Sumarización finalizada sin novedades.</t>
  </si>
  <si>
    <t>1/31/2024 11:52 AM</t>
  </si>
  <si>
    <t>Belen saez</t>
  </si>
  <si>
    <t>00507122</t>
  </si>
  <si>
    <t>MLCC - Solicita Baja de Servicios: YASNA MARGARITA ARAYA FRITIS</t>
  </si>
  <si>
    <t>Se informa al área ti de caserones que usuaria no contaba con cuenta de mineops. Se da por cerrado el requerimiento.</t>
  </si>
  <si>
    <t>1/31/2024 1:08 PM</t>
  </si>
  <si>
    <t>1/31/2024 2:52 PM</t>
  </si>
  <si>
    <t>00507218</t>
  </si>
  <si>
    <t>AMZAL - Reportes Jiview desactualizado</t>
  </si>
  <si>
    <t>Se comunica Eduardo Maturana y se le envía información de que la desactualización del jview fue informada por sumarización manual que estuvo durante todo el día desde las 15:45 aprox</t>
  </si>
  <si>
    <t>1/31/2024 3:47 PM</t>
  </si>
  <si>
    <t>1/31/2024 8:02 PM</t>
  </si>
  <si>
    <t>Eduardo Maturana</t>
  </si>
  <si>
    <t>00507228</t>
  </si>
  <si>
    <t>Finaliza sin problemas la sumarización.</t>
  </si>
  <si>
    <t>1/31/2024 4:17 PM</t>
  </si>
  <si>
    <t>1/31/2024 8:03 PM</t>
  </si>
  <si>
    <t>00507239</t>
  </si>
  <si>
    <t>AMCEN - Importador poligono hazard pegado</t>
  </si>
  <si>
    <t>Se revisan los archivos y se encuentra que uno de ellos tiene peso 0 (cero) por lo que probablemente este corrupto o dañado, al informar esto se vuelve a cargar el archivo, esta vez sin problemas, y pasa.</t>
  </si>
  <si>
    <t>1/31/2024 5:09 PM</t>
  </si>
  <si>
    <t>1/31/2024 5:40 PM</t>
  </si>
  <si>
    <t>Franciso Avalos</t>
  </si>
  <si>
    <t>00507244</t>
  </si>
  <si>
    <t>AMCEN - CF234 con problemas de gps</t>
  </si>
  <si>
    <t>Se revisan los sensores internos del equipo, los cuales tienen buenos niveles, se revisan las antenas y están recibiendo bien la señal gps, por lo que se procede a revisar evento de centelleo durante la noche y se encuentra que justo entre 21:30 y 23:00 hay, por lo que se atribuye a esto los problemas de señal en equipos de alta precisión y se informa al cliente.</t>
  </si>
  <si>
    <t>1/31/2024 6:46 PM</t>
  </si>
  <si>
    <t>00507247</t>
  </si>
  <si>
    <t>AMZAL - Aplicativo Mineops pegado</t>
  </si>
  <si>
    <t>Se asocian los problemas de lentitud del sistema con el término de la sumarización del mes, ya que se revisan logs de jams, procesos jams, carga del servidor y todo está en niveles normales.</t>
  </si>
  <si>
    <t>1/31/2024 5:58 PM</t>
  </si>
  <si>
    <t>1/31/2024 6:33 PM</t>
  </si>
  <si>
    <t>00507250</t>
  </si>
  <si>
    <t>AMCEN - Camión C159 con problemas de gps</t>
  </si>
  <si>
    <t>Se revisan los sensores internos del equipo y se encuentra con problemas el gps del equipo por lo que se recomienda la revisión en terreno.</t>
  </si>
  <si>
    <t>1/31/2024 6:34 PM</t>
  </si>
  <si>
    <t>1/31/2024 6:44 PM</t>
  </si>
  <si>
    <t>Adolfo Paez</t>
  </si>
  <si>
    <t>00507259</t>
  </si>
  <si>
    <t>AAM - Sumarización manual</t>
  </si>
  <si>
    <t>Se sumariza por partes, dejando una ventana de tiempo entre sumarizaciones, para replicar información y no dejar sin reportabilidad.</t>
  </si>
  <si>
    <t>1/31/2024 8:56 PM</t>
  </si>
  <si>
    <t>00507282</t>
  </si>
  <si>
    <t>AMCEN - Camión C38 con problemas de gps</t>
  </si>
  <si>
    <t>Al revisar el equipo se encuentra sin problemas, sensores en buen estado.</t>
  </si>
  <si>
    <t>00507283</t>
  </si>
  <si>
    <t>AMCEN - Perforadora PE53 sin sistema</t>
  </si>
  <si>
    <t>Se revisan sensores internos y la señal de las antenas gps y está todo correcto, el VNC se ve bien igualmente, como indican que el problema era de sistema se reinicia el equipo remotamente.</t>
  </si>
  <si>
    <t>00507284</t>
  </si>
  <si>
    <t>AMCEN - Perforadoras PE1 y PE5 con problemas de señal gps</t>
  </si>
  <si>
    <t>Al revisar ambos equipos se puede observar que los sensores y antenas se encuentran en buen estado. Adicionalmente en VNC de equipos se les ve operando normalmente</t>
  </si>
  <si>
    <t>00507307</t>
  </si>
  <si>
    <t>AMCEN - Camión C40 con problemas de asignación</t>
  </si>
  <si>
    <t>00507308</t>
  </si>
  <si>
    <t>AMCEN - Pala 9 con problemas de factor de carga</t>
  </si>
  <si>
    <t>Se deriva a personal en terreno.</t>
  </si>
  <si>
    <t>00507316</t>
  </si>
  <si>
    <t>SUMARIZACIÓN FINALIZA SIN NOVEDADES.</t>
  </si>
  <si>
    <t>00507371</t>
  </si>
  <si>
    <t>MLCC - No se carga Planes</t>
  </si>
  <si>
    <t>Planes se encontraban en espera de carga, ante esto se realiza la detención del importador y se realiza la carga de manera unitaria para agilizar la carga de los archivos.</t>
  </si>
  <si>
    <t>00507390</t>
  </si>
  <si>
    <t>AMZAL - Mineops presenta lentitud</t>
  </si>
  <si>
    <t>Revisión del log del servidor no muestran indicios de error que provoquen alguna interrupción de los servicios, posiblemente problema informado por el usuario se deba a interrupciones en la red de la mina. Se solicita validar con el personal de redes.</t>
  </si>
  <si>
    <t>00507391</t>
  </si>
  <si>
    <t>Marcelo Romero solicita detener la sumarización. Los servicios quedan trabajando con normalidad.</t>
  </si>
  <si>
    <t>00507453</t>
  </si>
  <si>
    <t>CNN - modificación plan mensual</t>
  </si>
  <si>
    <t>Se realiza la carga del plan anual y se valida que la información este actualizada de manera correcta en la bd y en el aplicativo. Se informa al cliente vía correo la finalización del trabajo.</t>
  </si>
  <si>
    <t>00507468</t>
  </si>
  <si>
    <t>AMZAL - GPS equipo T13</t>
  </si>
  <si>
    <t>Se realiza revisión del equipo el cual presentaba problemas en su antena de gps 2. Se realiza un borrado de su bd y un reinicio del equipo logrando recuperar la funcionalidad de la antena. Equipo se encuentra operativo.</t>
  </si>
  <si>
    <t>Alejandr Arce</t>
  </si>
  <si>
    <t>00507480</t>
  </si>
  <si>
    <t>CNCHUQ - Problemas con PA885</t>
  </si>
  <si>
    <t>Se comenta que el requerimiento solicitado no debe ser realizado por soporte remoto por lo que deberán esperar a ingeniero on site para resolver.</t>
  </si>
  <si>
    <t>00507489</t>
  </si>
  <si>
    <t>AMCEN - Camión C58 con problemas de gps</t>
  </si>
  <si>
    <t>Se revisa el equipo y se encuentran los sensores con diferencia de posicionamiento, se realiza un reinicio remoto y se recupera el correcto funcionamiento.</t>
  </si>
  <si>
    <t>00507491</t>
  </si>
  <si>
    <t>AMCEN - Camión C54 con problemas de gps</t>
  </si>
  <si>
    <t>Se revisa el equipo y se encuentra todo funcionando óptimamente, se comenta al cliente que puede haber perdido señal un momento y por eso no mostró su ubicación real.</t>
  </si>
  <si>
    <t>00507502</t>
  </si>
  <si>
    <t>CNCHUQ - Mejor camino para PA230 eliminado</t>
  </si>
  <si>
    <t>Se informa a despachador que el motivo de que se elimine el mejor camino de vista LP es debido a que no es factible físicamente el camino, por lo que deberá revisar cuidadosamente que parámetros le asigna a las vías.</t>
  </si>
  <si>
    <t>Miguel Mariño</t>
  </si>
  <si>
    <t>00507507</t>
  </si>
  <si>
    <t>Monitoreo - CNDMH - SQL Server encolado</t>
  </si>
  <si>
    <t>Se reinician los servicios sql en el servidor.</t>
  </si>
  <si>
    <t>00507511</t>
  </si>
  <si>
    <t>AMCEN - Camión C156 no hace match con pala al cargar</t>
  </si>
  <si>
    <t>Se monitorean vueltas del equipo y se determina que está asignando correctamente con el equipo de carguío, se le comenta al cliente que la situación que reportaron fue particular por falta de señal gps en el momento.</t>
  </si>
  <si>
    <t>00507512</t>
  </si>
  <si>
    <t>MLCC - Cargador frontal CF221 sin comunicación pero con ping</t>
  </si>
  <si>
    <t>Se intenta reparar el estado del gps con reinicios remotos, borrado de base de datos interna pero no funciona por lo que se deriva a reparación en terreno.</t>
  </si>
  <si>
    <t>00507523</t>
  </si>
  <si>
    <t>AMCEN - Camión C07 no muestra bien valor de tonelaje</t>
  </si>
  <si>
    <t>Se monitorea el equipo y efectivamente no está mostrando información de sus sensores de tonelaje, se elimina la base de datos interna y se reinicia el equipo pero esto no soluciona el problema por lo que se deriva a revisión en terreno por posible sensor defectuoso.</t>
  </si>
  <si>
    <t>00507525</t>
  </si>
  <si>
    <t>AMCEN - Perforadora PE53 con problemas</t>
  </si>
  <si>
    <t>Se intenta acceder al JAMS del equipo para monitorear y se cae pasados unos segundos, se procede a revisar los logs del JAMS y muestra que no está pudiendo levantar e intenta cada pocos segundos levantar nuevamente el sistema. Se realiza un borrado de la base de datos interna del equipo y se reinicia recuperando así el funcionamiento correcto del equipo</t>
  </si>
  <si>
    <t>00507604</t>
  </si>
  <si>
    <t>AMZAL - Sumarización FC 28 al 31 de enero 2024</t>
  </si>
  <si>
    <t>Sumarizacion finalizada sin novedades, se informa vía correo al usuario el fin del proceso.</t>
  </si>
  <si>
    <t>00507605</t>
  </si>
  <si>
    <t>CNN - Cambios Enero F/C</t>
  </si>
  <si>
    <t>Se realiza el cambio del F/C del mes de enero y sumarización, se realiza la carga del F/C del mes de febrero con los datos entregados por el cliente. Se informa vía correo lo realizado.</t>
  </si>
  <si>
    <t>00507607</t>
  </si>
  <si>
    <t>MLCC - Duplicidad de destinos</t>
  </si>
  <si>
    <t>Se revisa los destinos y efectivamente existen 6 destinos duplicados, por lo que se realiza el borrado de los datos y se deja solo 1 destino con los materiales necesarios. Se llama al cliente para informar lo realizado.</t>
  </si>
  <si>
    <t>00507625</t>
  </si>
  <si>
    <t>AMZAL - Instalación JIGSAW | Área Seca</t>
  </si>
  <si>
    <t>Se informa al cliente vía correo que perfil solicitado ya se encuentra creado, se da por finalizado el requerimiento.</t>
  </si>
  <si>
    <t>00507627</t>
  </si>
  <si>
    <t>AMZAL - Diferencias con el factor de carga</t>
  </si>
  <si>
    <t>Revisión no arroja diferencias en los factores de carga del mes de enero, se realiza revisión de las bases de datos (postgres y sql) y los registros son los mismo que aparecen cargados en el mineops. Se envía correo con imágenes de lo revisado.</t>
  </si>
  <si>
    <t>00507636</t>
  </si>
  <si>
    <t>AMZAL - Sumarización día 10/01</t>
  </si>
  <si>
    <t>Se realiza la sumarización sin novedades.</t>
  </si>
  <si>
    <t>00507653</t>
  </si>
  <si>
    <t>AMCEN - Pala PA9 se le reinicia la pantalla</t>
  </si>
  <si>
    <t>Se re realiza un reinicio de la base de datos interna y del computador interno del sistema, luego se mantiene monitoreo y funciona sin problemas.</t>
  </si>
  <si>
    <t>00507658</t>
  </si>
  <si>
    <t>AMCEN - Perforadora PE6 con problemas de gps</t>
  </si>
  <si>
    <t>Se revisa el equipo y los sensores se encuentran floating, se realiza un reseteo remoto de la base de datos interna del equipo y se logra recuperar por un momento el estado fixed, sin embargo, manteniendo monitoreo se ve que fluctua entre fixed y floating por lo que se revisa actividad de centelleo encontrando que esta madrugada habrá evento de centelleo hasta las 03:00 aproximadamente y se informa de esto al cliente.</t>
  </si>
  <si>
    <t>00507659</t>
  </si>
  <si>
    <t>AMCEN - CF233 con problemas en jspanel</t>
  </si>
  <si>
    <t>Se le elimina la base de datos interna al equipo y se realiza un reinicio recuperando el correcto funcionamiento.</t>
  </si>
  <si>
    <t>00507672</t>
  </si>
  <si>
    <t>AMCEN - Camión C47 con problemas de gps</t>
  </si>
  <si>
    <t>Se mantiene monitoreo al equipo debido a problemas de conexión para realizar acciones, pasado un par de horas se pudo acceder al equipo y realizar una eliminación de la base de datos interno y reinicio remoto recuperando el posicionamiento correcto en sistema.</t>
  </si>
  <si>
    <t>00507673</t>
  </si>
  <si>
    <t>AMCEN - Camión C152 se queda pegado en sistema</t>
  </si>
  <si>
    <t>Se realiza un reinicio remoto recuperando el posicionamiento en mapa.</t>
  </si>
  <si>
    <t>00507674</t>
  </si>
  <si>
    <t>AMCEN - Camión C58 se queda pegado en sistema</t>
  </si>
  <si>
    <t>Se revisa casi en el momento que fue informado el problema y se encuentra el camión operando sin problemas.</t>
  </si>
  <si>
    <t>00507679</t>
  </si>
  <si>
    <t>Monitoreo - CNDMH - Procesos SQL Server encolados</t>
  </si>
  <si>
    <t>Se reinician los servicios SQL Server en el servidor y se mantiene monitoreo.</t>
  </si>
  <si>
    <t>00507682</t>
  </si>
  <si>
    <t>00507689</t>
  </si>
  <si>
    <t>MLCC - importador no carga archivos</t>
  </si>
  <si>
    <t>Se realiza la detención de los procesos del importador con problemas, luego los archivos fueron cargados sin problemas.</t>
  </si>
  <si>
    <t>Ricardo Ramirez</t>
  </si>
  <si>
    <t>00507697</t>
  </si>
  <si>
    <t>MLCC - Sumarizar enero 2024 por proceso de cierre de mes</t>
  </si>
  <si>
    <t>Se realiza sumarización la cual finaliza sin novedades. Se informa al cliente vía correo.</t>
  </si>
  <si>
    <t>00507714</t>
  </si>
  <si>
    <t>AMCEN - Camión C60 pegado en sistema</t>
  </si>
  <si>
    <t>Se realiza un reinicio al equipo recuperando así la correcta visualización en mapa mina</t>
  </si>
  <si>
    <t>00507716</t>
  </si>
  <si>
    <t>AMCEN - Perforadora PE8 con problemas de gps</t>
  </si>
  <si>
    <t>Se revisa el equipo y se encuentran sensores en floating, se realiza un reinicio remoto recuperando el funcionamiento del equipo.</t>
  </si>
  <si>
    <t>00507717</t>
  </si>
  <si>
    <t>AMCEN - Camión C08 muestra ubicación incorrecta</t>
  </si>
  <si>
    <t>Se revisa el equipo y se encuentra todo operativo, se informa al cliente que debió perder comunicación por unos momentos provocando la perdida de ubicación</t>
  </si>
  <si>
    <t>00507718</t>
  </si>
  <si>
    <t>AMCEN - Camión C61 con problemas de gps</t>
  </si>
  <si>
    <t>Al momento de realizar monitoreo se encuentra el equipo operando sin problemas por lo que se informa al cliente.</t>
  </si>
  <si>
    <t>00507719</t>
  </si>
  <si>
    <t>AMCEN - Camión C38 con problemas de asignación</t>
  </si>
  <si>
    <t>Como el equipo fue a colación y se cortó la chapa al volver a operar levantó sin problemas</t>
  </si>
  <si>
    <t>00507721</t>
  </si>
  <si>
    <t>AMCEN - CF233 no está en mapa</t>
  </si>
  <si>
    <t>Debido a la aclaración de que los problemas eran generalizados en fase 8 se determina que fue un problema global de la zona, debido a que posteriormente se monitoreó el frontal y contaba con buena calidad de gps pero muy pocos satélites conectados.</t>
  </si>
  <si>
    <t>Camila Contreras</t>
  </si>
  <si>
    <t>00507722</t>
  </si>
  <si>
    <t>CNDMH - Sin reportes actualizados Jview</t>
  </si>
  <si>
    <t>Al acceder al servidor se encuentran los servicios de SQL Server y el agente SQL detenidos por lo que se vuelven a levantar</t>
  </si>
  <si>
    <t>00507726</t>
  </si>
  <si>
    <t>AMCEN - Camión C58 pegado en sistema</t>
  </si>
  <si>
    <t>Se intenta revisar el equipo pero no es posible realizar una conexión de manera remota por lo que se deriva a revisión en terreno.</t>
  </si>
  <si>
    <t>00507727</t>
  </si>
  <si>
    <t>AMCEN - CAEX 23 no está comunicando</t>
  </si>
  <si>
    <t>Se revisa el equipo y se encuentra con sus sensores en buen estado, se le realiza un reinicio remoto y se recupera la comunicación con el equipo.</t>
  </si>
  <si>
    <t>00507728</t>
  </si>
  <si>
    <t>AMCEN - Camión C15 funciona lento en general sistema</t>
  </si>
  <si>
    <t>Se revisan los sensores del equipo y se encuentran en buen estado, se procede a revisar la conexión de red del equipo observando que es muy alta en ms por lo que se informa al cliente que es debido a la red que el sistema general funciona lento.</t>
  </si>
  <si>
    <t>00507732</t>
  </si>
  <si>
    <t>AMZAL - Inconsistencia Jview</t>
  </si>
  <si>
    <t>00507735</t>
  </si>
  <si>
    <t>AMZAL - Reporte Exceso de velocidad Zaldivar se ejecutó a las 03/02/2024 7:30:02</t>
  </si>
  <si>
    <t>Reporte de velocidad se encuentra operativo en jview, se envía correo informando.</t>
  </si>
  <si>
    <t>00507737</t>
  </si>
  <si>
    <t>AMZAL - Error en la información plan diario por turno. Jview-hexagon</t>
  </si>
  <si>
    <t>Se realizan los ajustes solicitando por el cliente y se informa para su revisión quien da el ok por lo que se da por finalizado el requerimiento.</t>
  </si>
  <si>
    <t>00507738</t>
  </si>
  <si>
    <t>MLCC - Revisar estado de GPS L221</t>
  </si>
  <si>
    <t>Se revisa equipo y este no presenta problemas con los gps. Equipo se encuentra trabajando con normalidad.</t>
  </si>
  <si>
    <t>00507752</t>
  </si>
  <si>
    <t>MLCC - Sumarizar Enero 2024 por proceso de cierre de mes</t>
  </si>
  <si>
    <t>Sumarización finalizada sin novedades. Se informa vía telefónica al cliente.</t>
  </si>
  <si>
    <t>00507781</t>
  </si>
  <si>
    <t>CNRT - Lentitud general en sistema mineops</t>
  </si>
  <si>
    <t>Se mantiene un monitoreo continuo del servidor donde no se encuentra ninguna razón demasiado obvia que esté provocando la lentitud, se observa que el antivirus genera gran carga para la cpu del servidor sin embargo no debería afectar tanto. Finalmente se encuentran demasiados cambios en tablas consultando a change_logs lo que estuvo generando mucha carga en el sumarizador provocando la lentitud del sistema</t>
  </si>
  <si>
    <t>00507795</t>
  </si>
  <si>
    <t>AMCEN - CF234 no funciona pantalla</t>
  </si>
  <si>
    <t>El equipo se fue a colación por lo que le cortaron chapa y cuando volvieron a energizarlo levantó sin problemas.</t>
  </si>
  <si>
    <t>00507796</t>
  </si>
  <si>
    <t>AMCEN - Perforadora 4 con problemas de gps</t>
  </si>
  <si>
    <t>Se revisa el equipo y se encuentran los sensores en buen estado y en VNC se puede ver operando correctamente.</t>
  </si>
  <si>
    <t>00507797</t>
  </si>
  <si>
    <t>AMCEN - Camión 155 pegado en sistema</t>
  </si>
  <si>
    <t>Se revisa el equipo y se encuentran los sensores en buen estado, equipo operando sin problemas mostrando ubicación correcta</t>
  </si>
  <si>
    <t>00507798</t>
  </si>
  <si>
    <t>Al revisar la pala se encuentran los sensores con calidad 3 y 10 o menos conexión con satélites, se revisa por el centelleo y se atribuye a esto los problemas de señal. Se informa al cliente</t>
  </si>
  <si>
    <t>00507799</t>
  </si>
  <si>
    <t>AMCEN - Perforadora 51 con problemas de señal</t>
  </si>
  <si>
    <t>Se revisa el equipo y es posible monitorearlo por VNC sin problemas a pesar de tener sensores en floating debido a centelleo</t>
  </si>
  <si>
    <t>00507812</t>
  </si>
  <si>
    <t>AMCEN - C40 no muestra ubicación real</t>
  </si>
  <si>
    <t>Se intenta revisar el equipo pero no es posible debido a problemas de comunicación. Se informa a cliente</t>
  </si>
  <si>
    <t>00507813</t>
  </si>
  <si>
    <t>AMCEN - Camión C09 no muestra el tonelaje correcto</t>
  </si>
  <si>
    <t>Se le realiza monitoreo al equipo y se observa el sensor de tonelaje funcionando correctamente y replicando la información sin problemas a mineops</t>
  </si>
  <si>
    <t>00507814</t>
  </si>
  <si>
    <t>AMCEN - Perforadora 50 con problemas de gps</t>
  </si>
  <si>
    <t>Se intenta revisar el equipo pero se encuentra sin comunicación por lo que no es posible acceder a el de manera remota. Se informa al cliente que el equipo está en movimiento por lo que es posible que por esto haya perdido comunicación y se mantendrá monitoreo</t>
  </si>
  <si>
    <t>00507888</t>
  </si>
  <si>
    <t>Mantoverde - Actualizar archivo Setup</t>
  </si>
  <si>
    <t>Se agrega nuevo equipo en carpeta setup y se deja el archivo actualizado en carpeta Pendrive.</t>
  </si>
  <si>
    <t>00507977</t>
  </si>
  <si>
    <t>AMCEN - PA3 revisar pesómetro</t>
  </si>
  <si>
    <t>Se revisa equipo y están todos los sensores funcionando correctamente, igualmente se realiza monitoreo y funcionan bien las actividades. por otro lado se comenta que palas no son las que marcan el tonelaje si no que son los camiones.</t>
  </si>
  <si>
    <t>00507978</t>
  </si>
  <si>
    <t>AMCEN - Revisar pesómetro en Pala 9</t>
  </si>
  <si>
    <t>Se realiza un checkeo de los sensores encontrando todo en buen estado, adicionalmente se monitorean múltiples cargas de camiones y se confirma que está trabajando de manera correcta.</t>
  </si>
  <si>
    <t>00507983</t>
  </si>
  <si>
    <t>AMZAL - Suma Horas Caex Mina</t>
  </si>
  <si>
    <t>00507996</t>
  </si>
  <si>
    <t>AMCEN - Equipos no se asignan automáticamente a petroleras</t>
  </si>
  <si>
    <t>Se explica como funciona cola de petroleras ya que probablemente mal uso de esta función esté provocando problemas con la asignación a las mismas</t>
  </si>
  <si>
    <t>AMCEN - CF232 con problemas de GPS</t>
  </si>
  <si>
    <t>Se revisa el equipo y se encuentran sensores en estado floating, se asocia a eventos de centelleo interfiriendo con la calidad de señal recibida por satélites y por otro lado tormentas solares.</t>
  </si>
  <si>
    <t>00508000</t>
  </si>
  <si>
    <t>AMCEN - Camión 42 con problemas de gps</t>
  </si>
  <si>
    <t>Se le realiza un reinicio remoto al equipo recuperando su posicionamiento de manera actualizada</t>
  </si>
  <si>
    <t>00508026</t>
  </si>
  <si>
    <t>CNN - conciliación Mina / Mantenimiento - Resumarización jigsaw</t>
  </si>
  <si>
    <t>Sumarización finalizada, se informa vía correo al cliente.</t>
  </si>
  <si>
    <t>00508088</t>
  </si>
  <si>
    <t>CNRI - Revisar mineops</t>
  </si>
  <si>
    <t>Se revisan sistemas y están procesos JAMS arriba de manera normal, se verifica el túnel para equipos de campo, se verifica acceso al aplicativo, se verifica acceso a JAMS del servidor, todo esto OK, por lo que se levanta a equipo de redes</t>
  </si>
  <si>
    <t>00508089</t>
  </si>
  <si>
    <t>CNDMH - Revisión de mineops</t>
  </si>
  <si>
    <t>Se revisa estado de los procesos JAMS en servidor primario y secundario encontrando todo normal, se verifica acceso al aplicativo y está ok, se verifican equipos conectados y se ven menos de lo que normalmente hay, pero es debido a un código/estado Reserva FUERZA MAYOR</t>
  </si>
  <si>
    <t>Maximiliano Montenegro</t>
  </si>
  <si>
    <t>00508091</t>
  </si>
  <si>
    <t>AMCEN - Pala 1 con problemas de gps</t>
  </si>
  <si>
    <t>Existe la misma condición que con CF232, debido a centelleo y tormentas solares está interrumpida la conexión con satélites no llegando a lo mínimo que se debe tener para un correcto funcionamiento de antenas gps</t>
  </si>
  <si>
    <t>00508092</t>
  </si>
  <si>
    <t>CNCHUQ - No funciona aplicativo mineops</t>
  </si>
  <si>
    <t>Al parecer ocurrió lo mismo que hace par de días en turno día. Específicamente cambio de las baterías o UPS de estado StandBy (Siempre generando energía) a estado abajo o en uso, por lo que se consumió toda la batería y llegó a niveles críticos, pero nunca se cayó. Luego de este incidente se mantuvo normal el servidor.</t>
  </si>
  <si>
    <t>00508109</t>
  </si>
  <si>
    <t>AMZAL - perforadora D15 con problemas de gps</t>
  </si>
  <si>
    <t>Se confirma que efectivamente el problema con los gps de la perforadora es debido a tormentas solares y/o actividad de centelleo durante la noche.</t>
  </si>
  <si>
    <t>00508111</t>
  </si>
  <si>
    <t>MLCC - Perforadoras con problemas de gps</t>
  </si>
  <si>
    <t>Como ya estaba el dato con Centinela y Zaldivar, se comenta exactamente lo mismo, que debido a tormentas solares y/o centelleo se ven afectadas las transmisiones de señal gps afectando principalmente a equipos de alta precisión.</t>
  </si>
  <si>
    <t>00508112</t>
  </si>
  <si>
    <t>AMCEN - PE3 con problemas de gps</t>
  </si>
  <si>
    <t>Equipo no contaba con comunicación por lo que no se puede revisar remotamente. Se informa de esto al cliente y se avisa que es por la comunicación que está fallando el gps por lo que cuando se normalice debería funcionar normal</t>
  </si>
  <si>
    <t>00508122</t>
  </si>
  <si>
    <t>CNN - Apagado de servidores 10:00 am - 10:30 am</t>
  </si>
  <si>
    <t>Se revisa que el servidor secundario este como Backup y se programa su apagado para las 9:54 , el servidor principal , se programa su apagado para las 9:55 a la espera que vuelvan a prender los servidores para poder realizar las revisiones correspondientes.
Al volver la conexion, se revisa que los equipos esten conectados, que la sumarizacion se complete, que se repliquen bien los datos, que mineops tenga datos actualizados, que jview tenga datos actualizados, estando todo funcionado de forma norma.</t>
  </si>
  <si>
    <t>00508131</t>
  </si>
  <si>
    <t>Monitoreo - CNDMH - Procesos sql pegados</t>
  </si>
  <si>
    <t>Se eliminan las consultas pegadas , revisando que no se vuelvan a encolar.</t>
  </si>
  <si>
    <t>00508156</t>
  </si>
  <si>
    <t>Monitoreo - CNRT - Monitoreo de servidores</t>
  </si>
  <si>
    <t>00508241</t>
  </si>
  <si>
    <t>CNN - Sumarizar Enero</t>
  </si>
  <si>
    <t>00508299</t>
  </si>
  <si>
    <t>AMCEN-Juan Ortuño informa problema GPS con CF2</t>
  </si>
  <si>
    <t>al momento de la revisión el equipo se encontraba mostrando buena cobertura y GPS</t>
  </si>
  <si>
    <t>00508300</t>
  </si>
  <si>
    <t>AMCEN-Juan Ortuño informa WD2 sin sistema</t>
  </si>
  <si>
    <t>El equipo presenta falla de hardware se deriva a personal de terreno</t>
  </si>
  <si>
    <t>00508301</t>
  </si>
  <si>
    <t>AMCEN-Juan Ortuño informa problema de señal con PE1</t>
  </si>
  <si>
    <t>00508305</t>
  </si>
  <si>
    <t>AMCEN-Juan Ortuño informa problema de señal con PE8</t>
  </si>
  <si>
    <t>00508310</t>
  </si>
  <si>
    <t>AAM-MArcelo solicita Sumarizacion parcializada</t>
  </si>
  <si>
    <t>00508313</t>
  </si>
  <si>
    <t>CNCHQ-Miguel solicita asistencia por que camion C449 marca incorrecto el combustible ya que solicita llenarlo y ya fue cargado.</t>
  </si>
  <si>
    <t>Se revisa el equipo y tiene asignado la capacidad del estanque de combustible , se sigue investigando y en los estados no aparece que el camión haya tenido una demora por abastecimiento de combustible, no así en en la pestaña de combustible donde sale que se le realizo una carga,se le informa a miguel para que hable con el despachador y agregar ese estado faltante.</t>
  </si>
  <si>
    <t>00508327</t>
  </si>
  <si>
    <t>AMZAL-Freddie de Sim Solicita asistencia para S04</t>
  </si>
  <si>
    <t>se reinicia el core del equipo quedando operativo.</t>
  </si>
  <si>
    <t>Freddie de Sim</t>
  </si>
  <si>
    <t>00508328</t>
  </si>
  <si>
    <t>AMZAL-Freddie de Sim Solicita asistencia ya que los camiones al salir de cualquier pala se van a reserva</t>
  </si>
  <si>
    <t>00508337</t>
  </si>
  <si>
    <t>AMCEN-Juan Ortuño informa problema de señal GPS con CF233</t>
  </si>
  <si>
    <t>se reinicia el equipo y queda opeartivo</t>
  </si>
  <si>
    <t>00508364</t>
  </si>
  <si>
    <t>AMZAL - Perfil de usuario nuevo</t>
  </si>
  <si>
    <t>Se crea un nuevo perfil y se le envia una foto de ejemplo a Miguel , esperando una respuesta para ver si es lo que requiere o no.</t>
  </si>
  <si>
    <t>00508390</t>
  </si>
  <si>
    <t>AMZAL - Latereason y Perfil Planta. 2 Requerimiento CMZ</t>
  </si>
  <si>
    <t>Se le indica a Miguel que se estudiara su requerimiento</t>
  </si>
  <si>
    <t>00508409</t>
  </si>
  <si>
    <t>AMZAL - Sacar perforadora D17 de JMineOP</t>
  </si>
  <si>
    <t>se realiza la solicitud</t>
  </si>
  <si>
    <t>00508421</t>
  </si>
  <si>
    <t>AMZAL - Reportes Perforación JView ( Varios) en carpeta GPO no están cuadrando</t>
  </si>
  <si>
    <t>Se estan revisando los informes, pero la data se encuentra bien, al hacer una consulta mas extensa, no solo de 1 dia, el sistema muestra la misma informacion</t>
  </si>
  <si>
    <t>00508453</t>
  </si>
  <si>
    <t>AAM - Mantoverde - Sumarizacion 31-12-2023 - 31-01-2024</t>
  </si>
  <si>
    <t>Se realiza la sumarizacion solicitada en partes.</t>
  </si>
  <si>
    <t>00508458</t>
  </si>
  <si>
    <t>CNN - CAEX03 no cambia las actividades</t>
  </si>
  <si>
    <t>Se le hace seguimiento al equipo, el cual presenta constantes perdidas de paquetes , se compara con otros equipos y también presentan el mismo problema , se le devuelve el llamado a Alberto, explicando lo que se descubrió y que es un problema de red.</t>
  </si>
  <si>
    <t>Alberto despacho</t>
  </si>
  <si>
    <t>00508474</t>
  </si>
  <si>
    <t>AMZAL - Sumarizacion Enero</t>
  </si>
  <si>
    <t>Sebastian Alonso</t>
  </si>
  <si>
    <t>00508490</t>
  </si>
  <si>
    <t>CNCHQ-Miguel solicita ayuda ya que le informa que del gio tiene problemas para ingresar al Jview</t>
  </si>
  <si>
    <t>se reinicia el IIS, quedando operativo, se avisa a miguel para la confirmación.</t>
  </si>
  <si>
    <t>00508493</t>
  </si>
  <si>
    <t>AMCEN-Juan Ortuño informa problema de señal GPS con PE53</t>
  </si>
  <si>
    <t>00508494</t>
  </si>
  <si>
    <t>AMANT-Alejandro de despacho indica que el reporte KPI operaciones mina solo aparece la barra del tonelaje.</t>
  </si>
  <si>
    <t>el problema era que el sumarizador tiraba un error desde el turno día ya que existían valores duplicados en la shift_loggins por lo cual no terminaba correctamente, una vez eliminados los registros el sumarizador trabaja de buena manera y actualiza los reportes.</t>
  </si>
  <si>
    <t>Alejandro despacho</t>
  </si>
  <si>
    <t>00508506</t>
  </si>
  <si>
    <t>AMCEN-Juan Ortuño informa problema de señal GPS con PE8</t>
  </si>
  <si>
    <t>00508513</t>
  </si>
  <si>
    <t>AMANT-Juan Carlos soto indica que los reportes cada 1 hora no le están llegando.</t>
  </si>
  <si>
    <t>el problema radicaba en el sumarizador que no terminaba de pasar ya que tenia valores duplicados en la shift_loggins por lo cual no procesaba los datos del turno , y los reportes al tener los campos nulos o faltantes fallaban en el envió automático, una vez corregido los datos duplicados el sumarizador trabaja con normalidad y se vuelve a enviar reportes.</t>
  </si>
  <si>
    <t>Juan Carlos Soto</t>
  </si>
  <si>
    <t>00508514</t>
  </si>
  <si>
    <t>AMCEN-Juan Ortuño informa problema de señal GPS con PE3</t>
  </si>
  <si>
    <t>00508515</t>
  </si>
  <si>
    <t>AMCEN-Juan Ortuño informa problema con C46 sin sistema</t>
  </si>
  <si>
    <t>al momento de revisión el equipo se encontraba funcionando de buena manera.</t>
  </si>
  <si>
    <t>00508516</t>
  </si>
  <si>
    <t>AMCEN-Juan Ortuño informa problema con C156 que no toma asignaciones</t>
  </si>
  <si>
    <t>Se reinicia el equipo y funciona de manera correcta.</t>
  </si>
  <si>
    <t>00508522</t>
  </si>
  <si>
    <t>Se revisa el acceso el cual efectivamente esta caido , se detecta que los procesos sql server estan detenidos, se inician y la reportabilidad vuelve a estar disponible.</t>
  </si>
  <si>
    <t>Rodrigo DMH</t>
  </si>
  <si>
    <t>00508526</t>
  </si>
  <si>
    <t>CNCHUQ - Lentitud en mineops</t>
  </si>
  <si>
    <t>Se revisa el mineops, entregando datos con buena velocidad, los equipos en el mapa tienen movimiento, los reportes están con datos actualizados.
Nelson por su lado, reviso el servidor, estando todo normal, se le responde a Gilmer por correo que no se encontraron anomalías en la revisión del servidor.</t>
  </si>
  <si>
    <t>00508531</t>
  </si>
  <si>
    <t>Monitoreo - AMCEN - RE: GPS C36 y C47</t>
  </si>
  <si>
    <t>Se eliminan los procesos encolados, y se revisa que no vuelva a suceder.
Se detecta que el  sumarizador tambien se esta encolando, se habla con Alison quien nos indica que lo detuvo porque esta con problemas, se revisa mas a profundidad y encuentro que el problema raiz es la replica que se genera hacia el spotfire, se le indica a Alison que deje comentada la replica para que termine la sumarizacion un par de veces, se sumariza correctamente y despues se vuelve a activar la replicacion de datos para el spotfire.</t>
  </si>
  <si>
    <t>00508536</t>
  </si>
  <si>
    <t>CNCHUQ - Palas no estan despachando</t>
  </si>
  <si>
    <t>Se revisa la PA230, la cual estaba cargando el C457, al terminar ambos cambian sus estados correctamente, despues se revisa la descarga sumario y tiene datos actualizados de todas las palas, se le indica a Diego que todo se ve normal.
Pero la PA200 y la PA890, tienen perdidas considerables de datos.</t>
  </si>
  <si>
    <t>Diego CHQ</t>
  </si>
  <si>
    <t>00508537</t>
  </si>
  <si>
    <t>CNDMH - Perforadora 101 problemas de GPS</t>
  </si>
  <si>
    <t>Se entra a ver la perforadora , pero no hay comunicacion con el equipo, se le indica a Rodrigo, le hacen un reinicio manual al tener ping con la perfo, se revisa el VNC, estando su GPS trabajando de manera normal.</t>
  </si>
  <si>
    <t>00508598</t>
  </si>
  <si>
    <t>AMCEN-Juan Ortuño informa problema con PE53 por señal gps</t>
  </si>
  <si>
    <t>equipo presenta fallas fisicas, se deriva a personal de terreno.</t>
  </si>
  <si>
    <t>00508599</t>
  </si>
  <si>
    <t>AMCEN-Juan Ortuño informa problema con PE5 por señal gps</t>
  </si>
  <si>
    <t>00508600</t>
  </si>
  <si>
    <t>AMCEN-Juan Ortuño informa problema con PE1 por señal gps</t>
  </si>
  <si>
    <t>00508601</t>
  </si>
  <si>
    <t>AMCEN-Juan Ortuño informa problema con C156 que esta sin sistema</t>
  </si>
  <si>
    <t>al momento de la revisión el equipo se encontraba trabajando de forma normal.</t>
  </si>
  <si>
    <t xml:space="preserve">Juan Ortuño </t>
  </si>
  <si>
    <t>00508602</t>
  </si>
  <si>
    <t>AMCEN-Juan Ortuño informa problema con C125 que esta sin sistema</t>
  </si>
  <si>
    <t>00508604</t>
  </si>
  <si>
    <t>AMCEN-Juan Ortuño informa problema con CF234 por señal satelital</t>
  </si>
  <si>
    <t>se reincia el equipo y mejora calidad de señal.</t>
  </si>
  <si>
    <t>00508609</t>
  </si>
  <si>
    <t>AMCEN-Juan Ortuño informa problema con C39 el cual no muestra su ubicacion real.</t>
  </si>
  <si>
    <t>se reinicia el equipo y vuelve a mostrar ubicación real.</t>
  </si>
  <si>
    <t>00508614</t>
  </si>
  <si>
    <t>AMCEN - Reinicio pala N°1</t>
  </si>
  <si>
    <t>Se reinicia el equipo segun lo solicitado, recuperando asi el VNC</t>
  </si>
  <si>
    <t>Alisson</t>
  </si>
  <si>
    <t>00508618</t>
  </si>
  <si>
    <t>Nos habla Diego solicitando apoyo , dice que los camiones cuando cargan petroleo, al rato les vuelve a indicar que necesitan ir a cargar nuevamente.</t>
  </si>
  <si>
    <t>Diego Gonzales</t>
  </si>
  <si>
    <t>00508619</t>
  </si>
  <si>
    <t>AMZAL - Multiples estados en perforadoras</t>
  </si>
  <si>
    <t>Se revisan los estados repetidos, las 3 perforadoras indican que los estados fueron asignados por despacho, se monitorea la situación hasta que se detiene a las 16:00 hrs. del día 10-02-2024
Se siguen revisando los equipos, pero la situación no se repite</t>
  </si>
  <si>
    <t>00508628</t>
  </si>
  <si>
    <t>AMANT-Daniel Constanzo reporta Envió de reportes detenido.</t>
  </si>
  <si>
    <t>la cuenta de usuario JSBIAdmin se econtraba bloqueada , lo que conlleva que algunos procesos de SQLserver como envío de reportes se detengan , se reactiva la cuenta llamando a personal de servidores de AMSA.</t>
  </si>
  <si>
    <t>00508630</t>
  </si>
  <si>
    <t>CNRT-Luis Cortes solicita informacion ya que despacho le dice que realizaron muy poco tonelaje en el turno de día.</t>
  </si>
  <si>
    <t>se revisa descarga sumario y se encuentran descargas solo hasta las 19:10 , se revisa el estado de las palas y nos damos cuenta que desde las 19 horas todas entran en estado de reserva"Reunion" y luego al cambio de turno, osea que no trabajaron la ultima hora del turno por eso la baja de tonelaje diario.</t>
  </si>
  <si>
    <t>00508634</t>
  </si>
  <si>
    <t>AMCEN-Juan Ortuño informa problema GPS PE4</t>
  </si>
  <si>
    <t>00508639</t>
  </si>
  <si>
    <t>CNCQH-Miguel Solicita asistencia para pala 230 por perdidas de comunicación</t>
  </si>
  <si>
    <t>se revisa el equipo,logs,comuncacion,GPS, no encontrando nada y efectivamente tiene desconexiones de comunicación constantes perdiendo el ping por momentos , se deriva a personal de terreno para que revise cableado , conectores y antenas.</t>
  </si>
  <si>
    <t>00508641</t>
  </si>
  <si>
    <t>AMCEN-Juan Ortuño informa que CF2 tiene pegado el sistema.</t>
  </si>
  <si>
    <t>se reinicia el sistema quedando operativo</t>
  </si>
  <si>
    <t>00508650</t>
  </si>
  <si>
    <t>Se realizan nuevas pruebas en conjunto con el personal de terreno, se detecta que el sector Fase 49 tiene serios problemas de cobertura, las palas PA200 y 230 que estaban trabajando ahí, apenas tenían señal, y los camiones al acercarse al sector, perdían su comunicación, por otro lado se revisa la PA894, la cual tenia buena comunicación con el servidor al igual que los equipos que cargaban ahí, se llama a Rodrigo quien estaba junto con personal del CIO, y en conjunto se revisan múltiples camiones, cuando llegan a la pala , cuando cargan, y finalmente cuando se van, en todas las pruebas sin ningún problema, los estados se corregían casi de forma instantánea, por otro lado personal de redes, quedo reparando la conexión de la Fase49.</t>
  </si>
  <si>
    <t>00508651</t>
  </si>
  <si>
    <t>AMANT - Reporte alimentacion planta no se esta enviando</t>
  </si>
  <si>
    <t>Se intenta entrar al servidor, pero el usuario JSBIAdmin estaba bloqueado, se solicita apoyo para que lo activen, una ves activado, se llama a Diego indicando que el usuario estaba bloqueado y que ahora deben esperar a que los reportes se sigan enviando.
Se llama nuevamente a Diego para preguntar por los reportes, quien nos indica que ya estan llegando normalmente.</t>
  </si>
  <si>
    <t>00508652</t>
  </si>
  <si>
    <t>00508656</t>
  </si>
  <si>
    <t>AMZAL - Sumarizacion 05 al 10 de febrero.</t>
  </si>
  <si>
    <t>00508688</t>
  </si>
  <si>
    <t>CNRT-Luis Cortes informa caída de la pagina Jview</t>
  </si>
  <si>
    <t>se encontraba detenido el servicio de de sqlserver en el servidor 27 de jview , se activa y se reinicia el IIS , levantando nuevamente jview</t>
  </si>
  <si>
    <t>00508690</t>
  </si>
  <si>
    <t>CNCHQ-Miguel Huanchicay indica que el C159 no hace cambio de actividades automáticos.</t>
  </si>
  <si>
    <t>se reincia la BD del equipo , actualiza el jamsRouter y se le cargan todo los parches nuevamente , queda funcionando de buena manera , se confirma con el operador.</t>
  </si>
  <si>
    <t>Miguel huanchicay</t>
  </si>
  <si>
    <t>00508702</t>
  </si>
  <si>
    <t>AMZAL-Llama Freddie de Sim informando que la S04 ve otros bloques que el despacho.</t>
  </si>
  <si>
    <t>se hace la revision y efectivamente la pala superpone otros bloques, los cuales deberían haberlos eliminados una vez que haya terminado su extracción y cargar los nuevos, se le informa a Freddie que despacho debe eliminar los bloques que ya se utilizaron para que la pala vea solo los que necesita en estos momentos.</t>
  </si>
  <si>
    <t>00508705</t>
  </si>
  <si>
    <t>AMCEN-Juan Ortuño informa problema con PE1 sin señal satelital</t>
  </si>
  <si>
    <t>se reinicia el core y luego de un tiempo levanta normal.</t>
  </si>
  <si>
    <t>00508706</t>
  </si>
  <si>
    <t>AMCEN-Juan Ortuño informa problema con PE5 sin señal satelital.</t>
  </si>
  <si>
    <t>00508708</t>
  </si>
  <si>
    <t>AMCEN-Juan Ortuño informa problema con PA1 sin señal satelital.</t>
  </si>
  <si>
    <t>al momento de la revisión el equipo se encontraba de buena manera</t>
  </si>
  <si>
    <t>Juan Otuño</t>
  </si>
  <si>
    <t>00508709</t>
  </si>
  <si>
    <t>AMCEN-Juan Ortuño informa problema con PA7 sin señal satelital.</t>
  </si>
  <si>
    <t>se reinicia el equipo y levanta de buena manera</t>
  </si>
  <si>
    <t>00508710</t>
  </si>
  <si>
    <t>AMCEN-Juan Ortuño informa problema con PE8 sin señal satelital.</t>
  </si>
  <si>
    <t>se reinicia el core del equipo.</t>
  </si>
  <si>
    <t>00508729</t>
  </si>
  <si>
    <t>AMCEN-Juan Ortuño informa problema con PA3 sin señal satelital</t>
  </si>
  <si>
    <t>al momento de la revisión el equipo se encontraba normal.</t>
  </si>
  <si>
    <t>00508730</t>
  </si>
  <si>
    <t>AMCEN-Juan Ortuño informa problema con PA1 nuevamente sin señal satelital.</t>
  </si>
  <si>
    <t>00508731</t>
  </si>
  <si>
    <t>AMCEN-Juan Ortuño informa problema con PA9 sin señal satelital.</t>
  </si>
  <si>
    <t>00508732</t>
  </si>
  <si>
    <t>AMCEN-Juan Ortuño informa problema con C36 sin señal satelital.</t>
  </si>
  <si>
    <t>se reinicia el equipo y vuelve normal.</t>
  </si>
  <si>
    <t>00508759</t>
  </si>
  <si>
    <t>MLCC - Pala N°2 no hace el cambio de estado para los camiones nu</t>
  </si>
  <si>
    <t>Se revisa la pala , la cual de primeras realiza los cambios de estado correctamente, pero pasado unos minutos, perdemos la conexion con el equipo, y esta vuelve pasado unos 10 a 15 segundos, perdiendo muchos datos en el intermedio, se sigue monitoreando y nuevamente hay perdida de paquetes , se llama a Viviana para explicar la situacion y que ese es el motivo del que la pala no siempre haga los cambios de estado.</t>
  </si>
  <si>
    <t>00508777</t>
  </si>
  <si>
    <t>CNN - Equipos quedan en reserva</t>
  </si>
  <si>
    <t>00508778</t>
  </si>
  <si>
    <t>Mantoverde - C54 sistema antiguo</t>
  </si>
  <si>
    <t>Jorge Electro ram</t>
  </si>
  <si>
    <t>00508791</t>
  </si>
  <si>
    <t>00508814</t>
  </si>
  <si>
    <t>AMZAL-llama Freddie solicitando asistencia por el H34 que no envía mensajes.</t>
  </si>
  <si>
    <t>Se solicita a personal de Sim reinstalar la aplicación</t>
  </si>
  <si>
    <t>Freddie Dim</t>
  </si>
  <si>
    <t>02/13/2024  08:00</t>
  </si>
  <si>
    <t>00508821</t>
  </si>
  <si>
    <t>AMCEN-Juan Ortuño informa problema GPS con PE1.PE4,PE8,PE10</t>
  </si>
  <si>
    <t>se reinician los equipos y se espera que pase la actividad geomagnética.</t>
  </si>
  <si>
    <t>02/13/2024  02:30</t>
  </si>
  <si>
    <t>00508822</t>
  </si>
  <si>
    <t>AMCEN-Juan Ortuño informa problema GPS con C54 no muestra ubicación real</t>
  </si>
  <si>
    <t>al momento de la revision el equipo mostraba su ubicacion real</t>
  </si>
  <si>
    <t>00508823</t>
  </si>
  <si>
    <t>AMCEN-Juan Ortuño informa problema GPS con C20 no muestra ubicación real</t>
  </si>
  <si>
    <t>00508874</t>
  </si>
  <si>
    <t>Mantoverde - Revisión de Servidores</t>
  </si>
  <si>
    <t>Se realiza la revision solicitada, estando todo normal, el servidor esta sumarizando correctamente, tenemos replicacion de datos para los servidores, Jview con datos actualizados , load average con un rendimiento optimo.</t>
  </si>
  <si>
    <t>00508876</t>
  </si>
  <si>
    <t>MLCC - CAEX 327 problemas de estados</t>
  </si>
  <si>
    <t>Se revisa el equipo, el cual presenta constante perdidas de conexion, en distintos momentos, no es red porque los demas equipos trabajan sin ningun problema, se le indica a Viviana que deben revisar el cableado en terreno.</t>
  </si>
  <si>
    <t>00508897</t>
  </si>
  <si>
    <t>Se eliminan los procesos encolados</t>
  </si>
  <si>
    <t>00508900</t>
  </si>
  <si>
    <t>MLCC - Pala N°210 no tiene conexion con el servidor</t>
  </si>
  <si>
    <t>Se trata de conectar con el equipo, pero este no tiene ping por la ip fisica ni la de terreno, se le indica al personal de 360 que no tengo conexion y de esta forma no los puedo ayudar, le recomiendo hacer corte de energia y esperar unos minutos.</t>
  </si>
  <si>
    <t>00508908</t>
  </si>
  <si>
    <t>RE: Regularizar punto de medida equipo H42</t>
  </si>
  <si>
    <t>Se modifica el script para que nuevamente entregue datos del H42 y también se recuperan sus datos desde el 6 de Febrero en adelante.</t>
  </si>
  <si>
    <t>00508911</t>
  </si>
  <si>
    <t>MLCC - problemas a exportar a excel</t>
  </si>
  <si>
    <t>Se reviso el problema y no se podian generar archivos relacionados con office, con pdf no habia ningun problema, se modifica el usuario con el que se ejecuta el servicio de reportes, por el usuario Jview$2K5, el cual tiene permisos de administrador.</t>
  </si>
  <si>
    <t>Enrique Alejandro</t>
  </si>
  <si>
    <t>00508915</t>
  </si>
  <si>
    <t>CNN - FW: CNN - Conciliación Mina / Mantenimiento - Resumar</t>
  </si>
  <si>
    <t>00508923</t>
  </si>
  <si>
    <t>MLCC - calidades no se cargan en el servidor</t>
  </si>
  <si>
    <t>Se le indica a Sebastian que el subio los archivos a las 16:24, pero el servidor los comienza a subir a los 13 minutos , en este caso comenzo a las 16:48 , los archivos si subieron finalmente, pero se le explico que la hora en que ellos suben la informacion, no tiene porque coincidir con la hora en que el servidor comienza a cargarlos.</t>
  </si>
  <si>
    <t>00508954</t>
  </si>
  <si>
    <t>AAM - Generar nuevo archivo Setup</t>
  </si>
  <si>
    <t>Se generan las llaves para ambos equipos nuevos, luego se cambia el archivo vpnserver.conf al WPA y luego se escriben con writekeys y genera nuevamente el setup con makeclients. Finalmente se envía el archivo por correo a Marcelo Romero</t>
  </si>
  <si>
    <t>2/13/2024 5:46 PM</t>
  </si>
  <si>
    <t>2/19/2024 12:16 PM</t>
  </si>
  <si>
    <t>00508961</t>
  </si>
  <si>
    <t>AMCEN-Juan Ortuño informa problema GPS con PE3 no muestra ubicación real</t>
  </si>
  <si>
    <t>00508962</t>
  </si>
  <si>
    <t>CNCHQ-Miguel Huanchicay solicita apoyo ya que los polígonos no suben a la carpeta save.</t>
  </si>
  <si>
    <t>se fuerza el importador y nos da un error en el archivo , se informa a miguel para que hable con personal encargado de crear los archivos.</t>
  </si>
  <si>
    <t>00508986</t>
  </si>
  <si>
    <t>MLCC - Asistencia CAEX 327</t>
  </si>
  <si>
    <t>Luego de monitoreo se determina que el problema va en los sensores por lo que se recomienda revisión por equipo de mantención mina</t>
  </si>
  <si>
    <t>2/14/2024 4:30 AM</t>
  </si>
  <si>
    <t>2/15/2024 3:46 PM</t>
  </si>
  <si>
    <t>Mesa de Ayuda Caserones</t>
  </si>
  <si>
    <t>00508999</t>
  </si>
  <si>
    <t>AMZAL - Desfase información entre Mineops y Jview</t>
  </si>
  <si>
    <t>2/14/2024 5:21 AM</t>
  </si>
  <si>
    <t>se ha realizado la modificación correspondiente en la consulta que alimenta el reporte daily y se informa de esto al cliente para su confirmación</t>
  </si>
  <si>
    <t>00509163</t>
  </si>
  <si>
    <t>AMZAL - CAEX 57 aparece sin tiempo pero en estado figura en mantención</t>
  </si>
  <si>
    <t>Realizando monitoreo se detecta que se hicieron cambios directamente en la vista de Estados provocando la diferencia entre vista Camiones y Estados ya que si se cambia directamente en Estados no se cambia en la vista del equipo no así hacia el otro lado. Ya que si se cambia el estado en la vista del equipo (Camiones) automáticamente se cambia en estados.</t>
  </si>
  <si>
    <t>2/15/2024 4:00 AM</t>
  </si>
  <si>
    <t>2/15/2024 3:50 PM</t>
  </si>
  <si>
    <t>00509239</t>
  </si>
  <si>
    <t>CNDMH - Bull con problemas de GPS</t>
  </si>
  <si>
    <t>Equipo se encuentra sin comunicación por lo que se deriva a revisión en terreno.</t>
  </si>
  <si>
    <t>2/15/2024 12:52 PM</t>
  </si>
  <si>
    <t>2/15/2024 4:04 PM</t>
  </si>
  <si>
    <t>00509257</t>
  </si>
  <si>
    <t>AMZAL - Eliminar registro de estado sin tiempo H57</t>
  </si>
  <si>
    <t>Se borra el registro de la vista Estados quedando solo en un registro desde el comienzo del mes hasta la fecha actual y se procede a sumarizar para normalizar el registro en todos los reportes que pueda generar impacto.</t>
  </si>
  <si>
    <t>2/15/2024 3:57 PM</t>
  </si>
  <si>
    <t>2/16/2024 12:40 PM</t>
  </si>
  <si>
    <t>00509266</t>
  </si>
  <si>
    <t>CNDMH - Pala 4 no puede visualizar el poligono</t>
  </si>
  <si>
    <t>Revisión de equipo no muestra problemas con la visualización de los polígonos, pero si con la cota del balde la cual está bajo 5,70 mts. Esto ocasiona que el balde de la pala no registra los materiales correspondientes. Se da aviso a despacho para que puedan revisar y modificar la cota.</t>
  </si>
  <si>
    <t>2/15/2024 4:44 PM</t>
  </si>
  <si>
    <t>2/16/2024 2:23 AM</t>
  </si>
  <si>
    <t>Alvaro Silva - Despacho</t>
  </si>
  <si>
    <t>00509271</t>
  </si>
  <si>
    <t>AMZAL - Diferencia "Reporte Mensual"</t>
  </si>
  <si>
    <t>Revisión arroja que dato faltante no estaba siendo considerado en la query del reporte, por lo que se realiza la modificación para que tome todos los datos de cargas. Se envía correo solicitando revisión y validación de los cambios realizados.</t>
  </si>
  <si>
    <t>2/15/2024 4:51 PM</t>
  </si>
  <si>
    <t>00509282</t>
  </si>
  <si>
    <t>AMZAL - Revisar funcionamiento de GPS del Camión 34</t>
  </si>
  <si>
    <t>Luego de la instalación limpia con nuevo archivo setup reconoce equipo en pendrive y prosigue a operar sin problemas durante el turno.</t>
  </si>
  <si>
    <t>2/15/2024 9:28 PM</t>
  </si>
  <si>
    <t xml:space="preserve">2/16/2024 1:55 PM
</t>
  </si>
  <si>
    <t>00509287</t>
  </si>
  <si>
    <t>AMCEN - Problema señal PA3</t>
  </si>
  <si>
    <t>Equipo presenta intermitencia en las comunicaciones, lo que genera problemas con el VNC. Se informa al cliente que problema debe ser revisado por personal de redes de la mina para así mejorar la red del sector.</t>
  </si>
  <si>
    <t>2/15/2024 11:49 PM</t>
  </si>
  <si>
    <t>2/16/2024 2:21 AM</t>
  </si>
  <si>
    <t>Belen Castillo - Despacho</t>
  </si>
  <si>
    <t>00509288</t>
  </si>
  <si>
    <t>MLCC - Agregar nueva columna a query</t>
  </si>
  <si>
    <t>Se desiste de los cambios y requerimiento queda standby hasta nuevo aviso.</t>
  </si>
  <si>
    <t>2/15/2024 11:52 PM</t>
  </si>
  <si>
    <t>Karim Campos - despacho</t>
  </si>
  <si>
    <t>00509319</t>
  </si>
  <si>
    <t>CNDMH - Perforadora 101 con problemas de sistema</t>
  </si>
  <si>
    <t>Como se puede observar en la imagen de ping desde el servidor existía un valor demasiado alto de MS sin embargo fue posible realizar una conexión remota sin problemas, por lo que se realizó un reinicio remoto recuperando el el funcionamiento de los gps y normalizando el ping.</t>
  </si>
  <si>
    <t>2/16/2024 8:42 AM</t>
  </si>
  <si>
    <t>2/16/2024 1:46 PM</t>
  </si>
  <si>
    <t>00509332</t>
  </si>
  <si>
    <t>AAM - Pala 5 con problemas en JSPanel</t>
  </si>
  <si>
    <t>Realizando investigación se encuentra que el equipo tiene asignada una IP de red de campo que ya estaba siendo utilizada por otro equipo dado de baja, el camión 2CAM7401, y de hecho no estaba creado en archivo hosts por lo que no había forma de relacionar el nombre con la ip para el sistema. Se comenta la línea de declaración de equipo antiguo y se genera una nueva para la PALA005.
Como detalle este equipo es reciente por lo que aún no ha sido calibrado.</t>
  </si>
  <si>
    <t>2/16/2024 11:00 AM</t>
  </si>
  <si>
    <t>2/16/2024 1:26 PM</t>
  </si>
  <si>
    <t>Francisco Gonzalez</t>
  </si>
  <si>
    <t>00509333</t>
  </si>
  <si>
    <t>MLCC - Camión C331 con problemas en pantalla</t>
  </si>
  <si>
    <t>Se encuentra el camión con sus sensores en buen estado y VNC funcionando correctamente, al contactar nuevamente con técnico de tres60 se le informa de esto y el comenta que se había soltado el cable por lo que la falla era hardware</t>
  </si>
  <si>
    <t>2/16/2024 11:03 AM</t>
  </si>
  <si>
    <t>2/16/2024 2:09 PM</t>
  </si>
  <si>
    <t>Aleixs Artigas</t>
  </si>
  <si>
    <t>00509346</t>
  </si>
  <si>
    <t>CNDMH - Camión C308 con problemas de gps</t>
  </si>
  <si>
    <t>Se realiza una eliminación de la base de datos interna del equipo para que levante desde cero y logra levantar correctamente detectando gps.</t>
  </si>
  <si>
    <t>2/16/2024 2:56 PM</t>
  </si>
  <si>
    <t>2/16/2024 3:26 PM</t>
  </si>
  <si>
    <t>00509347</t>
  </si>
  <si>
    <t>AMZAL - PANTALLA JIGSAW MENSAJES CON PROBLEMAS</t>
  </si>
  <si>
    <t>Se realiza rollback a todos los equipos que contaban con el parche.</t>
  </si>
  <si>
    <t>2/16/2024 3:12 PM</t>
  </si>
  <si>
    <t>2/19/2024 9:04 AM</t>
  </si>
  <si>
    <t>00509370</t>
  </si>
  <si>
    <t>AMCEN - Reasignación en sector stock SME1</t>
  </si>
  <si>
    <t>Se realiza revisión de los equipos de carguio , no encontrando problemas con las asignaciones de los equipos. Se envía correo al cliente informando lo realizado.</t>
  </si>
  <si>
    <t>2/16/2024 6:00 PM</t>
  </si>
  <si>
    <t>2/16/2024 9:34 PM</t>
  </si>
  <si>
    <t>Belen Castillo - despacho</t>
  </si>
  <si>
    <t>00509371</t>
  </si>
  <si>
    <t>AMCEN - Problema GPS C46</t>
  </si>
  <si>
    <t>Equipo se encuentra operando con normalidad, durante monitoreo no se visualizan problemas con las asignaciones ni con las comunicaciones. Se da por cerrado el ticket.</t>
  </si>
  <si>
    <t>2/16/2024 7:03 PM</t>
  </si>
  <si>
    <t>2/16/2024 9:37 PM</t>
  </si>
  <si>
    <t>00509374</t>
  </si>
  <si>
    <t>AMANT - Perforador 04 no ve los puntos de perforción</t>
  </si>
  <si>
    <t>Equipo se encuentra operativo y visualizando los puntos de perforación. Se realizará un monitoreo para descartar problemas durante el turno.</t>
  </si>
  <si>
    <t>2/16/2024 7:07 PM</t>
  </si>
  <si>
    <t>Manuel Ramos</t>
  </si>
  <si>
    <t>00509375</t>
  </si>
  <si>
    <t>AMCEN - Malla perfo 49</t>
  </si>
  <si>
    <t>Malla se encuentra borrada. Se informa al cliente el estado de la malla para que realice la carga de esta nuevamente.</t>
  </si>
  <si>
    <t>2/16/2024 10:12 PM</t>
  </si>
  <si>
    <t>2/16/2024 10:17 PM</t>
  </si>
  <si>
    <t>Belen Castillo- despacho</t>
  </si>
  <si>
    <t>00509382</t>
  </si>
  <si>
    <t>CNCHUQ - Pala230 no reconoce polígono</t>
  </si>
  <si>
    <t>Realizando una investigación se encuentran atributos en opciones de Polígono que deberían utilizar para asegurar el correcto funcionamiento del sistema, como puede ser la categoría. Por otro lado en el destino tampoco estaba determinado el valor de Alimentación por lo que se ingresó un valor para que el sistema comience a hacer cálculos automáticos con respecto al mismo. Se valida que las rutas sean factibles y pueda generar un camino desde la pala hasta el botadero.</t>
  </si>
  <si>
    <t>2/17/2024 5:02 AM</t>
  </si>
  <si>
    <t>2/17/2024 2:20 PM</t>
  </si>
  <si>
    <t>Gonzalo Nuñez</t>
  </si>
  <si>
    <t>00509384</t>
  </si>
  <si>
    <t>AMZAL - Reporte Exceso de velocidad Zaldivar</t>
  </si>
  <si>
    <t>Se vuelve a configurar en suscripciones el envío automático de correos y se valida su funcionamiento dejando mi correo (gustavo.cheng@hexagon.com) dentro de los destinatarios comprobando su despacho</t>
  </si>
  <si>
    <t>2/17/2024 5:40 AM</t>
  </si>
  <si>
    <t>2/20/2024 4:26 AM</t>
  </si>
  <si>
    <t>Belén Saez</t>
  </si>
  <si>
    <t>00509385</t>
  </si>
  <si>
    <t>CNRT - Reportes de perforadoras autónomas sin datos</t>
  </si>
  <si>
    <t>Se han identificado fallos en el proceso de extracción de datos de pozos perforados. Una inspección más detallada revela la presencia de valores duplicados provenientes de la vista de Flanders, lo que está generando problemas en la integración de información y resultando en la inutilización del proceso. Se procederá a contactar al equipo de Flanders para abordar y solucionar este inconveniente relacionado con los identificadores duplicados en los datos.</t>
  </si>
  <si>
    <t>2/17/2024 5:45 AM</t>
  </si>
  <si>
    <t>00509387</t>
  </si>
  <si>
    <t>AMZAL - Inconsistencia metros perforados D11 - Mineops</t>
  </si>
  <si>
    <t>2/17/2024 6:51 AM</t>
  </si>
  <si>
    <t>00509391</t>
  </si>
  <si>
    <t>CNDMH - Bull 403 con problemas de gps</t>
  </si>
  <si>
    <t>Se le realiza un reinicio remoto recuperando así el correcto funcionamiento de los gps.</t>
  </si>
  <si>
    <t>2/17/2024 7:41 AM</t>
  </si>
  <si>
    <t>2/17/2024 2:22 PM</t>
  </si>
  <si>
    <t>00509393</t>
  </si>
  <si>
    <t>CNCHUQ - Vista JSRutas no muestra los camiones de la PA200</t>
  </si>
  <si>
    <t>Problema se atribuye a mala configuración de opciones en mineops por lo que corresponde a despachadores realizar modificaciones pertinentes</t>
  </si>
  <si>
    <t>2/17/2024 10:37 AM</t>
  </si>
  <si>
    <t>2/19/2024 9:05 AM</t>
  </si>
  <si>
    <t>00509394</t>
  </si>
  <si>
    <t>CNDMH - Jview sin reportes actualizados</t>
  </si>
  <si>
    <t>Se detectan los servicios SQL detenidos en servidor jview por lo que se vuelven a levantar normalizando los reportes actualizados.</t>
  </si>
  <si>
    <t>2/17/2024 11:14 AM</t>
  </si>
  <si>
    <t>2/17/2024 2:23 PM</t>
  </si>
  <si>
    <t>Oscar Barras</t>
  </si>
  <si>
    <t>00509403</t>
  </si>
  <si>
    <t>MLCC - Perforadora con problemas de gps</t>
  </si>
  <si>
    <t>Se revisan los sensores de la perforadora encontrando todo impecable, se procede con revisión de antenas gps y están con calidad 4, finalmente se confirma en VNC que está operando sin problemas.</t>
  </si>
  <si>
    <t>2/17/2024 1:46 PM</t>
  </si>
  <si>
    <t>00509406</t>
  </si>
  <si>
    <t>CNDMH - Bull 423 con problemas de gps</t>
  </si>
  <si>
    <t>Se intenta revisar el equipo pero no es posible por problemas de comunicación. Se informa a colega en terreno que deberá revisar fisicamente.</t>
  </si>
  <si>
    <t>2/17/2024 2:17 PM</t>
  </si>
  <si>
    <t>00509425</t>
  </si>
  <si>
    <t>AMZAL - Desface JMineOP en Cubos</t>
  </si>
  <si>
    <t>2/17/2024 7:16 PM</t>
  </si>
  <si>
    <t>00509429</t>
  </si>
  <si>
    <t>AMCEN - Problema GPS CF232 y PA7</t>
  </si>
  <si>
    <t>Equipos presentaban intermitencia en la señal de GPS, por lo que se realiza borrado de sus BD temporales y un reinicio del JAMS, lo que permitió mejor la calidad de recepción de la señal de GPS. Se informa vía correo al cliente.</t>
  </si>
  <si>
    <t>2/17/2024 10:02 PM</t>
  </si>
  <si>
    <t>2/18/2024 12:21 AM</t>
  </si>
  <si>
    <t>00509432</t>
  </si>
  <si>
    <t>AMCEN - Problema GPS C58</t>
  </si>
  <si>
    <t>Equipo se encontraba sin comunicaciones mediante túnel, por lo que se realiza conexión al core mediante la red de terreno. Una vez conectado al core se realiza un reinicio del computador para restablecer las comunicaciones y su ubicación en el mapa. Se avisa vía correo al cliente.</t>
  </si>
  <si>
    <t>2/17/2024 11:50 PM</t>
  </si>
  <si>
    <t>2/17/2024 11:54 PM</t>
  </si>
  <si>
    <t>00509438</t>
  </si>
  <si>
    <t>CNDMH - Sin acceso a servidor CAS</t>
  </si>
  <si>
    <t>Se verifica el estado del servidor y servicios encontrando todo funcionando correctamente y actualizado.</t>
  </si>
  <si>
    <t>2/18/2024 7:08 AM</t>
  </si>
  <si>
    <t>2/18/2024 9:21 AM</t>
  </si>
  <si>
    <t>00509474</t>
  </si>
  <si>
    <t>CNRT - Job de integración de data Flanders - Hexagon con problemas</t>
  </si>
  <si>
    <t>Durante revisión de fin de turno se volvió a detectar el mismo problema (id único duplicado ticket 00509474)</t>
  </si>
  <si>
    <t>2/18/2024 3:14 PM</t>
  </si>
  <si>
    <t>2/18/2024 10:45 PM</t>
  </si>
  <si>
    <t>00509526</t>
  </si>
  <si>
    <t>AMCEN - Señal GPS perfo 5</t>
  </si>
  <si>
    <t>Se realiza revisión del equipo y este se encuentra operando con normalidad, se envía correo al cliente con los detalles.</t>
  </si>
  <si>
    <t>2/18/2024 10:34 PM</t>
  </si>
  <si>
    <t>2/19/2024 2:49 AM</t>
  </si>
  <si>
    <t>00509553</t>
  </si>
  <si>
    <t>CNRT - Carga de malla en perforadora 111</t>
  </si>
  <si>
    <t>Se realiza la carga de la malla solicitada por Daniel Pizarro.</t>
  </si>
  <si>
    <t>2/19/2024 2:14 AM</t>
  </si>
  <si>
    <t>2/19/2024 2:48 AM</t>
  </si>
  <si>
    <t>00509570</t>
  </si>
  <si>
    <t>Se reinician los servicios SQL del servidor recuperando actualización en los reportes.</t>
  </si>
  <si>
    <t>2/19/2024 5:15 AM</t>
  </si>
  <si>
    <t>2/19/2024 5:27 AM</t>
  </si>
  <si>
    <t>00509648</t>
  </si>
  <si>
    <t>AAM - Revisar registro de la tabla configurations</t>
  </si>
  <si>
    <t>Se realizan los cambios pertinentes y se agregan a la tabla de auditoría (change_logs) los atributos de tabla devices: name,groups,address y software_version.</t>
  </si>
  <si>
    <t>2/19/2024 12:52 PM</t>
  </si>
  <si>
    <t>2/19/2024 3:07 PM</t>
  </si>
  <si>
    <t>00509651</t>
  </si>
  <si>
    <t>CNN - Sumarización semana del 12 al 18 de febrero</t>
  </si>
  <si>
    <t>Se sumariza como fue solicitado sin problemas</t>
  </si>
  <si>
    <t>2/19/2024 1:02 PM</t>
  </si>
  <si>
    <t>2/19/2024 3:34 PM</t>
  </si>
  <si>
    <t>00509665</t>
  </si>
  <si>
    <t>CNRT - Importador Hazard pegado</t>
  </si>
  <si>
    <t>Problema con la carga del importador estaba asociado al largo del nombre del archivo y al nombre del Hazard, los cuales deben tener un lago máximo de 36 caracteres. La solución fue acortar el nombre del nuevo Hazard y con ello se logró realizar la carga a sistema.</t>
  </si>
  <si>
    <t>2/19/2024 3:36 PM</t>
  </si>
  <si>
    <t>2/19/2024 6:16 PM</t>
  </si>
  <si>
    <t>Carolina Bacian</t>
  </si>
  <si>
    <t>00509691</t>
  </si>
  <si>
    <t>AMCEN - Señal caex 25</t>
  </si>
  <si>
    <t>Equipo se encuentra operando con normalidad, señales de GPS y de red en niveles óptimos. Se realizará monitoreo para descartar problemas de funcionamiento</t>
  </si>
  <si>
    <t>2/19/2024 7:29 PM</t>
  </si>
  <si>
    <t>2/19/2024 9:15 PM</t>
  </si>
  <si>
    <t>00509707</t>
  </si>
  <si>
    <t>Monitoreo - CNDMH - Proceso replica encolado</t>
  </si>
  <si>
    <t>Sistema de monitoreo muestra proceso de réplica encolado, por lo que se realiza reinicio de los servicios del sql para liberar los procesos. Se realizará monitoreo preventivo a los servidores de la faena.</t>
  </si>
  <si>
    <t>2/20/2024 12:42 AM</t>
  </si>
  <si>
    <t>2/20/2024 2:04 AM</t>
  </si>
  <si>
    <t>00509726</t>
  </si>
  <si>
    <t>MLCC - Gestionar envío automático de reporte</t>
  </si>
  <si>
    <t>Se realizan los ajustes necesarios y pruebas de funcionamiento en los envíos de los reportes, los cuales quedan todos operativos. Se envía correo al cliente dando más detalles de lo realizado.</t>
  </si>
  <si>
    <t>2/20/2024 5:54 AM</t>
  </si>
  <si>
    <t>2/21/2024 12:29 AM</t>
  </si>
  <si>
    <t>Enrique Prado</t>
  </si>
  <si>
    <t>00509743</t>
  </si>
  <si>
    <t>AMZAL - Generar archivos de carga horometro</t>
  </si>
  <si>
    <t>2/20/2024 7:40 AM</t>
  </si>
  <si>
    <t>00509761</t>
  </si>
  <si>
    <t>MLCC - Importador DigLimit pegado</t>
  </si>
  <si>
    <t>Se revisa el contenido del archivo.csv y se puede observar que no tiene definido en la primera línea del documento la zona - nombre - hazard, por lo que se informa a cliente para que corrijan y luego es cargado sin problemas.</t>
  </si>
  <si>
    <t>2/20/2024 9:49 AM</t>
  </si>
  <si>
    <t>2/20/2024 10:46 AM</t>
  </si>
  <si>
    <t>Marco Catalán</t>
  </si>
  <si>
    <t>00509763</t>
  </si>
  <si>
    <t>MLCC - Planillas excel pegadas</t>
  </si>
  <si>
    <t>Se reinician los servicios SQL en el servidor .59 para refrescar las conexiones a la base de datos.</t>
  </si>
  <si>
    <t>2/20/2024 10:03 AM</t>
  </si>
  <si>
    <t>2/20/2024 10:42 AM</t>
  </si>
  <si>
    <t>00509790</t>
  </si>
  <si>
    <t>TECKQB - Alarmas detenidas hasta las 10 am Sábado 17-02</t>
  </si>
  <si>
    <t>2/20/2024 3:27 PM</t>
  </si>
  <si>
    <t>l parecer algunos registros de CAS10 estaban generando el problema. La tabla StageAudit indicaba algunos registros duplicados, por lo que se eliminaron (estos registros eran de CAS10).Una vez eliminados se realizó el procesamiento de las alarmas desde Sharperlight corrigiéndose el problema.</t>
  </si>
  <si>
    <t>00509798</t>
  </si>
  <si>
    <t>AMZAL - Pala no muestra información del lugar de carga</t>
  </si>
  <si>
    <t>Se informa al personal de despacho sobre diferencias con la cota de la ubicación 83080N y la pala, la cual tenía una diferencia de -13 metros. Mismo despacho realiza la actualización de cota de la ubicación y con ello se soluciona inconveniente.</t>
  </si>
  <si>
    <t>2/20/2024 5:01 PM</t>
  </si>
  <si>
    <t>2/20/2024 8:12 PM</t>
  </si>
  <si>
    <t>00509799</t>
  </si>
  <si>
    <t>AMCEN - Problema GPS C22</t>
  </si>
  <si>
    <t>Se realiza revisión del equipo y se ejecutan trabajos para intentar recuperar funcionamiento de GPS los cuales no dan buenos resultados. Ante los trabajos realizados se determina falla en el hardware el cual deberá ser revisado en terreno por personal a cargo.</t>
  </si>
  <si>
    <t>2/20/2024 5:03 PM</t>
  </si>
  <si>
    <t>2/20/2024 7:34 PM</t>
  </si>
  <si>
    <t>00509826</t>
  </si>
  <si>
    <t>AMCEN - Nivel Combustible C154</t>
  </si>
  <si>
    <t>Se realiza reinicio del equipo para permitir activar vims del combustible del camión el cual se encontraba pegado. Luego del reinicio se recupera funcionalidad del vims del camión quedando operativo. Se informa vía correo al cliente.</t>
  </si>
  <si>
    <t>2/20/2024 7:35 PM</t>
  </si>
  <si>
    <t>2/20/2024 10:50 PM</t>
  </si>
  <si>
    <t>00509829</t>
  </si>
  <si>
    <t>AMCEN - Archivos no son cargados por importador polígonos Hazard</t>
  </si>
  <si>
    <t>Se revisa proceso de importador polígonos Hazard el cual se encontraba encolado, una vez liberado el proceso los archivos son cargados sin problemas.</t>
  </si>
  <si>
    <t>2/20/2024 8:05 PM</t>
  </si>
  <si>
    <t>2/20/2024 9:05 PM</t>
  </si>
  <si>
    <t>Jaime Lopez</t>
  </si>
  <si>
    <t>00509833</t>
  </si>
  <si>
    <t>AMCEN - Problema señal PA2 y PA3</t>
  </si>
  <si>
    <t>Durante la revisión a las palas 2 y 3 sobre los problemas de asignación no se visualizaron inconvenientes en los cambios de estado, en las cargas realzadas ni en las asignaciones. Se realizo un monitoreo durante varios minutos y todos los equipos que cargaron en dichas palas realizaron los cambios correspondientes.</t>
  </si>
  <si>
    <t>2/20/2024 9:04 PM</t>
  </si>
  <si>
    <t>2/20/2024 10:24 PM</t>
  </si>
  <si>
    <t>00509845</t>
  </si>
  <si>
    <t>AMANT - Pala 2 se encuentra con ubicación pegada</t>
  </si>
  <si>
    <t>Equipo presenta problemas con el hardware por lo que no es posible levantar el funcionamiento de los GPS vía remota. Se llama al cliente para informar que deberá solicitar atención del personal en terreno.</t>
  </si>
  <si>
    <t>2/21/2024 2:06 AM</t>
  </si>
  <si>
    <t>2/21/2024 2:48 AM</t>
  </si>
  <si>
    <t>00509846</t>
  </si>
  <si>
    <t>AMCEN - Problema GPS C13</t>
  </si>
  <si>
    <t>GPS presentan problemas a nivel de hardware, no se logra solucionar problema de comunicación vía remota por lo que se pasa a personal en terreno.</t>
  </si>
  <si>
    <t>2/21/2024 2:50 AM</t>
  </si>
  <si>
    <t>2/21/2024 3:23 AM</t>
  </si>
  <si>
    <t>00509854</t>
  </si>
  <si>
    <t>AMZAL-Miguel Caceres solicita Sacar D17 reporte ejecutivo</t>
  </si>
  <si>
    <t>requerimiento completado.se elimina D17 del resumen ejecutivo mina.</t>
  </si>
  <si>
    <t>2/21/2024 9:22 AM</t>
  </si>
  <si>
    <t>2/21/2024 10:22 AM</t>
  </si>
  <si>
    <t>00509872</t>
  </si>
  <si>
    <t>CNDMH-Cesar Albornoz solicita informacion de demoras por radio en DMH</t>
  </si>
  <si>
    <t>Información rescatada en Mineops y enviada a Cesar.</t>
  </si>
  <si>
    <t>2/21/2024 10:15 AM</t>
  </si>
  <si>
    <t>2/21/2024 11:15 AM</t>
  </si>
  <si>
    <t>Cesar Albornoz</t>
  </si>
  <si>
    <t>00509885</t>
  </si>
  <si>
    <t>AMCEN-Cristian Chiang solicita asistencia por GPS de cargador CF234</t>
  </si>
  <si>
    <t>se reincia el equipo y su gps vuelve con buena calidad</t>
  </si>
  <si>
    <t>2/21/2024 11:34 AM</t>
  </si>
  <si>
    <t>2/21/2024 12:34 PM</t>
  </si>
  <si>
    <t>Cristian chiang</t>
  </si>
  <si>
    <t>00509946</t>
  </si>
  <si>
    <t>AMZAL-Miguel solicita ayuda con su planilla MACRO_Gestión Mina 2023( Enero a Noviembre 2023).xlsm</t>
  </si>
  <si>
    <t>la planilla no funcionaba ya que su configuración estaba hecha para sacar el mes completo cerrado , pero no para sacarlo con días faltantes por lo que se le cambio la configuración para que saque hasta el día que se esta consultando,</t>
  </si>
  <si>
    <t>2/21/2024 02:34 PM</t>
  </si>
  <si>
    <t>2/21/2024 03:34 PM</t>
  </si>
  <si>
    <t>00509995</t>
  </si>
  <si>
    <t>AAS-Daniel Gajardo solicita asistencia para dar permisos a un usuario sobre una funcion en SQLserver.</t>
  </si>
  <si>
    <t>se realiza una reunion de teams indicando los pasos a seguir.se espera la respuesta del cliente.</t>
  </si>
  <si>
    <t>2/21/2024 06:00 PM</t>
  </si>
  <si>
    <t>2/21/2024 07:00 PM</t>
  </si>
  <si>
    <t>00509999</t>
  </si>
  <si>
    <t>AMCEN-Desconexion equipos Centinela</t>
  </si>
  <si>
    <t>existían importadores pegados, se eliminan y los equipos vuelven a conectar.</t>
  </si>
  <si>
    <t>2/21/2024 12:43 PM</t>
  </si>
  <si>
    <t xml:space="preserve">interno </t>
  </si>
  <si>
    <t>00510007</t>
  </si>
  <si>
    <t>AMCEN - Solicitud de Revision CF232</t>
  </si>
  <si>
    <t>Se revisa el equipo el cual tenia intermitencia con su GPS, se revisa la calidad de la señal recibida por las antenas, la cual era cambiante, se le indica a Juan en una primera instancia, que revisen las conexiones en terreno, pero a raíz de otra solicitud, nos percatamos que el problema son las tormentas solares, se le indica a Juan que no es necesaria la revisión en terreno puesto que son muchos equipos los que están con el mismo problema.</t>
  </si>
  <si>
    <t>2/21/2024 08:48 PM</t>
  </si>
  <si>
    <t>2/21/2024 10:53 PM</t>
  </si>
  <si>
    <t>00510090</t>
  </si>
  <si>
    <t>AMCEN - CAEX 58 no muestra ubicación real</t>
  </si>
  <si>
    <t>Se intenta acceder al equipo de manera remota para realizar acciones pero no es posible debido a problemas de comunicación, lo cual debe se la razón de que equipo no esté actualizando su posición.</t>
  </si>
  <si>
    <t>00510108</t>
  </si>
  <si>
    <t>MLCC-Importador de modelo de bloques no carga los archivos</t>
  </si>
  <si>
    <t>se procesa 1 por 1 los archivos pasando de buena manera.</t>
  </si>
  <si>
    <t>2/22/2024 06:48 PM</t>
  </si>
  <si>
    <t>2/22/2024 07:48 PM</t>
  </si>
  <si>
    <t>00510120</t>
  </si>
  <si>
    <t>AMCEN - Solicitud de revision GPS CF2</t>
  </si>
  <si>
    <t>Se reinicia el equipo, recuperando así su GPS.</t>
  </si>
  <si>
    <t>2/22/2024 08:23 PM</t>
  </si>
  <si>
    <t>2/22/2024 08:54 PM</t>
  </si>
  <si>
    <t>00510126</t>
  </si>
  <si>
    <t>AMCEN - Solicitud de revision c08</t>
  </si>
  <si>
    <t>Se revisa el equipo, el cual tenia su GPS trabajando de forma correcta, se le responde el correo con una foto del camión.</t>
  </si>
  <si>
    <t>2/22/2024 09:25 PM</t>
  </si>
  <si>
    <t>2/22/2024 09:53 PM</t>
  </si>
  <si>
    <t>00510129</t>
  </si>
  <si>
    <t>MLCC - CF220 no acepta el destino</t>
  </si>
  <si>
    <t>Se revisa la BD, encontrando mas de 60 destinos duplicados, estos son borrados, se llama a Viviana quien nos indica que la situación ya mejoró.</t>
  </si>
  <si>
    <t>2/22/2024 10:19 PM</t>
  </si>
  <si>
    <t>2/23/2024 00:05 AM</t>
  </si>
  <si>
    <t>00510136</t>
  </si>
  <si>
    <t>AMCEN - Solicitud de revision PE1 y PE3</t>
  </si>
  <si>
    <t>Se revisan ambos equipos, la PE1 trabajando de forma normal . la PE3 con el gps en floating, pero sin ningún error en su configuración, solo la oscilación en la señal del GPS, se revisan otros equipos de alta los cuales también tienen la misma situación, se le indica a Juan que hay problemas con las tormentas solares.</t>
  </si>
  <si>
    <t>2/22/2024 11:08 PM</t>
  </si>
  <si>
    <t>2/23/2024 00:02 AM</t>
  </si>
  <si>
    <t>00510143</t>
  </si>
  <si>
    <t>Se eliminan las consultas y se monitorea para que no se sigan encolando.</t>
  </si>
  <si>
    <t>2/23/2024 01:51 AM</t>
  </si>
  <si>
    <t>2/23/2024 02:32 AM</t>
  </si>
  <si>
    <t>00510149</t>
  </si>
  <si>
    <t>CNRT - Cambiar ubicacion del PA722</t>
  </si>
  <si>
    <t>Se realiza el cambio de ubicacion segun lo solicitado</t>
  </si>
  <si>
    <t>2/23/2024 04:03 AM</t>
  </si>
  <si>
    <t>2/23/2024 04:45 AM</t>
  </si>
  <si>
    <t>00510157</t>
  </si>
  <si>
    <t>AMZAL - Sin sistema mineops</t>
  </si>
  <si>
    <t>Se revisa el servidor, el cual tiene múltiples importadores pegados, se eliminan los procesos y mineops vuelve a estar disponible.
Se revisa la descarga sumario, encontrando datos actualizados, equipos moviendose en el mapa, todo se ve normal.</t>
  </si>
  <si>
    <t>2/23/2024 07:17 AM</t>
  </si>
  <si>
    <t>2/23/2024 07:22 AM</t>
  </si>
  <si>
    <t>Pedro despacho</t>
  </si>
  <si>
    <t>00510170</t>
  </si>
  <si>
    <t>MLCC-Alejandro Larenas informa que los hazzard no están pasando a la carpeta save</t>
  </si>
  <si>
    <t>se pasa los archivos uno por uno y suben correctamente.</t>
  </si>
  <si>
    <t>2/23/2024  09:17 AM</t>
  </si>
  <si>
    <t>2/23/2024  10:17 AM</t>
  </si>
  <si>
    <t>00510171</t>
  </si>
  <si>
    <t>AMZAL-Sebastian Fernandez informa incongruencia en el reporte daily ya que los movimientos y tonelajes no le cuadran.</t>
  </si>
  <si>
    <t>se modifica reporte dayli y dayli turno ,mañana se espera una reunion para confirmacion del cliente.</t>
  </si>
  <si>
    <t>2/23/2024  12:17 AM</t>
  </si>
  <si>
    <t>00510193</t>
  </si>
  <si>
    <t>AMZAL-Miguel Caceres solicita asistencia por que las perforadoras sandvik no ven un código de manteción</t>
  </si>
  <si>
    <t>2/23/2024  03:26 PM</t>
  </si>
  <si>
    <t>00510197</t>
  </si>
  <si>
    <t>MLCC-Alejandro Larenas informa que archivos de modelo de bloques están pasando a la carpeta save</t>
  </si>
  <si>
    <t>se suben archivos uno por uno y pasan sin problema.</t>
  </si>
  <si>
    <t>2/23/2024  04:00 PM</t>
  </si>
  <si>
    <t>2/23/2024  05:00 PM</t>
  </si>
  <si>
    <t>Alejandro larenas</t>
  </si>
  <si>
    <t>2/24/2024  08:47 AM</t>
  </si>
  <si>
    <t>2/24/2024  09:00 AM</t>
  </si>
  <si>
    <t>00510209</t>
  </si>
  <si>
    <t>AMCEN - CF2 pantalla pegada</t>
  </si>
  <si>
    <t>Se reinicia la pantalla segun lo solicitado.</t>
  </si>
  <si>
    <t>2/23/2024  08:40 PM</t>
  </si>
  <si>
    <t>2/23/2024  09:12 PM</t>
  </si>
  <si>
    <t>00510211</t>
  </si>
  <si>
    <t>AMCEN - problemas en mineops</t>
  </si>
  <si>
    <t>Se revisa el sistema, donde se nota que los equipos dejaron de moverse en el mapa, al reiniciar el jams, la situación se mejora , se revisa el servidor estando todo ok, se hace seguimiento a algunos equipos, encontrando que hay mala conexión en algunos sectores, se sigue monitoreando mineops, y se mantiene estable.</t>
  </si>
  <si>
    <t>2/23/2024  09:39 PM</t>
  </si>
  <si>
    <t>2/23/2024  11:56 PM</t>
  </si>
  <si>
    <t>00510214</t>
  </si>
  <si>
    <t>AMCEN - Solicitud de revisión equipos</t>
  </si>
  <si>
    <t>Se revisan los equipos solicitados, los GPS de alta estan sufriendo alteraciones por las tormentas solares, en el caso del C162, se reinicia el equipo, recuperando asi el GPS.</t>
  </si>
  <si>
    <t>2/23/2024  10:17 PM</t>
  </si>
  <si>
    <t>2/23/2024  10:57 PM</t>
  </si>
  <si>
    <t>00510218</t>
  </si>
  <si>
    <t>AMZAL - D15 sin gps</t>
  </si>
  <si>
    <t>2/24/2024  02:52 AM</t>
  </si>
  <si>
    <t>2/24/2024  03:26 AM</t>
  </si>
  <si>
    <t>00510222</t>
  </si>
  <si>
    <t>AMANT-Alejandro indica que no le aparece el chancado 1</t>
  </si>
  <si>
    <t>se revisa y el CAHNC-TOLV1 no tiene coordenadas se avisa al despacho para que las ingrese.</t>
  </si>
  <si>
    <t>2/24/2024  10:34 AM</t>
  </si>
  <si>
    <t>2/24/2024  11:34 AM</t>
  </si>
  <si>
    <t>00510227</t>
  </si>
  <si>
    <t>SALVADOR-Llama John Boyd solicitando asistencia para OAS en los caex 118 y 318</t>
  </si>
  <si>
    <t>se revisa el evento , efectivamente es muy reiterativo , se solicita asistencia en terreno para revisión de hardware</t>
  </si>
  <si>
    <t>2/24/2024  12:00 PM</t>
  </si>
  <si>
    <t>2/24/2024  13:00 PM</t>
  </si>
  <si>
    <t>Jhon Boyd</t>
  </si>
  <si>
    <t>00510232</t>
  </si>
  <si>
    <t>MLCC- Sebastian de caserones informa que archivos de modelo de bloques no están pasando.</t>
  </si>
  <si>
    <t>se fuerza el importador y los archivos pasan normalmente.</t>
  </si>
  <si>
    <t>2/24/2024  17:00 PM</t>
  </si>
  <si>
    <t>2/24/2024  18:00 PM</t>
  </si>
  <si>
    <t>Sebastian Caserones</t>
  </si>
  <si>
    <t>00510248</t>
  </si>
  <si>
    <t>AMCEN - Solicitud de revisión GPS CF234</t>
  </si>
  <si>
    <t>Se revisa el equipo, el cual solo tiene alteraciones en la calidad del GPS, debido a tormentas solares.</t>
  </si>
  <si>
    <t>2/24/2024  11:08 PM</t>
  </si>
  <si>
    <t>2/24/2024  11:36 PM</t>
  </si>
  <si>
    <t>00510249</t>
  </si>
  <si>
    <t>MLCC - Pala 210 no acepta el destino</t>
  </si>
  <si>
    <t>El problema se debe a que habian destinos duplicados en el sistema.</t>
  </si>
  <si>
    <t>2/24/2024  11:49 PM</t>
  </si>
  <si>
    <t>2/25/2024  00:24 AM</t>
  </si>
  <si>
    <t>00510256</t>
  </si>
  <si>
    <t>CNRT - Moto 483</t>
  </si>
  <si>
    <t>Se elimina la BD del equipo de manera preventiva y se monitorea que no desconecte otros equipos, se hacen múltiples repc cada ciertos minutos y los equipos no sufren ningún problema, habiendo equipos con mas de 2 horas trabajando de corrido sin perder conexión con el servidor.</t>
  </si>
  <si>
    <t>2/25/2024  05:39 AM</t>
  </si>
  <si>
    <t>2/25/2024  07:25 AM</t>
  </si>
  <si>
    <t>00510257</t>
  </si>
  <si>
    <t>2/25/2024  07:01 AM</t>
  </si>
  <si>
    <t>2/25/2024  07:51 AM</t>
  </si>
  <si>
    <t>00510266</t>
  </si>
  <si>
    <t>MLCC-Alejadro solicita revision ya que las palas/camiones no hacen el cambio de estados con la pala</t>
  </si>
  <si>
    <t>se revisa cobertura en los equipos la cual estaba demasiado deficiente, se conversa con personal de redes de caserones para mejorar la condición</t>
  </si>
  <si>
    <t>2/25/2024  08:53 AM</t>
  </si>
  <si>
    <t>2/25/2024  09:53 AM</t>
  </si>
  <si>
    <t>00510274</t>
  </si>
  <si>
    <t>CNRT-Claudio solicita apoyo ya que malla de perforación no aparecía en una perforadora</t>
  </si>
  <si>
    <t>el problema era que la malla no estaba asignada a ninguna tronada , y a la tronada que pertenecía estaba eliminada. se revive la tronada y aparece la malla de perforación.</t>
  </si>
  <si>
    <t>2/25/2024  10:48 AM</t>
  </si>
  <si>
    <t>2/25/2024  11:48 AM</t>
  </si>
  <si>
    <t>00510276</t>
  </si>
  <si>
    <t>MLCC-Sebastian informa que no se estan subiendo archivos de modelo de bloques</t>
  </si>
  <si>
    <t>se fuerza el importador y los archivos suben correctamente.</t>
  </si>
  <si>
    <t>2/25/2024  14:31 PM</t>
  </si>
  <si>
    <t>2/25/2024  15:31 PM</t>
  </si>
  <si>
    <t>00510279</t>
  </si>
  <si>
    <t>AAM-Jorge Flores de MantoVerde solicita asistencia por la instalación de nuevos equipos auxiliares.</t>
  </si>
  <si>
    <t>se ve que los equipos están creados en el servidor , por lo que se crea solo el setup, se deja el archivo en una ruta con carpeta compartida.</t>
  </si>
  <si>
    <t>2/25/2024  15:55 PM</t>
  </si>
  <si>
    <t>Jorge Flores electroRam</t>
  </si>
  <si>
    <t>00510282</t>
  </si>
  <si>
    <t>AMZAL-Sebastian Fernandez Solicita sumarizacion del dia 22 de febrero.</t>
  </si>
  <si>
    <t>2/25/2024  16:53 PM</t>
  </si>
  <si>
    <t>2/25/2024  18:53 PM</t>
  </si>
  <si>
    <t>00510298</t>
  </si>
  <si>
    <t>MLCC-Alejandro Larenas Solicita asitencia ya que la PALA 210 manda los equipos a reserva.</t>
  </si>
  <si>
    <t>existían destinos duplicados , se eliminan luego el destino acepto materiales , y la pala dejo de mandar los equipos a reserva</t>
  </si>
  <si>
    <t>2/25/2024  18:43 PM</t>
  </si>
  <si>
    <t>00510360</t>
  </si>
  <si>
    <t>MLCC-Importadores de hazzard y diglimit no están pasando.</t>
  </si>
  <si>
    <t>se fuerza los importadores y los archivos pasan</t>
  </si>
  <si>
    <t>2/26/2024  08:15 AM</t>
  </si>
  <si>
    <t>2/26/2024  08:25 AM</t>
  </si>
  <si>
    <t>00510362</t>
  </si>
  <si>
    <t>AAM-Marcelo Romero solicita sumarización del día 22 de febrero.</t>
  </si>
  <si>
    <t>2/26/2024  09:00 AM</t>
  </si>
  <si>
    <t>2/26/2024  10:00 AM</t>
  </si>
  <si>
    <t>00510496</t>
  </si>
  <si>
    <t>MLCC-Importadores por cron no están funcionando.</t>
  </si>
  <si>
    <t>00510501</t>
  </si>
  <si>
    <t>CNN - PROBLEMAS SISTEMA HEXAGON cargadores</t>
  </si>
  <si>
    <t>2/26/2024  19:00 PM</t>
  </si>
  <si>
    <t>00510511</t>
  </si>
  <si>
    <t>CNDMH-Cesar Albornoz solicita asistencia ya que algunos equipos después de una hora se cambian a reserva sin operador automáticamente.</t>
  </si>
  <si>
    <t>2/26/2024  19:20 PM</t>
  </si>
  <si>
    <t>Cesar Albornoz Hexagon</t>
  </si>
  <si>
    <t>00510524</t>
  </si>
  <si>
    <t>Monitoreo - AMANT - procesos SQL encolados</t>
  </si>
  <si>
    <t>Se eliminan los procesos encolados y se monitorea que no siga pasando.</t>
  </si>
  <si>
    <t>2/26/2024  9:20 PM</t>
  </si>
  <si>
    <t>2/26/2024  11:54 PM</t>
  </si>
  <si>
    <t>00510527</t>
  </si>
  <si>
    <t>CNRT - Cambio de clave minadrt</t>
  </si>
  <si>
    <t>2/26/2024  10:23 PM</t>
  </si>
  <si>
    <t>2/26/2024  10:40 PM</t>
  </si>
  <si>
    <t>00510537</t>
  </si>
  <si>
    <t>2/27/2024  00:12 AM</t>
  </si>
  <si>
    <t>2/27/2024  01:08 AM</t>
  </si>
  <si>
    <t>00510545</t>
  </si>
  <si>
    <t>2/27/2024  00:20 AM</t>
  </si>
  <si>
    <t>2/27/2024  04:30 AM</t>
  </si>
  <si>
    <t>00510552</t>
  </si>
  <si>
    <t>AMCEN - RV: Links CAS dashboard</t>
  </si>
  <si>
    <t>Se revisa el acceso a ME, el cual estaba denegado, se recupera la entrada y al momento de generar el informe nos dice que no puede sacar datos del servidor, reiniciamos los servicios de sharperlight y recuperamos unos datos faltantes, se revisan los JOBS los cuales no presentaban ningun problema, se vuelve a revisar el informe y ya podemos sacar datos, se llama a Veronica, quien nos confirma que ahora tiene datos disponibles.</t>
  </si>
  <si>
    <t>2/27/2024  02:41 AM</t>
  </si>
  <si>
    <t>2/27/2024  04:12 AM</t>
  </si>
  <si>
    <t>Veronica despacho</t>
  </si>
  <si>
    <t>00510553</t>
  </si>
  <si>
    <t>AMCEN - Solicitud de revision GPS Perforadoras</t>
  </si>
  <si>
    <t>Se revisan los 3 equipos, los cuales tenian su gps funcionando correctamente, se le indica a Juan que seguramente paso un episodio de tormentas solares que descontrolo los gps de los equipos.</t>
  </si>
  <si>
    <t>2/27/2024  02:43 AM</t>
  </si>
  <si>
    <t>2/27/2024  03:06 AM</t>
  </si>
  <si>
    <t>00510558</t>
  </si>
  <si>
    <t>CNRT - PA205 no ve el poligono asignado</t>
  </si>
  <si>
    <t>Se revisa el equipo , en primera instancia el equipo tiene buena comunicacion con el servidor, se revisa que el poligono exista y se pueda ver desde el jsmina, lo cual es correcto, la altura del equipo y la del poligono coinciden, finalmente se compara la PA205 con otras palas, encontrando que la PA205, no tiene asignada una fase ni una descarga, se le indica lo descubierto a Javier quien le pasa la voz a despacho.
Mas tarde se revisa el equipo, al cual le asignaron una fase y una descarga, se revisa el VNC, y la pala ya puee ver los poligonos correctamente.</t>
  </si>
  <si>
    <t>2/27/2024  03:45 AM</t>
  </si>
  <si>
    <t>2/27/2024  07:37 AM</t>
  </si>
  <si>
    <t>00510572</t>
  </si>
  <si>
    <t>AMANT - sin acceso a jview</t>
  </si>
  <si>
    <t>El servicio sql server se encontraba detenido, se inicia el servicio y se tiene acceso de forma inmediata a jview, se le devuelve el llamado a Cristian, quien nos confirma que ya tiene reportabilidad.</t>
  </si>
  <si>
    <t>2/27/2024  07:21 AM</t>
  </si>
  <si>
    <t>2/27/2024  07:28 AM</t>
  </si>
  <si>
    <t>Cristian despacho</t>
  </si>
  <si>
    <t>00510614</t>
  </si>
  <si>
    <t>AMZAL-Belen Saez una inconsistencia entre lo reportado los días 14, 17 y 18 por Mineops y Jview. Segunda columna es el reporte de producción y la tercera lo obtenido por Mineops.</t>
  </si>
  <si>
    <t>Se realiza revisión y diferencias se producen por existir 3 descargas sin su carga asociada, por lo que se realiza el ajuste necesario para agregar los datos faltantes y así cuadrar la información del mineops.</t>
  </si>
  <si>
    <t>2/27/2024 12:00 PM</t>
  </si>
  <si>
    <t>2/28/2024 12:28 PM</t>
  </si>
  <si>
    <t>00510615</t>
  </si>
  <si>
    <t>MLCC-Daniel Necesita los datos TKPH del año 2023</t>
  </si>
  <si>
    <t>Se envía correo con archivos solicitados.</t>
  </si>
  <si>
    <t>2/27/2024 12:02 PM</t>
  </si>
  <si>
    <t>00510645</t>
  </si>
  <si>
    <t>AMZAL - Dibujos borrados</t>
  </si>
  <si>
    <t>Se le indica a Miguel que cuando los dibujos son borrados, se deben cargar nuevamente porque no queda un respaldo en le servidor.</t>
  </si>
  <si>
    <t>2/27/2024  11:03 PM</t>
  </si>
  <si>
    <t>2/27/2024  11:20 PM</t>
  </si>
  <si>
    <t>00510650</t>
  </si>
  <si>
    <t>AMCEN - Modificacion perfiles mineops</t>
  </si>
  <si>
    <t>Se modifican los perfiles solicitados.</t>
  </si>
  <si>
    <t>2/27/2024  10:03 PM</t>
  </si>
  <si>
    <t>2/27/2024  11:31 PM</t>
  </si>
  <si>
    <t>Scarlett Tica</t>
  </si>
  <si>
    <t>00510654</t>
  </si>
  <si>
    <t>2/28/2024  01:20 AM</t>
  </si>
  <si>
    <t>00510655</t>
  </si>
  <si>
    <t>Los equipos estan fallando por las tormentas solares</t>
  </si>
  <si>
    <t>2/27/2024  10:17 PM</t>
  </si>
  <si>
    <t>2/27/2024  10:50 PM</t>
  </si>
  <si>
    <t>00510661</t>
  </si>
  <si>
    <t>AMZAL - Reseumarizacion del 1 al 25 Febrero 2024</t>
  </si>
  <si>
    <t>2/27/2024  11:35 PM</t>
  </si>
  <si>
    <t>2/28/2024  06:10 AM</t>
  </si>
  <si>
    <t>00510668</t>
  </si>
  <si>
    <t>CNDMH - GPS FD111</t>
  </si>
  <si>
    <t>Se reinicia el equipo recuperando asi el GPS</t>
  </si>
  <si>
    <t>2/28/2024  00:54 AM</t>
  </si>
  <si>
    <t>2/28/2024  01:11 AM</t>
  </si>
  <si>
    <t>Albaro despacho</t>
  </si>
  <si>
    <t>00510678</t>
  </si>
  <si>
    <t>AMCEN - Solicitud de revisión de pantalla C23</t>
  </si>
  <si>
    <t>Se reinicia la pantalla del equipo.</t>
  </si>
  <si>
    <t>2/28/2024  05:46 AM</t>
  </si>
  <si>
    <t>00510695</t>
  </si>
  <si>
    <t>CNN - generación de Query</t>
  </si>
  <si>
    <t xml:space="preserve">
Se envía correo adjuntando planilla con los datos requeridos, cliente confirma recepción de la información.</t>
  </si>
  <si>
    <t>2/28/2024 5:19 AM</t>
  </si>
  <si>
    <t>2/29/2024 3:08 PM</t>
  </si>
  <si>
    <t>Roberto Maldonado Palacios</t>
  </si>
  <si>
    <t>00510757</t>
  </si>
  <si>
    <t>AMZAL-Desactivación de PLM</t>
  </si>
  <si>
    <t>Se quita de los grupos en vista device de todos los camiones las opciones plmiii y plmiv</t>
  </si>
  <si>
    <t>2/28/2024 12:42 PM</t>
  </si>
  <si>
    <t>2/28/2024 11:11 PM</t>
  </si>
  <si>
    <t>00510826</t>
  </si>
  <si>
    <t>Se elimina la base de datos local del equipo y se reinicia el sistema recuperando el funcionamiento correcto del gps</t>
  </si>
  <si>
    <t>2/28/2024 11:12 PM</t>
  </si>
  <si>
    <t>2/29/2024 12:03 AM</t>
  </si>
  <si>
    <t>00510831</t>
  </si>
  <si>
    <t>AMCEN - CAEX 152 pegado en sistema</t>
  </si>
  <si>
    <t>Se revisan los sensores del equipo pero no se encuentra nada con problemas, se procede a realizar un reinicio remoto del equipo recuperando así su posicionamiento real en el mapa</t>
  </si>
  <si>
    <t>2/29/2024 12:55 AM</t>
  </si>
  <si>
    <t>2/29/2024 2:24 AM</t>
  </si>
  <si>
    <t>00510851</t>
  </si>
  <si>
    <t>AMZAL - Posicionamiento de perforadoras en sistema Jigsaw</t>
  </si>
  <si>
    <t>Se solicita vía correo el listado de los equipos que presentan el problema. al usuario.</t>
  </si>
  <si>
    <t>2/29/2024 7:07 AM</t>
  </si>
  <si>
    <t>00510852</t>
  </si>
  <si>
    <t>CNCHQ - Pala 200 con pantalla pegada</t>
  </si>
  <si>
    <t>Se procedió al borrado de la base de datos interna y al reinicio del equipo. Después de esta operación, equipo funciona con normalidad. Se realizará monitoreo para descartar problemas de funcionamiento.</t>
  </si>
  <si>
    <t>2/29/2024 7:17 AM</t>
  </si>
  <si>
    <t>2/29/2024 3:20 PM</t>
  </si>
  <si>
    <t>Gonzalo Núñez</t>
  </si>
  <si>
    <t>00510893</t>
  </si>
  <si>
    <t>AMANT - Pala 2 con problemas de comunicación</t>
  </si>
  <si>
    <t>Equipo no presenta problemas de comunicación ni de GPS, de todas formas, se realizará monitoreo para descartar posibles problemas.</t>
  </si>
  <si>
    <t>2/29/2024 1:37 PM</t>
  </si>
  <si>
    <t>2/29/2024 3:06 PM</t>
  </si>
  <si>
    <t>Daniel Barboza - tecnico onsite</t>
  </si>
  <si>
    <t>00510912</t>
  </si>
  <si>
    <t>AMZAL - Sumarización FC 01 al 25 de febrero 2024</t>
  </si>
  <si>
    <t>Se realiza la sumarización sin mayores problemas.</t>
  </si>
  <si>
    <t>2/29/2024 3:04 PM</t>
  </si>
  <si>
    <t>00510913</t>
  </si>
  <si>
    <t>AMANT - equipo W02 no se visualiza en jsmina</t>
  </si>
  <si>
    <t>Motivo de la no visualización del equipo a través del jsmina es porque fue borrado de la bd del mineops, por lo que se debe realizar la activación. Se solicita al personal de terreno informar y solicitar a despacho correo con el requerimiento de ser necesaria la activación.</t>
  </si>
  <si>
    <t>2/29/2024 3:10 PM</t>
  </si>
  <si>
    <t>2/29/2024 3:15 PM</t>
  </si>
  <si>
    <t>00510917</t>
  </si>
  <si>
    <t>AMCEN - Importador Hazard pegado</t>
  </si>
  <si>
    <t>Se revisan los procesos de importadores y se encuentran encolados desde las 17:00 por lo que se procede a matar el proceso mas antiguo pegado, permitiendo que se ejecuten todos los procesos sin problemas y así pasa normalmente todos los archivos de manera automática.</t>
  </si>
  <si>
    <t>2/29/2024 4:03 PM</t>
  </si>
  <si>
    <t>2/29/2024 5:55 PM</t>
  </si>
  <si>
    <t>00510938</t>
  </si>
  <si>
    <t>Se accede al servidor .58 y se reinician los servicios SQL eliminando la cola y normalizando el funcionamiento</t>
  </si>
  <si>
    <t>2/29/2024 5:56 PM</t>
  </si>
  <si>
    <t>2/29/2024 6:59 PM</t>
  </si>
  <si>
    <t>00510940</t>
  </si>
  <si>
    <t>AMCEN - Perforadora 3 con problemas de gps</t>
  </si>
  <si>
    <t>Se le realiza un reinicio remoto al equipo, borrado de la base de datos sin recuperar el correcto funcionamiento. Antenas se encuentran en calidad 4 y 3 por lo que se revisa actividades de centelleo y se detecta que habrán niveles altos hasta las 3:30 de la madrugada. Se informa a cliente que esta es la razón para que tengan presente la información.</t>
  </si>
  <si>
    <t>2/29/2024 6:18 PM</t>
  </si>
  <si>
    <t>2/29/2024 7:06 PM</t>
  </si>
  <si>
    <t>00510943</t>
  </si>
  <si>
    <t>AMCEN - Reportabilidad desactualizada</t>
  </si>
  <si>
    <t>Se reincian los servicios SQL del servidor recuperando actualización correcta de la reportabilidad</t>
  </si>
  <si>
    <t>2/29/2024 6:25 PM</t>
  </si>
  <si>
    <t>2/29/2024 7:07 PM</t>
  </si>
  <si>
    <t>00510945</t>
  </si>
  <si>
    <t>AMCEN - Camión 162 con problemas de gps</t>
  </si>
  <si>
    <t>Se revisa el estado de los sensores del equipo encontrándose en buen estado por lo que solo se procede a reiniciar de manera remota el equipo, recuperando así su posicionamiento en sistema.</t>
  </si>
  <si>
    <t>2/29/2024 6:43 PM</t>
  </si>
  <si>
    <t>2/29/2024 7:08 PM</t>
  </si>
  <si>
    <t>00510950</t>
  </si>
  <si>
    <t>Se revisan los sensores del equipo y gps se encuentran en estado flotante, al revisar las antenas se puede observar calidad 3 y baja cantidad de satélites por lo que se vuelve a afirmar que problema es debido al centelleo.</t>
  </si>
  <si>
    <t>2/29/2024 7:42 PM</t>
  </si>
  <si>
    <t>2/29/2024 8:44 PM</t>
  </si>
  <si>
    <t>00510954</t>
  </si>
  <si>
    <t>AMCEN - Pala 8 con problemas en JSPanel</t>
  </si>
  <si>
    <t>Se revisa el equipo y se encuentra, efectivamente, con problemas del panel. Equipo se encuentra perforando sin embargo no mostraba la vista de profundidad, se realiza un reinicio remoto del equipo y pantalla queda funcionando correctamente.</t>
  </si>
  <si>
    <t>2/29/2024 8:43 PM</t>
  </si>
  <si>
    <t>2/29/2024 8:55 PM</t>
  </si>
  <si>
    <t>00510984</t>
  </si>
  <si>
    <t>AMZAL - Camión 40 perdió vueltas</t>
  </si>
  <si>
    <t>Se revisan las vueltas y estas ya fueron agregadas por personal de la mina, por lo que se da por terminado el requerimiento</t>
  </si>
  <si>
    <t>2/29/2024 11:56 PM</t>
  </si>
  <si>
    <t>Maria José</t>
  </si>
  <si>
    <t>00510985</t>
  </si>
  <si>
    <t>AMCEN - Cargador frontal 234 con ubicación pegada en sistema</t>
  </si>
  <si>
    <t>Se realizan multiples reinicios remotos no logrando recuperar el funcionamiento del panel, se procede a borrar la base de datos interna del equipo logrando que vuelva a funcionar ok el panel.</t>
  </si>
  <si>
    <t>2/29/2024 11:57 PM</t>
  </si>
  <si>
    <t xml:space="preserve">3/1/2024 1:41 AM
</t>
  </si>
  <si>
    <t>00510995</t>
  </si>
  <si>
    <t>Se realiza la sumarización como lo solicitó el cliente sin mayores complicaciones.</t>
  </si>
  <si>
    <t>Crisitan Perez</t>
  </si>
  <si>
    <t>00510997</t>
  </si>
  <si>
    <t>MLCC - Planillas excel no actualizan</t>
  </si>
  <si>
    <t>Se reinician los servicios SQL en ambos servidores (.58 y .59) para así recuperar el funcionamiento y actualización de reportes.</t>
  </si>
  <si>
    <t>00511002</t>
  </si>
  <si>
    <t>Mantoverde - informe con datos no definidos</t>
  </si>
  <si>
    <t>revisión de reporte muestra que hay tronadas que no se están considerando en las validaciones de la query por lo que se debe realizar una revisión y nuevas validaciones para poder incorporar las nuevas tronadas y así puedan ser clasificadas dentro del reporte. Se envía correo al cliente informando y solicitando revisar.</t>
  </si>
  <si>
    <t>Pedro Reygadas - despachador</t>
  </si>
  <si>
    <t>00511024</t>
  </si>
  <si>
    <t>AMANT - activar equipo W02</t>
  </si>
  <si>
    <t>Se realiza la activación del equipo y se informa vía correo al cliente.</t>
  </si>
  <si>
    <t>Ismael Guerrero Cárcamo - despacho</t>
  </si>
  <si>
    <t>00511025</t>
  </si>
  <si>
    <t>AMZAL - plan mensual no muestra toda la información</t>
  </si>
  <si>
    <t>plan mensual cargado por el cliente presentaba datos no válidos para el mineops, la fecha ingresada en la planilla contenía el año de la fecha con solo 2 dígitos y el sistema trabaja con el año completo (4 dígitos). Una vez corregido esto el importador realizo la carga de manera normal y el plan se cargó en el mineops sin convenientes.</t>
  </si>
  <si>
    <t>00511067</t>
  </si>
  <si>
    <t>Se revisan el número total de conexiones a la base de datos del servidor que alimenta planillas excel encontrando mas de 40 conexiones por lo que se atribuye a esto la lentitud en actualizar datos. Se matan todos los usuarios y luego se reinician los servicios SQL en ambos servidores.</t>
  </si>
  <si>
    <t>00511073</t>
  </si>
  <si>
    <t>AMCEN - Camiones con problemas de asignación</t>
  </si>
  <si>
    <t>Se mantiene un monitoreo de los equipos mencionados determinando que están trabajando ok por lo que los problemas de asignación debieron ser por una perdida de señal en el momento preciso interfiriendo con el proceso de cambio automático de actividad/asignación.</t>
  </si>
  <si>
    <t>00511076</t>
  </si>
  <si>
    <t>AMCEN - Camión 153 con pantalla pegada/en negro</t>
  </si>
  <si>
    <t>Se realiza un reinicio remoto del equipo recuperando así el funcionamiento correcto de su pantalla.</t>
  </si>
  <si>
    <t>00511079</t>
  </si>
  <si>
    <t>Se revisan los sensores del equipo y se observa una diferencia en la señal gps por lo que se realiza un borrado de la base de datos y reinicio del equipo recuperando su posición real y funcionamiento correcto del gps</t>
  </si>
  <si>
    <t>00511081</t>
  </si>
  <si>
    <t>MLCC - Perforadora 105 con problemas de gps</t>
  </si>
  <si>
    <t>Se revisa el equipo y se encuentra con buen estado de sensores pero las antenas tiene una con calidad 3 por lo que se realiza un reinicio remoto del equipo lo cual recupera el funcionamiento optimo del equipo con todos sus gps. Igualmente se investiga por centelleo y habrán eventos hasta las 03:00 AM aproximadamente por lo que se informa al cliente.</t>
  </si>
  <si>
    <t>Alejandro Barras</t>
  </si>
  <si>
    <t>00511084</t>
  </si>
  <si>
    <t>AMCEN - Perforadora 3 con problemas de señal gps</t>
  </si>
  <si>
    <t>Se revisan sensores y antenas, se intenta reiniciando el equipo y borrando la base de datos interna pero nada mejora la condición por lo que se atribuye a que es debido a centelleo.</t>
  </si>
  <si>
    <t>00511085</t>
  </si>
  <si>
    <t>AMCEN - Perforadora 4 con problemas de señal gps</t>
  </si>
  <si>
    <t>00511089</t>
  </si>
  <si>
    <t>MLCC - Perforadora 103 con problemas de gps</t>
  </si>
  <si>
    <t>Es imposible conectarse remotamente por problemas de comunicación con el equipo, se informa de esto al cliente y además que esa es la razón de que no funcionen los gps correctamente</t>
  </si>
  <si>
    <t>Jorge Gonzalez</t>
  </si>
  <si>
    <t>00511094</t>
  </si>
  <si>
    <t>AMZAL - Revisión de camión H52</t>
  </si>
  <si>
    <t>Equipo presenta problemas con la recepción optima de señal GPS, se realiza revisión y reinicio del computador a bordo para intentar mejorar la recepción, pero señal de gps no mejora. Se informa que se debe revisar estado del hardware del camión en terreno.</t>
  </si>
  <si>
    <t>Alejandro Arce - SIM</t>
  </si>
  <si>
    <t>00511104</t>
  </si>
  <si>
    <t>AMZAL - Sumarización FC 26 al 29 de febrero 2024</t>
  </si>
  <si>
    <t>Sumarización finalizada inconvenientes, se informa al cliente vía correo.</t>
  </si>
  <si>
    <t>Belen Baez</t>
  </si>
  <si>
    <t>00511117</t>
  </si>
  <si>
    <t>Mantoverde - camión CEKO034 no muestra icono del wifi</t>
  </si>
  <si>
    <t>Se realiza revisión del camión el cual tenía cargada la versión 2.06 por lo que se realiza cambio de su versión manualmente y la corrección la ruta de sincronización que se encontraba fallida. Luego de los cambios se realiza un reinicio y equipo levanta los parches de configuración correspondientes y queda operativo. Se llama a Sebastián González quien ratifica el correcto funcionamiento.</t>
  </si>
  <si>
    <t>00511126</t>
  </si>
  <si>
    <t>Se realiza sumarización como lo solicitó el cliente.</t>
  </si>
  <si>
    <t>00511128</t>
  </si>
  <si>
    <t>AMCEN - Pala 1 con problemas en JSPanel</t>
  </si>
  <si>
    <t>Se revisan sensores internos y se encuentra todo impecable, antenas recibiendo calidad máxima por lo que se mantiene monitoreo para observar comportamiento del equipo y efectivamente en ocasiones reconoce cargando camión y muestra bien en pantalla, otras veces llega a la última descarga y cambia la pantalla e incluso se pudo observar momentos que no cambió a la pantalla cargando camión. Como estaban todos los sensores internos ok se realiza ping al equipo y se puede observar una inestabilidad en la llegada de paquetes por lo que se determina que esa es la razón del comportamiento del equipo.</t>
  </si>
  <si>
    <t>Daniel Rojas</t>
  </si>
  <si>
    <t>00511141</t>
  </si>
  <si>
    <t>CNDMH - Jview desactualizado/caído</t>
  </si>
  <si>
    <t>Se reinician los servicios SQL en el servidor recuperando la información actualizada.</t>
  </si>
  <si>
    <t>00511143</t>
  </si>
  <si>
    <t>Se reinician los servicios SQL y se mantiene monitoreo de run.</t>
  </si>
  <si>
    <t>00511150</t>
  </si>
  <si>
    <t>MLCC - Planillas excel no cargan datos actualizados</t>
  </si>
  <si>
    <t>Se reinician los servicios SQL y se deja habilitado job que ejecuta el procedimiento almacenado de liberar carga de conexiones a la base de datos cada 2 horas.</t>
  </si>
  <si>
    <t>00511153</t>
  </si>
  <si>
    <t>CNDMH - Re portabilidad caída</t>
  </si>
  <si>
    <t xml:space="preserve">Al revisar el servidor de SQL la instancia de la bd se encontraba detenida, por lo que realice un reinicio los servicios para poder activar nuevamente la réplica, la cual se encontraba detenida desde las 07:10. </t>
  </si>
  <si>
    <t>Francisco Castillo - Lider técnico</t>
  </si>
  <si>
    <t>00511183</t>
  </si>
  <si>
    <t>CNRT - Archivo malla no carga</t>
  </si>
  <si>
    <t>Durante la revisión de los registros del script Ruby encargado de cargar mallas, se identificaron problemas de conflicto de nombres de archivo. Estos conflictos están causando colisiones con las ubicaciones (locations) existentes, lo cual no es válido para el correcto funcionamiento del script.</t>
  </si>
  <si>
    <t>00511211</t>
  </si>
  <si>
    <t>AMCEN - CAEX 164 con problemas en JSPanel</t>
  </si>
  <si>
    <t>Se realiza un borrado de la base de datos interna del equipo y al levantar nuevamente cambia de asignaciones normalmente.</t>
  </si>
  <si>
    <t>00511236</t>
  </si>
  <si>
    <t>Se reinician los servicios SQL en el servidor normalizando la situación</t>
  </si>
  <si>
    <t>00511237</t>
  </si>
  <si>
    <t>AMCEN - CAEX 47 no muestra ubicación real</t>
  </si>
  <si>
    <t>Se revisan los sensores del equipo encontrando el gps en bad_point por lo que se procede a reiniciar el equipo remotamente y al volver a levantar está con su gps non_differential. Sin embargo durante monitoreo se sigue quedando pegado y cada vez que esto sucede se debe a problemas de comunicación y no gps.</t>
  </si>
  <si>
    <t>00511297</t>
  </si>
  <si>
    <t>AMZAL - diferencias en plan mensual de marzo 2024</t>
  </si>
  <si>
    <t>La carga realizada el 1 de marzo se vio afectada por datos mal cargados los cuales provocaron duplicidad de planes. Se realiza borrado de todo el plan de marzo para posterior carga del plan el cual queda cargado sin errores. Se envía correo al cliente informando y validando lo realizado. Miguel Cáceres en reunión online revisa y da el ok por lo que se procede con el cierre del ticket.</t>
  </si>
  <si>
    <t>00511327</t>
  </si>
  <si>
    <t>CNRT - Carga de malla</t>
  </si>
  <si>
    <t>Se revisan los importadores, pero no existen procesos encolados que ocasiones problemas con la carga de archivos. Se realiza la carga de manera manual a través del script de ruby y no se generó ningún inconveniente con la carga. Archivo cargado.</t>
  </si>
  <si>
    <t>Elme Cruz</t>
  </si>
  <si>
    <t>00511328</t>
  </si>
  <si>
    <t>MLCC - Actualización de protocolo de conexión VPN</t>
  </si>
  <si>
    <t xml:space="preserve">
Se realiza carga de archivo mintun para actualizar protocolo de conexión de vpn. Especialista de Tucson solicita realizar cambio de túnel en el script del mintun y se está a la espera del acceso con el personal de Caserones para realizar lo solicitado.</t>
  </si>
  <si>
    <t>00511349</t>
  </si>
  <si>
    <t>Se sumarizan las fechas solicitadas sin novedades.</t>
  </si>
  <si>
    <t>00511351</t>
  </si>
  <si>
    <t>AMZAL - Reportes Jview sin datos</t>
  </si>
  <si>
    <t>Lo primero que se revisa es si hay información en SQL Server de Jview y se encuentra vacío por lo que es normal que jview no muestre información. Se procede a revisar servidor primario encontrando que tiene información no actualizada, llega solo hasta el turno A del día, por lo que se revisa logs de sumarizador y se encuentra que no estuvo terminando bien sus ultimas ejecuciones, se activa sumarizador por cron y se logran actualizar bien los datos permitiendo replicar a jview y eventualmente teniendo reportes con datos.</t>
  </si>
  <si>
    <t>Maria José Jara</t>
  </si>
  <si>
    <t>00511361</t>
  </si>
  <si>
    <t>AMCEN - Pala 3 con señal intermitente y problemas en JSPanel</t>
  </si>
  <si>
    <t>Se revisa el equipo y se encuentran los sensores gps floating, antenas con calidad 3. Se intenta hacer un reinicio remoto del equipo luego de borrar la base de datos para probar si mejora la situación pero no es así, por lo que se atribuyen problemas de intermitencia a centelleo.</t>
  </si>
  <si>
    <t>00511399</t>
  </si>
  <si>
    <t>CNN - Recuperar Poligono</t>
  </si>
  <si>
    <t>Se realiza activación del polígono y tronada la cual había sido borrado por error. Se envía correo al cliente con el detalle de lo realizado.</t>
  </si>
  <si>
    <t>00511421</t>
  </si>
  <si>
    <t>CNN - Cambios febrero 2024 jigsaw</t>
  </si>
  <si>
    <t>se procedió con la modificación del F/C del mes de febrero y la sumarizacion. Además de la carga del F/C para el mes de marzo.</t>
  </si>
  <si>
    <t>00511422</t>
  </si>
  <si>
    <t>MLCC - Solicita Baja de Servicios: JORGE ALBERTO CADIMA NUÑEZ</t>
  </si>
  <si>
    <t>Usuario informado no tiene cuentas en los aplicativos de Hexagon; mineops ni jview</t>
  </si>
  <si>
    <t>Mesa de ayuda</t>
  </si>
  <si>
    <t>00511442</t>
  </si>
  <si>
    <t>CNN - Leyes acopios Marzo 2024</t>
  </si>
  <si>
    <t>Se realiza la carga de las leyes según indicaciones por parte del cliente. se envía correo informando los detalles.</t>
  </si>
  <si>
    <t>00511469</t>
  </si>
  <si>
    <t>AMCEN - Perforadora 53 con pantalla pegada</t>
  </si>
  <si>
    <t>Se revisan sensores internos del equipo y se encuentra todo impecable, se realiza un reinicio de pantalla y al volver a levantar operador puede utilizar sin problemas.</t>
  </si>
  <si>
    <t>00511474</t>
  </si>
  <si>
    <t>AMZAL - Perforadora 14 con problemas de gps</t>
  </si>
  <si>
    <t>Se revisan los sensores y antenas del equipo encontrándose efectivamente en floating, se intenta realizando un reinicio remoto que no mejoró la situación, luego un borrado de la base de datos interna y tampoco regularizó la situación por lo que se atribuyen problemas a centelleo.</t>
  </si>
  <si>
    <t>Freddie Quispe</t>
  </si>
  <si>
    <t>00511483</t>
  </si>
  <si>
    <t>Se mantiene monitoreo y equipo se encuentra cambiando entre floating y buen estado de gps (fixed) de manera intermitente, se intenta reiniciar el equipo para ver si se puede regularizar situación pero sigue comportandose igual por lo que se atribuyen problemas a centelleo</t>
  </si>
  <si>
    <t>00511493</t>
  </si>
  <si>
    <t>AMCEN - Camiones C10 y C163 con problemas de gps</t>
  </si>
  <si>
    <t>Al momento de revisar ambos camiones el C10 se encuentra en mantenimiento programado por lo que no se puede confirmar estado de gps y el C163 se encuentra operando con normalidad y con sensores en buen estado por lo que se comenta que equipos debieron perder comunicación un momento no actualizando su verdadera posición y al momento de recuperar comunicación se normalizaron en sistema.</t>
  </si>
  <si>
    <t>00511504</t>
  </si>
  <si>
    <t>MLCC - Planillas excel no cargan datos correctamente</t>
  </si>
  <si>
    <t>Se eliminan el exceso de conexiones a la base de datos</t>
  </si>
  <si>
    <t>00511514</t>
  </si>
  <si>
    <t>AMZAL-INGRESO EQUIPOS A SISTEMA JMINEOP</t>
  </si>
  <si>
    <t>00511597</t>
  </si>
  <si>
    <t>CNRI-LLama Jhon boyd por Caex 115 por demasiadas alertas de sistema OAS</t>
  </si>
  <si>
    <t>se revisa y las alarmas son de bloqueo , se bloqueo la visión del sensor hacia su objetivo,se recomienda revisión en terreno.</t>
  </si>
  <si>
    <t>00511598</t>
  </si>
  <si>
    <t>AMZAL-Freddie llama por gps por perforadora D15.</t>
  </si>
  <si>
    <t>debido a actividad geomagnetica los gps estaba en floating pero luego que termina el evento vuelven a tener la mejor calidad.</t>
  </si>
  <si>
    <t>00511600</t>
  </si>
  <si>
    <t>AMZAL-RE: Reporte Exceso de velocidad Zaldivar se ejecutó a las 05/03/2024 7:15:09</t>
  </si>
  <si>
    <t>Estimado al respecto de este reporte, favor considerar la siguiente lista de distribución, es decir, borrar la anterior y sólo considerar a estos usuarios que están en copia.</t>
  </si>
  <si>
    <t>00511602</t>
  </si>
  <si>
    <t>AMCEN-Luis rios informa que CF234 no carga el mapa.</t>
  </si>
  <si>
    <t>se reinicia el equipo.</t>
  </si>
  <si>
    <t>00511603</t>
  </si>
  <si>
    <t>CAPCNN-header indica que no tiene reportabilidad en Jview</t>
  </si>
  <si>
    <t>se sumariza manual , volviendo la reportabilidad.</t>
  </si>
  <si>
    <t>Header</t>
  </si>
  <si>
    <t>00511621</t>
  </si>
  <si>
    <t>AMCEN-Luis rios informa que C48 esta sin sistema.</t>
  </si>
  <si>
    <t>se reinicia el equipo quedando operativo.</t>
  </si>
  <si>
    <t>00511622</t>
  </si>
  <si>
    <t>MLCC-Alejandro LArenas informa que un destino no recibe cierto material.</t>
  </si>
  <si>
    <t>se eliminan destinos duplicados y Alejandro puede asignarle el material al destino.</t>
  </si>
  <si>
    <t>00511712</t>
  </si>
  <si>
    <t>CNRT-LLama franchesca informando que no tiene reportabilidad en JView</t>
  </si>
  <si>
    <t>se encontraba detenido los servicios de SQLserver , se reactiva y vuelve a funcionar JVIEW</t>
  </si>
  <si>
    <t xml:space="preserve">Franchesca </t>
  </si>
  <si>
    <t>00511714</t>
  </si>
  <si>
    <t>CNCHQ-Miguel Huanchicay solicita apoyo por Camión 457</t>
  </si>
  <si>
    <t>el equipo presenta calidad de GPS intermitente entre 3 y 1 barra , se avisa a técnico para que revise hardware del equipo.</t>
  </si>
  <si>
    <t>00511716</t>
  </si>
  <si>
    <t>AMCEN-Luis rios informa problema GPS con PE8</t>
  </si>
  <si>
    <t>00511717</t>
  </si>
  <si>
    <t>AMCEN-Luis rios informa problema con Señal C154, no realiza las asignaciones automáticas ( cargando, descargando)</t>
  </si>
  <si>
    <t>equipo tiene problema de vims , se deriva a personal de terreno</t>
  </si>
  <si>
    <t>00511731</t>
  </si>
  <si>
    <t>AAM-Victor Veragua solicita reinicio de su clave de Mineops</t>
  </si>
  <si>
    <t>se resetea la clave del usuario</t>
  </si>
  <si>
    <t>00511747</t>
  </si>
  <si>
    <t>Working</t>
  </si>
  <si>
    <t>00511759</t>
  </si>
  <si>
    <t>DMH- Monitoreo- procesos sql encolados</t>
  </si>
  <si>
    <t>Se matan los procesos y el sistema funciona con normalidad.</t>
  </si>
  <si>
    <t>00511760</t>
  </si>
  <si>
    <t>DMH- rodrigo valenzuela - Problema reportabilidad Jview</t>
  </si>
  <si>
    <t>Se ingresa al servidor y el sistema carga con normalidad. Se cargan dos reportes y los datos esán actualizados. En el correo se nota como no cargan todas las carpetas en el jview por lo tanto es problema local de red. Se informa a Rodrigo Valenzuela para que tenga conocimiento.</t>
  </si>
  <si>
    <t>00511762</t>
  </si>
  <si>
    <t>CNRI-alarmas Caex 318 fase 2 sistema OAS</t>
  </si>
  <si>
    <t>trabajando</t>
  </si>
  <si>
    <t>00511763</t>
  </si>
  <si>
    <t>CNRI - consulta red fibra</t>
  </si>
  <si>
    <t>Se explica que nosotros no vemos el tema de redes y que eso se debe consultar con la empresa correspondiente. Se entrega el contacto de Gilmer Pompa para consultas de administración.</t>
  </si>
  <si>
    <t>00511765</t>
  </si>
  <si>
    <t>AAS - Carolina Morales - Revision carpeta xFer</t>
  </si>
  <si>
    <t>solo un integrante de la reunion ingresó, el resto de los integrantes no accedieron por lo que se quedo de reprogramar la revisión para otro día.</t>
  </si>
  <si>
    <t>Juan Nuñez Torres</t>
  </si>
  <si>
    <t>00511786</t>
  </si>
  <si>
    <t>RT - Claudio - Las mallas no pasan de la carpeta xfer</t>
  </si>
  <si>
    <t>Se detecta que una malla está tratando de crear un location que ya existe. Las dos mallas restantes pasan sin problemas. Se le da aviso a Claudio para que gestione la solución del archivo.</t>
  </si>
  <si>
    <t>00511811</t>
  </si>
  <si>
    <t>al momento de la revision el equipo tenia buena señal.</t>
  </si>
  <si>
    <t>00511812</t>
  </si>
  <si>
    <t>AMCEN-Luis rios informa problema GPS con PE51</t>
  </si>
  <si>
    <t>00511815</t>
  </si>
  <si>
    <t>AMCEN-Luis rios informa problema con PA211 por sistema pegado</t>
  </si>
  <si>
    <t>00511838</t>
  </si>
  <si>
    <t>00511839</t>
  </si>
  <si>
    <t>CNCHQ-Miguel Solicita apoyo por camión C453 por pantalla pegada</t>
  </si>
  <si>
    <t>00511840</t>
  </si>
  <si>
    <t>AMCEN-Luis rios informa problema GPS con PA1</t>
  </si>
  <si>
    <t>al momento de la revisión el equipo se encontraba con buena señal GPS</t>
  </si>
  <si>
    <t>00511841</t>
  </si>
  <si>
    <t>se reinicia el core del equipo y levanta con buena señal gps.</t>
  </si>
  <si>
    <t>00511842</t>
  </si>
  <si>
    <t>CNRI-Jhon Boyd solicita asisatencia en el sistema OAS para caex 119</t>
  </si>
  <si>
    <t>se revisa el equipo y tiene buena comunicación y esta marcando bien , las alarmas de bloqueo deben revisarse en terreno.</t>
  </si>
  <si>
    <t>00511860</t>
  </si>
  <si>
    <t>AMCEN-Luis rios informa problema GPS con CF234</t>
  </si>
  <si>
    <t>00511918</t>
  </si>
  <si>
    <t>CNCHQ-Miguel Huanchicay informa que ME esta con problemas.</t>
  </si>
  <si>
    <t>se recupera el posicionamiento de los equipo , forzando el job manualmente.</t>
  </si>
  <si>
    <t>00511923</t>
  </si>
  <si>
    <t>AMCEN-Luis rios informa problema con CF2 pantalla pegada</t>
  </si>
  <si>
    <t>00511924</t>
  </si>
  <si>
    <t>AMZAL-Freddie de la empresa SIM solicita apoyo por el cambio de Core de una pala.</t>
  </si>
  <si>
    <t>se monitorea el equipo ,luego del cambio de core y funciona de buena manera.</t>
  </si>
  <si>
    <t>Freddie Empresa Sim</t>
  </si>
  <si>
    <t>00512034</t>
  </si>
  <si>
    <t>AMZAL-Pedro de despacho informa que no ve los diglines en la S03</t>
  </si>
  <si>
    <t>se reinicia la BD de datos del equipo , y se asigna nuevamente que vea los diglines viendo en el vnc nuevamente.</t>
  </si>
  <si>
    <t xml:space="preserve">Pedro Despacho </t>
  </si>
  <si>
    <t>00512036</t>
  </si>
  <si>
    <t>MLCC-Alejandro LArenas informa que los camiones que van al frontal L221 cambian de material al salir a la rampa</t>
  </si>
  <si>
    <t>el Frontal L221 esta con problemas de GPS y existe un cron que cada 1 minuto verifique el el bloque que ira al camión con el GPS de la pala , al tener problemas asigna otro bloque y material al camión, se solicita reparar con prioridad el gps del frontal.</t>
  </si>
  <si>
    <t>00512049</t>
  </si>
  <si>
    <t>AAM-Victor Veragua solicita análisis de las señales en los equipos de carguio.</t>
  </si>
  <si>
    <t>se realiza lo pedido por victor , se envía correo con análisis.</t>
  </si>
  <si>
    <t>00512051</t>
  </si>
  <si>
    <t>AMCEN-Luis rios informa problema GPS con PE1</t>
  </si>
  <si>
    <t>00512084</t>
  </si>
  <si>
    <t>AMCEN-Luis rios informa problema GPS con C47</t>
  </si>
  <si>
    <t>00512198</t>
  </si>
  <si>
    <t>MLCC-PARCHE Y/O ULTIMA VERSION DE MINEOPS</t>
  </si>
  <si>
    <t>Se descargan desde el servidor primario los parches del MineOps a mi máquina y luego por conexión remota se le aplica parche a cliente sin problemas. Fue necesario generar la carpeta y traspasar el archivo models dentro de este, en carpeta C:\Program Files (x86)\Hexagon Mining\MineOperate\Jigsaw de modo que quedó con la siguiente estructura: C:\Program Files (x86)\Hexagon Mining\MineOperate\Jigsaw/Clients/mlcc/ruby archivo models</t>
  </si>
  <si>
    <t>3/14/2024 3:31 PM</t>
  </si>
  <si>
    <t>Mesa de Ayuda</t>
  </si>
  <si>
    <t>00512247</t>
  </si>
  <si>
    <t>MLCC - Cargador frontal 221 con problemas de gps</t>
  </si>
  <si>
    <t>Se revisan los sensores del equipo y se encuentra en bad point la antena 2 del equipo, sin recibir datos de coordenadas norte, este. se intenta recuperar estado correcto del gps con un reinicio remoto y eliminación de base de datos pero no da buenos resultados por lo que se recomienda atención en terreno.</t>
  </si>
  <si>
    <t>3/13/2024 5:31 AM</t>
  </si>
  <si>
    <t>3/13/2024 7:03 AM</t>
  </si>
  <si>
    <t>Alexis Artigas (Tres60)</t>
  </si>
  <si>
    <t>00512249</t>
  </si>
  <si>
    <t>CNRI - CAEX con problemas en cámara y vibración</t>
  </si>
  <si>
    <t>Se revisan los eventos en lista eventos de web OpWeb (10.55.55.38) filtrando por Buscando Cara y se encuentran eventos asociados a ambos CAEX (104 y 114) que coinciden con la llamada y las alertas reportadas. Se ve la grabación encontrando que cámara sufrió una reacción y comenzó a grabar todo en negro y por esto se activo la alarma y vibración.</t>
  </si>
  <si>
    <t>3/13/2024 5:34 AM</t>
  </si>
  <si>
    <t>3/13/2024 3:02 PM</t>
  </si>
  <si>
    <t>Benito Oliva</t>
  </si>
  <si>
    <t>00512299</t>
  </si>
  <si>
    <t>Se reinician los servicios SQL server en el servidor Jview .58 normalizando situación</t>
  </si>
  <si>
    <t>3/13/2024 10:56 AM</t>
  </si>
  <si>
    <t>00512301</t>
  </si>
  <si>
    <t>AMZAL - Vistas de códigos en Pantallas de Paleros y CF</t>
  </si>
  <si>
    <t>3/13/2024 11:09 AM</t>
  </si>
  <si>
    <t>00512338</t>
  </si>
  <si>
    <t>CNCHUQ - Despacho informa que no puede ingresr a Jview</t>
  </si>
  <si>
    <t>Se realiza conexión al servidor jview no encontrando problemas con el acceso al aplicativo de reportabilidad, además se revisa el estado del servidor sql y de los servicios para descartar problemas y todo se encuentra actualizado y corriendo con normalidad. Se indica al técnico pueda indicar al usuario realizar una revisión de la memoria cache del equipo con problemas para agilizar las conexiones con el servidor.</t>
  </si>
  <si>
    <t>3/13/2024 5:50 PM</t>
  </si>
  <si>
    <t>3/13/2024 8:35 PM</t>
  </si>
  <si>
    <t>Marco Cortes - Soporte hexagon</t>
  </si>
  <si>
    <t>00512340</t>
  </si>
  <si>
    <t>AMCEN - Problema GPS C11</t>
  </si>
  <si>
    <t>Equipo se encuentra operando con normalidad. Se envía correo al cliente informando el estado del equipo.</t>
  </si>
  <si>
    <t>3/13/2024 6:22 PM</t>
  </si>
  <si>
    <t>3/13/2024 10:51 PM</t>
  </si>
  <si>
    <t>Belen Sandoval</t>
  </si>
  <si>
    <t>00512349</t>
  </si>
  <si>
    <t>AMCEN - Problema GPS Cf231</t>
  </si>
  <si>
    <t>Equipo se encuentra con señal de GPS en óptimas condiciones y operando con normalidad. Se informa al cliente vía correo sobre el estado del cargador.</t>
  </si>
  <si>
    <t>3/13/2024 8:23 PM</t>
  </si>
  <si>
    <t>3/14/2024 1:13 AM</t>
  </si>
  <si>
    <t>00512353</t>
  </si>
  <si>
    <t>AMANT - Revisión de pala 3</t>
  </si>
  <si>
    <t>Equipo no se encuentra sin conexión por lo que no es posible realizar intervención remota. Se llama al usuario indicando el estado del equipo y la imposibilidad de conectarse dese Santiago. Se informará a personal en terreno para que realice la revisión del equipo.</t>
  </si>
  <si>
    <t>3/13/2024 10:17 PM</t>
  </si>
  <si>
    <t>3/14/2024 12:42 AM</t>
  </si>
  <si>
    <t>Ismael Guerrero - despacho</t>
  </si>
  <si>
    <t>00512358</t>
  </si>
  <si>
    <t>AMCEN - Problema GPS Cf232</t>
  </si>
  <si>
    <t>Equipo presenta lentitud en carga de mapa en el jspanel y calidad de gps en 3 por lo que se realiza borrado de la bd interna y reinicio del core, lo que permite mejorar la performance de la señal de GPS. Equipo se encuentra operando con normalidad.</t>
  </si>
  <si>
    <t>3/14/2024 12:26 AM</t>
  </si>
  <si>
    <t>3/14/2024 1:15 AM</t>
  </si>
  <si>
    <t>00512408</t>
  </si>
  <si>
    <t>MLCC - CAEX 310 con códigos incorrectos</t>
  </si>
  <si>
    <t>Revisando se encuentra que el camión C310 era el único que difería de flota de todos los camiones en vista Equipamientos por lo que se informa de esto a despachador y lo deja como lo demás solucionando el problema</t>
  </si>
  <si>
    <t>3/14/2024 11:54 AM</t>
  </si>
  <si>
    <t>3/14/2024 1:32 PM</t>
  </si>
  <si>
    <t>00512420</t>
  </si>
  <si>
    <t>AAM - CEKO042 con problemas de pantalla</t>
  </si>
  <si>
    <t>Se intenta revisar el JAMS del equipo pero no es posible acceder, al revisar los logs del mismo se encuentra pegado, se procede a borrar base de datos interna y reiniciar el equipo, pero no vuelve a recuperar pantalla por lo que se recomienda reinstalación del equipo en terreno y luego de eso si levanta ok</t>
  </si>
  <si>
    <t>3/14/2024 1:42 PM</t>
  </si>
  <si>
    <t>3/14/2024 1:59 PM</t>
  </si>
  <si>
    <t>Sebastián Gonzalez</t>
  </si>
  <si>
    <t>00512446</t>
  </si>
  <si>
    <t>Se realiza reinicio del equipo para mejorar la recepción de señal de GPS, lo que permite mejorar la recepción de señal de GPS. Equipo se encuentra operando con normalidad. Se envía correo al cliente informando el estado del equipo.</t>
  </si>
  <si>
    <t>3/14/2024 6:50 PM</t>
  </si>
  <si>
    <t>3/14/2024 8:40 PM</t>
  </si>
  <si>
    <t>00512447</t>
  </si>
  <si>
    <t>AMCEN - Problema señal perfos</t>
  </si>
  <si>
    <t>Equipo no presentan problemas en el funcionamiento de sus antenas GPS, se realiza monitoreo durante 2 horas y no se visualizan variaciones en las señales de GPS.</t>
  </si>
  <si>
    <t>3/14/2024 7:10 PM</t>
  </si>
  <si>
    <t>3/14/2024 9:38 PM</t>
  </si>
  <si>
    <t>00512452</t>
  </si>
  <si>
    <t>CNRI-Problemas para ingresar a opweb</t>
  </si>
  <si>
    <t>Opweb presentaba error de conexión al servidor, por lo que se realiza reinicio del servicio. Luego de esto página de opweb levanta sin inconvenientes.</t>
  </si>
  <si>
    <t>3/14/2024 8:56 PM</t>
  </si>
  <si>
    <t>3/14/2024 9:41 PM</t>
  </si>
  <si>
    <t>Ariel Carvajal</t>
  </si>
  <si>
    <t>00512471</t>
  </si>
  <si>
    <t>MLCC - Reportes no muestran información en sus gráficos</t>
  </si>
  <si>
    <t>Tras revisar, se observa que la tabla que alimenta esa sección del informe (by_equipment_times) carece de datos tanto en el servidor JView SQL Server como en el servidor principal PostgreSQL. Al realizar una consulta, se constató que los datos estaban registrados hasta el 14-03 y no estaban actualizados a la fecha (15-03).
Se llevó a cabo una sumarización forzada de una tabla, lo que permitió recuperar los datos. Posteriormente, se detuvo el proceso de sumarización por servicio, se forzó una sumarización completa y se volvió a iniciar el proceso por servicio, logrando así la recuperación de los datos en los informes y la correcta ejecución del proceso de sumarización.</t>
  </si>
  <si>
    <t>3/14/2024 11:47 PM</t>
  </si>
  <si>
    <t>3/15/2024 6:11 AM</t>
  </si>
  <si>
    <t>Ricardo Ramírez</t>
  </si>
  <si>
    <t>00512491</t>
  </si>
  <si>
    <t>CNRI - Caex 110 con alerta Bloqueado</t>
  </si>
  <si>
    <t>Se le informa a persona de despacho que es importante que el operador no tenga objetos que puedan interferir en la visual de su cara para la cámara como lo podrían ser gorras, lentes, etc.</t>
  </si>
  <si>
    <t>3/15/2024 6:30 AM</t>
  </si>
  <si>
    <t>3/15/2024 8:13 AM</t>
  </si>
  <si>
    <t>00512519</t>
  </si>
  <si>
    <t>AMCN - Contraseña de MineOps</t>
  </si>
  <si>
    <t>Se le responde que Soporte remoto no atiende esas solicitudes y que deberán consultar internamente.</t>
  </si>
  <si>
    <t>3/15/2024 10:24 AM</t>
  </si>
  <si>
    <t>3/15/2024 12:40 PM</t>
  </si>
  <si>
    <t>Francisco Avalos</t>
  </si>
  <si>
    <t>00512532</t>
  </si>
  <si>
    <t>AAM - Pala se asigna automáticamente a polígono equivocado</t>
  </si>
  <si>
    <t>Intentado realizar conexión a la pala para diagnosticar se detecta una pérdida de mas del 50% de los paquetes enviados imposibilitando una conexión remota. Se informa del problema de comunicación y que es por esa razón que al cambiar de zona la pala se devuelve a la 0825V501A con material HEAP cuando realmente debería estar trabajando 0825V501Z1 con DUMP o ESTERIL. Por esto mismo se recomienda atención en terreno y forzar un reinicio desconectando Core y Pantalla.</t>
  </si>
  <si>
    <t>3/15/2024 12:43 PM</t>
  </si>
  <si>
    <t>3/15/2024 3:28 PM</t>
  </si>
  <si>
    <t>00512541</t>
  </si>
  <si>
    <t>CNRI - Creación de pala en sistema</t>
  </si>
  <si>
    <t>Se genera el equipo únicamente en tabla equipment y se replica configuración de otra pala que indican es exactamente misma flota y modelo.</t>
  </si>
  <si>
    <t>3/15/2024 2:42 PM</t>
  </si>
  <si>
    <t>3/15/2024 3:21 PM</t>
  </si>
  <si>
    <t>Juan Carrera</t>
  </si>
  <si>
    <t>00512542</t>
  </si>
  <si>
    <t>AMANT - Revivir Mallas</t>
  </si>
  <si>
    <t>Se investiga por la existencia de archivo .csv en carpeta save pero no se encuentra por lo que se procede a revisar en base de datos (drill_patterns) por la existencia de las mallas mencionadas y se encuentran y se les actualiza el campo updated_at a la fecha actual con getutcdate().</t>
  </si>
  <si>
    <t>3/15/2024 3:00 PM</t>
  </si>
  <si>
    <t>00512544</t>
  </si>
  <si>
    <t>CNN - Velocidades por flota</t>
  </si>
  <si>
    <t>3/15/2024 3:24 PM</t>
  </si>
  <si>
    <t>00512551</t>
  </si>
  <si>
    <t>AMCEN - Problema señal PA1</t>
  </si>
  <si>
    <t>Equipo presenta perdida de paquetes lo que genera lentitud en la actualización de la pantalla. Calidad del GPS se encuentra operando en calidad 4.</t>
  </si>
  <si>
    <t>3/15/2024 4:44 PM</t>
  </si>
  <si>
    <t>3/15/2024 6:26 PM</t>
  </si>
  <si>
    <t>Belen sandoval</t>
  </si>
  <si>
    <t>00512554</t>
  </si>
  <si>
    <t>CNCHUQ - cambio password jview enms</t>
  </si>
  <si>
    <t>Se procede con el cambio de clave solicitado, se envían los datos por correo.</t>
  </si>
  <si>
    <t>3/15/2024 5:05 PM</t>
  </si>
  <si>
    <t>3/15/2024 6:24 PM</t>
  </si>
  <si>
    <t>Marco Cortes</t>
  </si>
  <si>
    <t>00512561</t>
  </si>
  <si>
    <t>AMCEN - Señal GPS perfo 6</t>
  </si>
  <si>
    <t>Se procede a revisar equipo el cual no presenta problemas en funcionamiento de GPS. LA revisión acusa baja cobertura de red en el sector lo que provoca lentitud en las actualizaciones de la pantalla y las conexiones al core. Se envía correo al cliente informando lo revisado.</t>
  </si>
  <si>
    <t>3/15/2024 6:27 PM</t>
  </si>
  <si>
    <t>3/15/2024 11:45 PM</t>
  </si>
  <si>
    <t>00512568</t>
  </si>
  <si>
    <t>AMCEN - PE8, PE1, PE5 y PE10 se encuentran con problemas de señal.</t>
  </si>
  <si>
    <t>Equipo PE8, PE5 y PE10 se encuentran con sus señales de GPS operando con normalidad, se realizó un reinicio de sus GPS para recuperar su funcionalidad. PE1 se encuentra fuera de servicio desde las 01:25 aprox. Por lo que fue posible realizar alguna revisión. Se envía correo informando el estado de los equipos.</t>
  </si>
  <si>
    <t>3/15/2024 8:26 PM</t>
  </si>
  <si>
    <t>3/15/2024 11:42 PM</t>
  </si>
  <si>
    <t>00512570</t>
  </si>
  <si>
    <t>AMCEN - Problema señal GPS PA3</t>
  </si>
  <si>
    <t>Se realiza reinicio del equipo para mejorar la recepción de la señal GPS. Equipo de encuentra operando con normalidad.</t>
  </si>
  <si>
    <t>3/15/2024 10:26 PM</t>
  </si>
  <si>
    <t>3/15/2024 11:44 PM</t>
  </si>
  <si>
    <t>00512571</t>
  </si>
  <si>
    <t>CNDMH - Mineops presenta lentitud</t>
  </si>
  <si>
    <t>Se realiza revisión de procesos del servidor el cual presenta un alto consumo de CPU lo que genera lentitud del aplicativo y en los procesos de réplica. Se realiza un reinicio del JAMS para permitir mejorar la conectividad de los equipos de campo y del aplicativo mineops. Actualmente sistema se encuentra funcionando con normalidad.</t>
  </si>
  <si>
    <t>3/15/2024 11:00 PM</t>
  </si>
  <si>
    <t>3/17/2024 2:39 AM</t>
  </si>
  <si>
    <t>00512588</t>
  </si>
  <si>
    <t>CNN - Sin reportabilidad</t>
  </si>
  <si>
    <t>Se reinicia el servicio de sumarizador y se ejecuta en paralelo un sumarizador forzado de las últimas 12 horas recuperando así datos actualizados.</t>
  </si>
  <si>
    <t>3/16/2024 7:50 AM</t>
  </si>
  <si>
    <t>3/16/2024 8:06 AM</t>
  </si>
  <si>
    <t>Cristofer Vera</t>
  </si>
  <si>
    <t>00512591</t>
  </si>
  <si>
    <t>CNDMH - Camión 315 con problemas de gps</t>
  </si>
  <si>
    <t>Se realiza monitoreo del equipo y está operando ok</t>
  </si>
  <si>
    <t>3/16/2024 8:07 AM</t>
  </si>
  <si>
    <t>3/16/2024 12:35 PM</t>
  </si>
  <si>
    <t>00512597</t>
  </si>
  <si>
    <t>Se reinician los servicios SQL en el servidor .58 logrando normalizar proceso de replica a sql server</t>
  </si>
  <si>
    <t>3/16/2024 3:22 PM</t>
  </si>
  <si>
    <t>3/16/2024 3:23 PM</t>
  </si>
  <si>
    <t>00512615</t>
  </si>
  <si>
    <t>AMZAL - Revisión de perforadora 15</t>
  </si>
  <si>
    <t>Se realiza revisión del estado de los GPS de la perforadora y esta no presenta problemas, la calidad de la señal se encuentra en 4. Se informa a Alejandro Arce vía telefónica lo revisado.</t>
  </si>
  <si>
    <t>3/16/2024 7:54 PM</t>
  </si>
  <si>
    <t>3/16/2024 11:48 PM</t>
  </si>
  <si>
    <t>00512616</t>
  </si>
  <si>
    <t>AMCEN - Señal GPS perfo Pala 03 - Pala 07</t>
  </si>
  <si>
    <t>Se realiza borrado de bd interna y reinicio del computador para recuperar funcionalidad optima del equipo.</t>
  </si>
  <si>
    <t>3/16/2024 7:55 PM</t>
  </si>
  <si>
    <t>3/17/2024 2:27 AM</t>
  </si>
  <si>
    <t>Adolfo Paez Mercado</t>
  </si>
  <si>
    <t>00512622</t>
  </si>
  <si>
    <t>AMCEN - Señal GPS perfo 3</t>
  </si>
  <si>
    <t>Revisión de equipo no muestra problemas de GPS ni de red. Se realiza monitoreo preventivo del equipo.</t>
  </si>
  <si>
    <t>3/16/2024 11:42 PM</t>
  </si>
  <si>
    <t>3/17/2024 2:28 AM</t>
  </si>
  <si>
    <t>00512628</t>
  </si>
  <si>
    <t>Se reinician los servicios SQL en el servidor .58 normalizando la replica a sql server</t>
  </si>
  <si>
    <t>3/17/2024 4:37 AM</t>
  </si>
  <si>
    <t>3/17/2024 6:45 AM</t>
  </si>
  <si>
    <t>00512653</t>
  </si>
  <si>
    <t>CNDMH - Camiones con problemas de gps</t>
  </si>
  <si>
    <t>Se intenta revisar el camión C376 y no es posible conectarse remotamente debido a falta de comunicación, siendo este mismo el problema de posicionamiento, al igual que el camión C324 que tiene sus sensores gps impecables pero problemas de comunicación. Al parecer se había caído un carro repetidor de señal.</t>
  </si>
  <si>
    <t>3/17/2024 2:14 PM</t>
  </si>
  <si>
    <t>3/17/2024 3:11 PM</t>
  </si>
  <si>
    <t>00512654</t>
  </si>
  <si>
    <t>AAM - Camión 47 se cambia solo de asignaciones</t>
  </si>
  <si>
    <t>Se apoya con borrado de base de datos interna del equipo pero finalmente personal de Electroram atiende equipo en terreno y reinstala sistema.</t>
  </si>
  <si>
    <t>3/17/2024 2:17 PM</t>
  </si>
  <si>
    <t>3/17/2024 3:37 PM</t>
  </si>
  <si>
    <t>00512674</t>
  </si>
  <si>
    <t>AMCEN - Señal GPS perfo 4</t>
  </si>
  <si>
    <t>Equipo no presenta problemas de señal GPS y opera con normalidad, se realizó monitoreo y no se visualizaron problemas con el posicionamiento. Se envía correo al cliente detallando lo realizado.</t>
  </si>
  <si>
    <t>3/17/2024 7:04 PM</t>
  </si>
  <si>
    <t>3/17/2024 11:15 PM</t>
  </si>
  <si>
    <t>00512675</t>
  </si>
  <si>
    <t>AMCEN - Problema señal CF2</t>
  </si>
  <si>
    <t>Se realiza reinicio del Core del equipo para recuperar funcionalidad de sus antenas GPS, las cuales se encontraban en modo floating. Luego de la intervención señal de GPS queda en calidad 4. Se envía correo al cliente informando el estado del equipo.</t>
  </si>
  <si>
    <t>3/17/2024 7:05 PM</t>
  </si>
  <si>
    <t>3/17/2024 11:10 PM</t>
  </si>
  <si>
    <t>00512676</t>
  </si>
  <si>
    <t>Revisión arroja señal de GPS en estado floating por lo que se realiza un reinicio del Core para permitir mejorar la señal de GPS. Equipo queda operando con normalidad.</t>
  </si>
  <si>
    <t>3/17/2024 7:06 PM</t>
  </si>
  <si>
    <t>3/18/2024 12:05 AM</t>
  </si>
  <si>
    <t>00512686</t>
  </si>
  <si>
    <t>AMCEN - Camión 14 se esta asignando a petrolera</t>
  </si>
  <si>
    <t>Se realiza revisión de los vims del equipo el cual presenta problemas de comunicación, para poder recuperar funcionalidad se realiza reinicio del core pero no se logra recuperar funcionamiento de los vims del equipo. Se pasará a personal de terreno para que revisen en el lugar.</t>
  </si>
  <si>
    <t>3/17/2024 9:10 PM</t>
  </si>
  <si>
    <t>3/17/2024 11:02 PM</t>
  </si>
  <si>
    <t>00512687</t>
  </si>
  <si>
    <t>AMCEN - Problemas de señal en pala 1</t>
  </si>
  <si>
    <t>Equipo presenta problema de comunicación las cuales arrojan perdida de paquetes de un 48%. GPS se encuentra con calidad 4 por lo que se debe revisar la cobertura del sector con personal especializado de la mina.</t>
  </si>
  <si>
    <t>3/17/2024 9:22 PM</t>
  </si>
  <si>
    <t>3/17/2024 11:00 PM</t>
  </si>
  <si>
    <t>00512698</t>
  </si>
  <si>
    <t>Monitoreo - Revisión de equipos</t>
  </si>
  <si>
    <t>Se realiza revisión y borrado e los equipos que se encontraron activos con la finalidad de evitar problemas de funcionamiento del aplicativo mineops, dado que llevan muchos días sin comunicación con el servidor.</t>
  </si>
  <si>
    <t>3/17/2024 11:21 PM</t>
  </si>
  <si>
    <t>3/18/2024 2:58 AM</t>
  </si>
  <si>
    <t>00512804</t>
  </si>
  <si>
    <t>AAM - Dozer con versión antigua</t>
  </si>
  <si>
    <t>Se verifica el archivo /opt/Jigsaw/Versions/JAMS y se encuentra con error llegando a la conclusión de que se interrumpió cuando lo levantaron por lo que se corrompió y ahora no tomaba bien la versión correcta. Se forzó actualización a la versión 2.8-003.005 y levantó correctamente.</t>
  </si>
  <si>
    <t>3/18/2024 3:48 PM</t>
  </si>
  <si>
    <t>3/18/2024 3:53 PM</t>
  </si>
  <si>
    <t>00512817</t>
  </si>
  <si>
    <t>MLCC - Reportes no muestran datos</t>
  </si>
  <si>
    <t>Se detecta que proceso de sumarización no se está realizando correctamente por lo que se detiene y vuelve a levantar, además de realizar una sumarización forzada para recuperar datos mientras se normaliza el funcionamiento automático.</t>
  </si>
  <si>
    <t>3/18/2024 4:59 PM</t>
  </si>
  <si>
    <t xml:space="preserve">
3/19/2024 11:58 AM</t>
  </si>
  <si>
    <t>00512828</t>
  </si>
  <si>
    <t>AMANT - Conocer los valores antes de los cambios</t>
  </si>
  <si>
    <t>Se realiza consulta a tabla change_logs para conocer los detalles de los cambios que fueron realizados. Se envía planilla con toda la información para que pueda coordinar con el ingeniero a cargo los pasos a seguir.</t>
  </si>
  <si>
    <t>3/18/2024 7:03 PM</t>
  </si>
  <si>
    <t>3/19/2024 1:02 AM</t>
  </si>
  <si>
    <t>Cesar Ramirez</t>
  </si>
  <si>
    <t>00512849</t>
  </si>
  <si>
    <t>AMCEN - Problema GPS C47</t>
  </si>
  <si>
    <t>Se realiza revisión del equipo el cual no presenta problemas de funcionamiento. Se realiza monitoreo para descartar algún inconveniente.</t>
  </si>
  <si>
    <t>3/19/2024 12:52 AM</t>
  </si>
  <si>
    <t>3/19/2024 2:31 AM</t>
  </si>
  <si>
    <t>00512865</t>
  </si>
  <si>
    <t>MLCC - Conseguir instalador aplicativo</t>
  </si>
  <si>
    <t>Se confirma con cliente que cuenta con la última versión para instalar el aplicativo.</t>
  </si>
  <si>
    <t>3/19/2024 5:57 AM</t>
  </si>
  <si>
    <t>3/19/2024 1:29 PM</t>
  </si>
  <si>
    <t>00512867</t>
  </si>
  <si>
    <t>CNN - Sumarización de marzo</t>
  </si>
  <si>
    <t>Se realiza la sumarización como fue solicitado</t>
  </si>
  <si>
    <t>3/19/2024 6:11 AM</t>
  </si>
  <si>
    <t>3/19/2024 7:34 AM</t>
  </si>
  <si>
    <t>00512875</t>
  </si>
  <si>
    <t>MLCC - No accede a Jview</t>
  </si>
  <si>
    <t>Se comprueba que Jview está funcionando accediendo a el con perfil de administrador, se reinician los servicios SQL del servidor para que vuelva a intentar acceder, pero no es posible por lo que se le reinicia la contraseña de su cuenta y logra ingresar sin problemas</t>
  </si>
  <si>
    <t>3/19/2024 7:21 AM</t>
  </si>
  <si>
    <t>3/19/2024 7:37 AM</t>
  </si>
  <si>
    <t xml:space="preserve">Joseph Anés </t>
  </si>
  <si>
    <t>00512905</t>
  </si>
  <si>
    <t>AAM - Equipo no levanta con su versión correcta</t>
  </si>
  <si>
    <t>Se intenta apoyar remotamente con la instalación de la versión pero se detecta que origen del problema es comunicación del equipo ya que está configurado de manera correcta se le comenta esto a cliente.</t>
  </si>
  <si>
    <t>3/19/2024 10:07 AM</t>
  </si>
  <si>
    <t>3/19/2024 11:47 AM</t>
  </si>
  <si>
    <t>Carlos Jacob</t>
  </si>
  <si>
    <t>00512910</t>
  </si>
  <si>
    <t>AMZAL - Problemas al cargar plan anual</t>
  </si>
  <si>
    <t>Se analizaron los registros del archivo .rb responsable de la carga de planes, donde se evidenció un error que señalaba la existencia previa de un plan con características idénticas. Al revisar los registros de la ejecución automática, no se encontraron registros pertinentes, lo que sugiere que la carga prolongada del plan anual pudo haber desencadenado una nueva ejecución del proceso automático de carga de planes. Esta nueva ejecución interrumpió el proceso principal, dejando un plan incompleto. En respuesta a esta situación, se optó por comentar la línea correspondiente en el crontab para desactivar temporalmente la ejecución automática. Luego, se eliminaron todos los registros generados en primer lugar dentro de "plan_items" y posteriormente en "plans". Posteriormente, se descomentó la ejecución automática para reiniciar el proceso. Una vez que se confirmó que el archivo comenzó a cargarse correctamente, se volvió a comentar la línea en el crontab para evitar futuras interferencias.</t>
  </si>
  <si>
    <t>3/19/2024 10:54 AM</t>
  </si>
  <si>
    <t>3/19/2024 2:36 PM</t>
  </si>
  <si>
    <t>00512946</t>
  </si>
  <si>
    <t>AMCEN - Pala 3 y 6 con problema de asignación</t>
  </si>
  <si>
    <t>Se revisan equipo y PA3 y este se encuentra realizando asignaciones con normalidad, además se realiza revisión de señales GPS y de red, las cuales estas se encuentran normales. Equipo PA 6 se encontraba con la carga de mapa en el jspanel debido a variaciones en la cobertura de red que hay en el sector. Se realiza un borrado de bd interna del equipo y un reinicio del Core y pantalla para permitir mejorar el arranque del sistema, lo cual permite dejar el equipo operativo. De todas mameras se hace el alcance al cliente que la cobertura de red en el sector es muy débil.</t>
  </si>
  <si>
    <t>3/19/2024 4:45 PM</t>
  </si>
  <si>
    <t>3/19/2024 7:09 PM</t>
  </si>
  <si>
    <t>00512950</t>
  </si>
  <si>
    <t>AMCEN - Problemas de Cobertura en equipos CF2 y C129</t>
  </si>
  <si>
    <t>Se revisan equipos CF2 y C129 los cuales durante revisión muestran problemas de comunicación. sector donde se encuentra trabajando el equipo CF2 tiene cobertura deficiente lo que genera perdida de comunicación con el equipo C129, pero al salir de ese sector el equipo C129 opera con normalidad. Se envía correo dando mas detalles delo revisado.</t>
  </si>
  <si>
    <t>3/19/2024 5:00 PM</t>
  </si>
  <si>
    <t>3/19/2024 6:54 PM</t>
  </si>
  <si>
    <t>Jorge Gallegos TICA</t>
  </si>
  <si>
    <t>00512970</t>
  </si>
  <si>
    <t>CNRI-No se actualizan los eventos en el opweb</t>
  </si>
  <si>
    <t>Sistema OAS está operando con normalidad y los eventos que están en estado pendientes son eventos de este tipo, se envía correo al usuario informando el estado del sistema.</t>
  </si>
  <si>
    <t>3/19/2024 10:12 PM</t>
  </si>
  <si>
    <t>3/20/2024 2:07 AM</t>
  </si>
  <si>
    <t>Guillermo Guzman</t>
  </si>
  <si>
    <t>00513001</t>
  </si>
  <si>
    <t>CNDMH-Sebastian Vera solicita apoyo con GPS perforadora 101</t>
  </si>
  <si>
    <t>El equipo se encuentra sin conexión , se informa para que puedan revisar en terreno.</t>
  </si>
  <si>
    <t>3/20/2024 8:45 AM</t>
  </si>
  <si>
    <t>3/20/2024 9:45 AM</t>
  </si>
  <si>
    <t>00513002</t>
  </si>
  <si>
    <t>Salvador-Jhon bpyd solicita revision sistema OAS Caex 110</t>
  </si>
  <si>
    <t>Existe problema de red en Rajo Inca los equipos no se encuentran conectados, se avisa al administrador de contrato.</t>
  </si>
  <si>
    <t>3/20/2024 9:27 AM</t>
  </si>
  <si>
    <t>3/20/2024 10:27 AM</t>
  </si>
  <si>
    <t>00513054</t>
  </si>
  <si>
    <t>Salvador-Jhon bpyd solicita revision sistema OAS Caex 122</t>
  </si>
  <si>
    <t>se revisa el equipo remotamente y no se encontró nada extraño .se reinicia preventivamente, si vuelve a presentar fallas debe revisarse en terreno.</t>
  </si>
  <si>
    <t>3/20/2024 02:50 PM</t>
  </si>
  <si>
    <t>3/20/2024 03:50 PM</t>
  </si>
  <si>
    <t>00513076</t>
  </si>
  <si>
    <t>CAPCNN-Juan Nuñez solicita mejorar la visualización de los números de los pozos en vnc de las perforadoras.</t>
  </si>
  <si>
    <t>se mejora la posición del numero del pozo , dejándolos sobre el cuadro del pozo.</t>
  </si>
  <si>
    <t>3/20/2024 04:50 PM</t>
  </si>
  <si>
    <t>3/20/2024 06:50 PM</t>
  </si>
  <si>
    <t>00513109</t>
  </si>
  <si>
    <t>AMANT - Perforadora D01 pantalla en negro</t>
  </si>
  <si>
    <t>Se revisa el equipo, en primera instancia no hay ping con el mismo, pero se entra directamente al core donde se intenta establecer comunicación con la pantalla sin resultados, se le indica por correo a Patricio que deben revisar el cableado o la pantalla misma, que ahí esta el problema.</t>
  </si>
  <si>
    <t>3/20/2024 10:05 PM</t>
  </si>
  <si>
    <t>3/20/2024 10:46 PM</t>
  </si>
  <si>
    <t>Patricio Campillay</t>
  </si>
  <si>
    <t>00513113</t>
  </si>
  <si>
    <t>MLCC - Sin acceso a Jview</t>
  </si>
  <si>
    <t>Se reinicia la clave y viviana puede acceder nuevamente</t>
  </si>
  <si>
    <t>3/20/2024 11:52 PM</t>
  </si>
  <si>
    <t>3/21/2024 00:40 AM</t>
  </si>
  <si>
    <t>00513114</t>
  </si>
  <si>
    <t>AMCEN - Señal CF2</t>
  </si>
  <si>
    <t>Se le indica a Francis que hay problema con tormentas solares, se revisa y efectivamente mas de la mitad de los equipos esta con su GPS en floating.</t>
  </si>
  <si>
    <t>3/21/2024 00:10 AM</t>
  </si>
  <si>
    <t>3/21/2024 00:52 AM</t>
  </si>
  <si>
    <t>Francis Morales</t>
  </si>
  <si>
    <t>00513119</t>
  </si>
  <si>
    <t>AMCEN - Caex 47 pantalla en negro</t>
  </si>
  <si>
    <t>Se reinicia la pantalla del equipo, por sistema se ve correctamente, pero Francis indica que al operador se le reinicia la pantalla constantemente, se le indica que deben revisarlo en terreno porque por el VNC, se ve de forma normal.</t>
  </si>
  <si>
    <t>3/21/2024 01:34 AM</t>
  </si>
  <si>
    <t>3/21/2024 01:57 AM</t>
  </si>
  <si>
    <t>00513122</t>
  </si>
  <si>
    <t>AMCEN - PA211 sin gps</t>
  </si>
  <si>
    <t>Se monitorea la pala, la cual esta trabajando de manera normal, tiene leves caidas de GPS pero estas duran solo unos segundos, en cuanto a los equipos, estos los detecta de forma correcta y los cambios de estados, se hacen sin ningun problema.</t>
  </si>
  <si>
    <t>3/21/2024 03:32 AM</t>
  </si>
  <si>
    <t>3/21/2024 04:43 AM</t>
  </si>
  <si>
    <t>00513126</t>
  </si>
  <si>
    <t>CNRI - RE: Bloqueo de cámara Caex 110</t>
  </si>
  <si>
    <t>Se detecta que el sensor funciona mal a ratos, dejando de recibir información, se le informa a Guillermo que se debe revisar el equipo en terreno para encontrar el fallo.</t>
  </si>
  <si>
    <t>3/21/2024 04:12 AM</t>
  </si>
  <si>
    <t>3/21/2024 04:45 AM</t>
  </si>
  <si>
    <t>00513129</t>
  </si>
  <si>
    <t>AMCEN - PE8 sin GPS</t>
  </si>
  <si>
    <t>Se revisa el equipo el cual tiene su GPS funcionando correctamente, pero se detecta lentitud en la conexión con el mismo equipo.</t>
  </si>
  <si>
    <t>3/21/2024 06:15 AM</t>
  </si>
  <si>
    <t>3/21/2024 06:26 AM</t>
  </si>
  <si>
    <t>00513140</t>
  </si>
  <si>
    <t>CNDMH-Bitácoras checklist con inconsistencias en algunos equipos.</t>
  </si>
  <si>
    <t>Se reviso el procedimiento de ingreso y los datos ingresados hoy; no se encontraron problemas. Por sistema no se tiene como saber si efectivamente el operador ingreso OK yquedo NOK; solo queda hacer una prueba en terreno en un equipo.</t>
  </si>
  <si>
    <t>3/21/2024 09:15 AM</t>
  </si>
  <si>
    <t>Ruben PAco</t>
  </si>
  <si>
    <t>00513141</t>
  </si>
  <si>
    <t>Salvador-Jhon boyd solicita revisión sistema OAS Caex 105</t>
  </si>
  <si>
    <t>se revisa el equipo no encontrando nada anormal , ya no tiene alarmas de buscando cara</t>
  </si>
  <si>
    <t>3/21/2024 08:44 AM</t>
  </si>
  <si>
    <t>3/21/2024 10:44 AM</t>
  </si>
  <si>
    <t>00513146</t>
  </si>
  <si>
    <t>Mantoverde - Credenciales de acceso a MineEnterprise</t>
  </si>
  <si>
    <t>se reenvía las credenciales de las nuevas cuentas.</t>
  </si>
  <si>
    <t>3/21/2024 11:30AM</t>
  </si>
  <si>
    <t>3/21/2024 12:30 PM</t>
  </si>
  <si>
    <t>00513219</t>
  </si>
  <si>
    <t>AMCEN - Reiniciar CF233</t>
  </si>
  <si>
    <t>00513221</t>
  </si>
  <si>
    <t>AMCEN - PE3 sin GPS</t>
  </si>
  <si>
    <t>El equipo se encontraba trabajando correctamente.</t>
  </si>
  <si>
    <t>00513227</t>
  </si>
  <si>
    <t>AMCEN - PA1 pantalla pegada y sin GPS</t>
  </si>
  <si>
    <t>Se reinicia la pantalla del equipo y el GPS vuelve a estar funcional.</t>
  </si>
  <si>
    <t>00513295</t>
  </si>
  <si>
    <t>MLCC-Alejandro Larenas indica que una descarga no le acepta cierto material.</t>
  </si>
  <si>
    <t>se eliminan los destinos duplicados y funciona correctamente.</t>
  </si>
  <si>
    <t>3/23/2024 09:02AM</t>
  </si>
  <si>
    <t>3/23/2024 10:02AM</t>
  </si>
  <si>
    <t>00513303</t>
  </si>
  <si>
    <t>AMCEN - Asignación automática a petrolera 3</t>
  </si>
  <si>
    <t>Se revisa el destino el cual estaba bien creado, el problema era el camino que llevaba hacia la petrolera N°3, el cual tenia una elevación de inicio, pero no una final, entonces el calculo automático de la elevación era demasiado por lo que el sistema toma el camino como no valido para enviar vehículos, se corrigen los parámetros quedando operativo la petrolera.</t>
  </si>
  <si>
    <t>3/22/2024 10:13AM</t>
  </si>
  <si>
    <t>3/23/2024 04:20AM</t>
  </si>
  <si>
    <t>00513311</t>
  </si>
  <si>
    <t>AMZAL - Perfo 16 con pozos corridos</t>
  </si>
  <si>
    <t>Se reinicia el equipo, corrigiendo asi la situacion</t>
  </si>
  <si>
    <t>3/23/2024 03:29AM</t>
  </si>
  <si>
    <t>3/23/2024 04:34AM</t>
  </si>
  <si>
    <t>00513312</t>
  </si>
  <si>
    <t>CNRI - RE: Caex 110</t>
  </si>
  <si>
    <t>Se revisa el equipo el cual efectivamente tiene problemas con el vibrador, se le responde por correo a Guillermo indicando que se dejara gestionado su revisión lo antes posible y se le hace el alcance a Gilmer para que pueda gestionar dicha revisión.</t>
  </si>
  <si>
    <t>3/22/2024 10:32AM</t>
  </si>
  <si>
    <t>3/22/2024 11:53AM</t>
  </si>
  <si>
    <t>00513313</t>
  </si>
  <si>
    <t>Mantoverde - Problemas con el reconciliador</t>
  </si>
  <si>
    <t>Se realiza cambio en la vista configuración dado que el atributo default_ready_code solo acepta un valor. Se realiza la creación del atributo ready_code_list para cargar los atributos correspondientes, quedando el reconciliador operativo y sin errores.</t>
  </si>
  <si>
    <t>3/23/2024 03:02 PM</t>
  </si>
  <si>
    <t>3/27/2024 11:02 AM</t>
  </si>
  <si>
    <t>00513333</t>
  </si>
  <si>
    <t>CNMS-Pruebas boton de emergencia</t>
  </si>
  <si>
    <t>se cambia la configuración para que llegue la alerta a todos los equipos , y a los mas cercanos le avisa proximidad al equipo siniestrado.</t>
  </si>
  <si>
    <t>3/23/2024 04:02 PM</t>
  </si>
  <si>
    <t>00513335</t>
  </si>
  <si>
    <t>AMANT - Pala N°1 no puede ver su poligono asignado</t>
  </si>
  <si>
    <t>Se revisa el poligono el cual era visible desde el minemap, se revisa que la cota este en el mismo nivel que la pala, la tronadura tambien esta activa todo se ve bien , el problema es que dicha tronadura solo tenia 1 poligono creado, se crea otro y ahi aparece visible el poligono para la Pala 1.</t>
  </si>
  <si>
    <t>3/23/2024 08:49 PM</t>
  </si>
  <si>
    <t>3/23/2024 10:17 PM</t>
  </si>
  <si>
    <t xml:space="preserve">Angelo </t>
  </si>
  <si>
    <t>00513340</t>
  </si>
  <si>
    <t>AMCEN - PE3</t>
  </si>
  <si>
    <t>El equipo estaba trabajando correctamente</t>
  </si>
  <si>
    <t>3/23/2024 11:11 PM</t>
  </si>
  <si>
    <t>3/23/2024 11:23 PM</t>
  </si>
  <si>
    <t>00513346</t>
  </si>
  <si>
    <t>Monitoreo - CNDMH - procesos sql encolados</t>
  </si>
  <si>
    <t>Se reinician los servicios de sql liberando los procesos encolados y se revisa que no vuelva a suceder.
Se repite la situación a las 3:15 de la mañana.</t>
  </si>
  <si>
    <t>3/23/2024 00:18 AM</t>
  </si>
  <si>
    <t>3/23/2024 04:50 AM</t>
  </si>
  <si>
    <t>00513379</t>
  </si>
  <si>
    <t>AMZAL-Freddie Indica problemas de comunicación con L13</t>
  </si>
  <si>
    <t>el equipo no tiene comunicación con el servidor se deriva a personal de terreno, luego de su visita levanta normalmente.</t>
  </si>
  <si>
    <t>3/24/2024 06:00 PM</t>
  </si>
  <si>
    <t>3/24/2024 07:00 PM</t>
  </si>
  <si>
    <t>00513384</t>
  </si>
  <si>
    <t>CNDMH-procesos sql encolados</t>
  </si>
  <si>
    <t>se eliminan los procesos encolados</t>
  </si>
  <si>
    <t>3/24/2024 07:10 PM</t>
  </si>
  <si>
    <t>3/24/2024 07:20 PM</t>
  </si>
  <si>
    <t>00513459</t>
  </si>
  <si>
    <t>AAM-Victor veragua solicita revision de Equipos de carguio por funcionamiento lento , y aparte indica agrandar el radio de la pala 1 y 5</t>
  </si>
  <si>
    <t>se realiza el análisis de la cobertura , la cual es deficiente en el sector de la Pala 3 y CF16 , tiene ping pero no deja entrar a los equipos, se avisa a víctor para mejorar la condición, también se agrande el radio de la pala solicitada.</t>
  </si>
  <si>
    <t>3/25/2024 09:26 AM</t>
  </si>
  <si>
    <t>3/25/2024 10:26 AM</t>
  </si>
  <si>
    <t>00513524</t>
  </si>
  <si>
    <t>AAM-Victor veragua informa que tiene la reportabilidad pegada.</t>
  </si>
  <si>
    <t>se revisa los servicios y procesos , se reinicia servicio de sql preventivo , se evidencia que la reportabilidad se encuentra actualizada</t>
  </si>
  <si>
    <t>3/25/2024 07:45 pM</t>
  </si>
  <si>
    <t>00513528</t>
  </si>
  <si>
    <t>AMCEN - Lineas de excavación sistema jigsaw</t>
  </si>
  <si>
    <t>Se revisan las lineas de excavación, las cuales aun no se habían creado porque los equipos tenían poco tiempo trabajando, el único que ya la había generado era el CF234 y este tenia des habilitada la opción para verla desde la pantalla del operador, se la activamos y ya puede visualizar las lineas de manera correcta, se le indica a Francis que las demás lineas irán apareciendo a medida que los equipos trabajen y se vayan desplazando.</t>
  </si>
  <si>
    <t>3/25/2024 08:15 PM</t>
  </si>
  <si>
    <t>3/25/2024 08:54 PM</t>
  </si>
  <si>
    <t>00513529</t>
  </si>
  <si>
    <t>AMCEN - CF2</t>
  </si>
  <si>
    <t>Se reinicia el equipo, recuperando asi su pantalla y la señal GPS.</t>
  </si>
  <si>
    <t>3/25/2024 08:44 PM</t>
  </si>
  <si>
    <t>3/25/2024 09:13 PM</t>
  </si>
  <si>
    <t>00513532</t>
  </si>
  <si>
    <t>AMANT - Perforadora D04 sin GPS</t>
  </si>
  <si>
    <t>El equipo se encontraba detenido por falla de GPS, pero al revisar el vnc, este se encuentra trabajando con normalidad.</t>
  </si>
  <si>
    <t>3/25/2024 09:05 PM</t>
  </si>
  <si>
    <t>3/25/2024 09:14 PM</t>
  </si>
  <si>
    <t>Patricio</t>
  </si>
  <si>
    <t>00513545</t>
  </si>
  <si>
    <t>AMCEN - C16</t>
  </si>
  <si>
    <t xml:space="preserve">Se revisa el equipo y se compara con el minemap, ambos mostrando la misma posición. </t>
  </si>
  <si>
    <t>3/26/2024 04:01 AM</t>
  </si>
  <si>
    <t>3/26/2024 04:36 AM</t>
  </si>
  <si>
    <t>00513548</t>
  </si>
  <si>
    <t>AMCEN - CF231</t>
  </si>
  <si>
    <t>Se revisa el equipo el cual tenia el GPS trabajando correctamente.</t>
  </si>
  <si>
    <t>3/26/2024 05:17 AM</t>
  </si>
  <si>
    <t>3/26/2024 05:18 AM</t>
  </si>
  <si>
    <t>00513549</t>
  </si>
  <si>
    <t>AMCEN - C47</t>
  </si>
  <si>
    <t>Se logra reiniciar el equipo, pero es imposible ver su VNC porque tiene perdidas constantes de comunicación.</t>
  </si>
  <si>
    <t>3/26/2024 05:20 AM</t>
  </si>
  <si>
    <t>3/26/2024 06:11 AM</t>
  </si>
  <si>
    <t>00513554</t>
  </si>
  <si>
    <t>MLCC - Carga de archivo evacuación por tronadura</t>
  </si>
  <si>
    <t>Se revisa el archivo el cual se encuentra creado correctamente, se ejecuta la carga de forma manual y el archivo es subido de forma correcta.</t>
  </si>
  <si>
    <t>3/26/2024 06:06 AM</t>
  </si>
  <si>
    <t>3/26/2024 06:24 AM</t>
  </si>
  <si>
    <t>00513573</t>
  </si>
  <si>
    <t>Mantoverde - Actualización de Archivo Setup</t>
  </si>
  <si>
    <t>Se realiza creación de setup con los nuevos equipos, se deja configurado con protocolo wpa. Se envía correo al cliente informando.</t>
  </si>
  <si>
    <t>3/26/2024 6:36 AM</t>
  </si>
  <si>
    <t>3/28/2024 2:22 PM</t>
  </si>
  <si>
    <t>00513617</t>
  </si>
  <si>
    <t>AMCEN - Pala 26 sistema pegado</t>
  </si>
  <si>
    <t>Se reinicia el equipo, se monitorea y se puede ver como el operador manipula el menú.</t>
  </si>
  <si>
    <t>3/26/2024 08:06 PM</t>
  </si>
  <si>
    <t>3/26/2024 08:45 PM</t>
  </si>
  <si>
    <t>00513631</t>
  </si>
  <si>
    <t>Se revisa el equipo, el cual había sido encendido hace pocos minutos, se deja cargando un tiempo y ya se visualiza correctamente tanto el mapa como la señal GPS.</t>
  </si>
  <si>
    <t>3/26/2024 09:59 PM</t>
  </si>
  <si>
    <t>3/26/2024 10:35 PM</t>
  </si>
  <si>
    <t>00513700</t>
  </si>
  <si>
    <t>Se realiza revisión del equipo y este se encuentra operando con normalidad, señales de GPS y de red si visualizan sin en niveles óptimos. Se envía correo al cliente informando lo realizado.</t>
  </si>
  <si>
    <t>3/27/2024 6:52 AM</t>
  </si>
  <si>
    <t>3/27/2024 8:53 AM</t>
  </si>
  <si>
    <t>00513701</t>
  </si>
  <si>
    <t>CNN - revisión de archivo Poligono</t>
  </si>
  <si>
    <t xml:space="preserve">
Se realiza revisión del archivo y no se encontraron detalles, se realiza carga de manera directa y no se presentan problemas con el importador.</t>
  </si>
  <si>
    <t>3/27/2024 6:56 AM</t>
  </si>
  <si>
    <t>3/27/2024 2:25 PM</t>
  </si>
  <si>
    <t>00514315</t>
  </si>
  <si>
    <t>Monitoreo - AAM - datos de posicionamiento desactualizados</t>
  </si>
  <si>
    <t>Durante monitoreo a sistema CAS se encontró que los datos de posicionamiento del sistema CAS se encontraban desactualizados, por lo que se realiza la ejecución de los Scheduled de manera manual para actualizar la data. Actualmente sistema se encuentra funcionando con normalidad.</t>
  </si>
  <si>
    <t>3/27/2024 8:56 AM</t>
  </si>
  <si>
    <t>3/27/2024 11:01 AM</t>
  </si>
  <si>
    <t>00514970</t>
  </si>
  <si>
    <t>Mantoverde - No se visualizan dibujos de Palas en JSmine</t>
  </si>
  <si>
    <t>se realiza cambio del tipo de equipo en la vista equipment, con eso se logra visualizar los equipos en el mapa.</t>
  </si>
  <si>
    <t>3/27/2024 11:33 AM</t>
  </si>
  <si>
    <t>3/27/2024 2:02 PM</t>
  </si>
  <si>
    <t>00514991</t>
  </si>
  <si>
    <t>Mantoverde - Agregar opciones ala vista drawing</t>
  </si>
  <si>
    <t>Se agrega la opción device a la vista drawing.</t>
  </si>
  <si>
    <t>3/27/2024 2:03 PM</t>
  </si>
  <si>
    <t>3/27/2024 2:22 PM</t>
  </si>
  <si>
    <t>00515023</t>
  </si>
  <si>
    <t>Con el cambio de servidor primario debido a upgrade surgió el inconveniente con el puerto 1433 que hace la conexión entre servidor linux y sqlserver. Debido a este inconveniente no estaban siendo enviados datos provocando la desactualización en reportabilidad. Para resolverlo se utilizó el la conexión existente del servidor secundario (nodo b) como pivote para enviar los datos generados en servidor primario (nodo c).</t>
  </si>
  <si>
    <t>3/27/2024 7:09 PM</t>
  </si>
  <si>
    <t>3/27/2024 9:10 PM</t>
  </si>
  <si>
    <t>00515042</t>
  </si>
  <si>
    <t>AMCEN - WD06 pegado en sistema</t>
  </si>
  <si>
    <t>Se intenta acceder al equipo de manera remota pero no es posible debido a problemas de comunicación. Se informa de esto al cliente</t>
  </si>
  <si>
    <t>3/27/2024 8:44 PM</t>
  </si>
  <si>
    <t>3/27/2024 9:11 PM</t>
  </si>
  <si>
    <t>00515071</t>
  </si>
  <si>
    <t>AMCEN - C47 con problemas de gps</t>
  </si>
  <si>
    <t>Se revisa el equipo y se encuentra operando correctamente, se checkea el estado de los sensores y se encuentra impecable.</t>
  </si>
  <si>
    <t>3/27/2024 11:48 PM</t>
  </si>
  <si>
    <t>3/28/2024 3:04 AM</t>
  </si>
  <si>
    <t>00515072</t>
  </si>
  <si>
    <t>AMCEN - C20 con problemas en sensor tonelaje</t>
  </si>
  <si>
    <t>Se intenta revisar el equipo remotamente pero se encuentra siendo intervenido en terreno.</t>
  </si>
  <si>
    <t>3/27/2024 11:49 PM</t>
  </si>
  <si>
    <t>3/28/2024 3:06 AM</t>
  </si>
  <si>
    <t>00515092</t>
  </si>
  <si>
    <t>AMCEN - C32 pegado en sistema</t>
  </si>
  <si>
    <t>Se revisa el equipo y se encuentra operando correctamente, se revisan los sensores y están ok.</t>
  </si>
  <si>
    <t>3/28/2024 2:28 AM</t>
  </si>
  <si>
    <t>3/28/2024 3:05 AM</t>
  </si>
  <si>
    <t>00515096</t>
  </si>
  <si>
    <t>MLCC - Obtener tiempo de espera en chancado</t>
  </si>
  <si>
    <t>Se envía correo al usuario informando que la vista tiempos de ciclo entrega el detalle de cada actividad de los camiones.</t>
  </si>
  <si>
    <t>3/28/2024 3:33 AM</t>
  </si>
  <si>
    <t>3/28/2024 9:16 AM</t>
  </si>
  <si>
    <t>Joseph Patrick Anes Carvajal</t>
  </si>
  <si>
    <t>00515097</t>
  </si>
  <si>
    <t>Se revisa el equipo y los sensores y antenas gps están funcionando ok, pero con baja cantidad de satélites. Por cambio de turno no es posible monitorear comportamiento de pala por lo que quedará avisado ingeniero de turno on site.</t>
  </si>
  <si>
    <t>3/28/2024 3:38 AM</t>
  </si>
  <si>
    <t>3/28/2024 3:52 AM</t>
  </si>
  <si>
    <t>00515100</t>
  </si>
  <si>
    <t>AMCEN - Carga de archivo</t>
  </si>
  <si>
    <t>En primera revisión se encuentra archivo cargado en carpeta Poligono_Hazard pero luego de unos minutos este fue quitado de la carpeta. En estos momentos no hay archivos pendientes de carga. Se llama al usuario y este informa que ellos quitaron el archivo para realizar una corrección.</t>
  </si>
  <si>
    <t>3/28/2024 5:03 AM</t>
  </si>
  <si>
    <t>3/28/2024 7:59 AM</t>
  </si>
  <si>
    <t>Williams Guerra de GIO</t>
  </si>
  <si>
    <t>00515142</t>
  </si>
  <si>
    <t>CNN - Error carga planes</t>
  </si>
  <si>
    <t>Se realiza carga de los items del plan de abril. Se debieron cerrar los servicios y procesos y correr como administrador el aplicativo para realizar la carga del plan.</t>
  </si>
  <si>
    <t>3/28/2024 9:20 AM</t>
  </si>
  <si>
    <t>3/28/2024 12:25 PM</t>
  </si>
  <si>
    <t>00515165</t>
  </si>
  <si>
    <t>Se visualizan proceso de réplica encolados en servidor primario. Se realiza reinicio de los servicios del sql en el servidor de BD de jview para reiniciar la réplica hacia el servidor.</t>
  </si>
  <si>
    <t>3/28/2024 12:35 PM</t>
  </si>
  <si>
    <t>3/28/2024 2:12 PM</t>
  </si>
  <si>
    <t>00515167</t>
  </si>
  <si>
    <t>Monitoreo - CNRT - Procesos encolados</t>
  </si>
  <si>
    <t>3/28/2024 12:51 PM</t>
  </si>
  <si>
    <t>00515168</t>
  </si>
  <si>
    <t>CNRI - Sumarización con error</t>
  </si>
  <si>
    <t>Se realiza reinicio del proceso de sumarizador, lo que permite solucionar problema. Actualmente servicio se encuentra corriendo de manera estable y sin errores.</t>
  </si>
  <si>
    <t>3/28/2024 12:55 PM</t>
  </si>
  <si>
    <t>3/28/2024 2:10 PM</t>
  </si>
  <si>
    <t>00515205</t>
  </si>
  <si>
    <t>Se reinician los servicios sql en el servidor normalizando el proceso de replica</t>
  </si>
  <si>
    <t>3/28/2024 5:18 PM</t>
  </si>
  <si>
    <t>3/28/2024 6:55 PM</t>
  </si>
  <si>
    <t>00515219</t>
  </si>
  <si>
    <t>AMCEN - Perforadoras con problemas de gps</t>
  </si>
  <si>
    <t>Se revisan los equipos encontrando la perforadora 8 impecable y la perforadora 3 con gps en floating por lo que se procedió a eliminar la base de datos interna y reiniciar el equipo retomando el correcto funcionamiento. Por otro lado se investiga por el pronóstico de centelleo en la noche y justamente los equipos afectados es en la hora de mayor centelleo de la noche.</t>
  </si>
  <si>
    <t>3/28/2024 6:56 PM</t>
  </si>
  <si>
    <t>3/28/2024 9:42 PM</t>
  </si>
  <si>
    <t>00515222</t>
  </si>
  <si>
    <t>Se revisa el equipo y se encuentran sus gps en floating, se procede a eliminar la base de datos interna del equipo y reiniciar el sistema, justo luego de las acciones se fue a colación el equipo por lo que no fue posible monitorearlo. Una vez revisado vuelta de colación se puede ver operando sin problemas</t>
  </si>
  <si>
    <t>3/28/2024 7:10 PM</t>
  </si>
  <si>
    <t>3/28/2024 9:43 PM</t>
  </si>
  <si>
    <t>00515228</t>
  </si>
  <si>
    <t>AMZAL - Reportabilidad Jview desactualizada</t>
  </si>
  <si>
    <t>Se detecta que sumarizador por servicio está volviendo muy atrás en el tiempo impidiendo que se actualice la información más reciente de manera ágil. Para solucionar el problema se deja el sumarizador forzado por cron del turno y así mantener reportabilidad ok mientras sumarizador por servicio llega a la actualidad</t>
  </si>
  <si>
    <t>3/28/2024 8:26 PM</t>
  </si>
  <si>
    <t>3/29/2024 1:44 AM</t>
  </si>
  <si>
    <t>María José Jara</t>
  </si>
  <si>
    <t>00515260</t>
  </si>
  <si>
    <t>CNRI - Problemas en alertas de OAS</t>
  </si>
  <si>
    <t>Se hace un reinicio del gvos y del equipo y se normaliza el comportamiento de la cámara</t>
  </si>
  <si>
    <t>3/29/2024 2:50 AM</t>
  </si>
  <si>
    <t>3/29/2024 4:09 AM</t>
  </si>
  <si>
    <t>00515270</t>
  </si>
  <si>
    <t>Se realiza reinicio de los servicios de sqlserver en el servidor de BD. Replica se ejecuta con normalidad.</t>
  </si>
  <si>
    <t>3/29/2024 6:07 AM</t>
  </si>
  <si>
    <t>3/29/2024 7:50 AM</t>
  </si>
  <si>
    <t>00515271</t>
  </si>
  <si>
    <t>MLCC - chequeo de condición de GPS cargador L221</t>
  </si>
  <si>
    <t>Se realiza monitoreo del equipo y este presenta problemas con funcionamiento de antena de gps #2. Se informa al técnico que se debe realizar intervención insitu dado que de manera remota no es posible mejorar el funcionamiento de la antena.</t>
  </si>
  <si>
    <t>3/29/2024 6:09 AM</t>
  </si>
  <si>
    <t>3/29/2024 10:04 AM</t>
  </si>
  <si>
    <t>Alexis Carvajal de tres60</t>
  </si>
  <si>
    <t>00515288</t>
  </si>
  <si>
    <t>CNDMH - Creación de pala virtual</t>
  </si>
  <si>
    <t>Se realiza la creación del equipo junto a la nueva flota. Se informa al cliente vía correo.</t>
  </si>
  <si>
    <t>3/29/2024 8:37 AM</t>
  </si>
  <si>
    <t>3/29/2024 9:59 AM</t>
  </si>
  <si>
    <t>Adrian Leiva</t>
  </si>
  <si>
    <t>00515290</t>
  </si>
  <si>
    <t>CNDMH - Revisión de pala 203</t>
  </si>
  <si>
    <t>Se realiza la revisión del equipo el cual no presenta problemas de comunicación ni de GPS, se llama a Francisco Castillo para informar el estado de la pala.</t>
  </si>
  <si>
    <t>3/29/2024 8:49 AM</t>
  </si>
  <si>
    <t>3/29/2024 10:00 AM</t>
  </si>
  <si>
    <t>00515302</t>
  </si>
  <si>
    <t>AMZAL - Equipos no considerados en archivo de carga a SAP (horómetros)</t>
  </si>
  <si>
    <t>Se realizan los ajustes en los archivos y se cargan en el servidor para que puedan ser retirados por los usuarios. Se envía correo detallando lo realizado.</t>
  </si>
  <si>
    <t>3/29/2024 1:39 PM</t>
  </si>
  <si>
    <t>3/30/2024 12:57 PM</t>
  </si>
  <si>
    <t>Mauricio Maturana</t>
  </si>
  <si>
    <t>00515314</t>
  </si>
  <si>
    <t>AMCEN - Actualización cubo ExcelCubes_Centinela_ReasonsCube</t>
  </si>
  <si>
    <t>Job SSAS arroja error de ejecución en el paso 2, ante esto se realiza revisión del script no encontrando problemas. Se ejecuta manualmente el procedimiento y este termina sin errores. Actualmente job se encuentra funcionando sin errores.</t>
  </si>
  <si>
    <t>3/29/2024 3:37 PM</t>
  </si>
  <si>
    <t>3/31/2024 3:47 PM</t>
  </si>
  <si>
    <t>00515315</t>
  </si>
  <si>
    <t>AMCEN - Reporte excesos de velocidad V2</t>
  </si>
  <si>
    <t>Se realiza ajuste para permitir filtrar datos que desde despacho informaron que no corresponden: Cliente informa vía correo que cambios están ok.</t>
  </si>
  <si>
    <t>3/29/2024 3:42 PM</t>
  </si>
  <si>
    <t>3/31/2024 3:30 PM</t>
  </si>
  <si>
    <t>00515324</t>
  </si>
  <si>
    <t>CNCHQ - Consulta sobre cambio de reason</t>
  </si>
  <si>
    <t>Personal de terreno informa que revisaran el inconveniente, pero indican que posiblemente se halla debido a la interacción de un camión con la pala lo que haya generado el cambio de estad de esta.</t>
  </si>
  <si>
    <t>3/29/2024 5:19 PM</t>
  </si>
  <si>
    <t>3/30/2024 5:13 AM</t>
  </si>
  <si>
    <t>00515335</t>
  </si>
  <si>
    <t>AMCEN - Pala con problemas de gps</t>
  </si>
  <si>
    <t>Se intenta revisar el equipo pero se encuentra sin comunicación por lo que se informa que es debido a esa razón que el equipo no está comunicando correctamente ni actualizando posicionamiento</t>
  </si>
  <si>
    <t>3/29/2024 7:12 PM</t>
  </si>
  <si>
    <t>3/29/2024 8:52 PM</t>
  </si>
  <si>
    <t>00515336</t>
  </si>
  <si>
    <t>AMZAL - Generar nueva suscripción de envio de correo</t>
  </si>
  <si>
    <t>Se genera una nueva suscripción para envio cada media hora con los destinatarios solicitados por el cliente.</t>
  </si>
  <si>
    <t>3/29/2024 7:51 PM</t>
  </si>
  <si>
    <t>3/29/2024 8:49 PM</t>
  </si>
  <si>
    <t>Miguel Cáceres</t>
  </si>
  <si>
    <t>00515338</t>
  </si>
  <si>
    <t>Se revisa el equipo y se pueden observar los gps en estado floating por lo que se realiza un reinicio remoto pero levanta aún con problemas por lo que se atribuye a centelleo</t>
  </si>
  <si>
    <t>3/29/2024 8:46 PM</t>
  </si>
  <si>
    <t>3/29/2024 10:05 PM</t>
  </si>
  <si>
    <t>00515339</t>
  </si>
  <si>
    <t>AMCEN - Cargador frontal con problemas de sistema</t>
  </si>
  <si>
    <t>Se realiza un reinicio del equipo para que puedan volver a manejarlo sin problemas desde despacho. igualmente se revisan sensores y antenas y se encuentra todo en buenas condiciones.</t>
  </si>
  <si>
    <t>3/29/2024 10:08 PM</t>
  </si>
  <si>
    <t>00515340</t>
  </si>
  <si>
    <t>AMCEN - Perforadora con problemas de gps</t>
  </si>
  <si>
    <t>Se revisa el equipo y se encuentra operando sin problemas, sensores y antenas impecables.</t>
  </si>
  <si>
    <t>3/29/2024 8:48 PM</t>
  </si>
  <si>
    <t xml:space="preserve">
3/29/2024 10:05 PM</t>
  </si>
  <si>
    <t>00515344</t>
  </si>
  <si>
    <t>AMCEN - Camiones 36 y 41 con problemas de sistema</t>
  </si>
  <si>
    <t>Se revisan ambos equipos y se encuentran operando sin mayores problemas y sensores ok</t>
  </si>
  <si>
    <t>3/29/2024 11:18 PM</t>
  </si>
  <si>
    <t>3/30/2024 3:22 AM</t>
  </si>
  <si>
    <t>00515351</t>
  </si>
  <si>
    <t>Sumarización finalizada a las 12:52 hrs. Se envía correo informando al cliente el término del proceso.</t>
  </si>
  <si>
    <t>3/30/2024 3:20 AM</t>
  </si>
  <si>
    <t>3/30/2024 2:29 PM</t>
  </si>
  <si>
    <t>00515353</t>
  </si>
  <si>
    <t>MLCC - Destinos suplicados</t>
  </si>
  <si>
    <t>Revisión muestra que existen destinos duplicados lo que genera problemas con las asignaciones, se realiza la eliminación de los destinos duplicados para resolver el inconveniente. Se llama al despachador para informar lo realizado.</t>
  </si>
  <si>
    <t>3/30/2024 5:28 AM</t>
  </si>
  <si>
    <t>3/30/2024 7:58 AM</t>
  </si>
  <si>
    <t>00515358</t>
  </si>
  <si>
    <t>MLCC - Solicitud de Alta de Usuario y Servicios Cristian Espinoza</t>
  </si>
  <si>
    <t>usuario no mantiene cuentas asociadas a los aplicativos mineops ni jview. Se envía correo con la información.</t>
  </si>
  <si>
    <t>3/30/2024 8:25 AM</t>
  </si>
  <si>
    <t>Mesa de ayuda TI</t>
  </si>
  <si>
    <t>00515363</t>
  </si>
  <si>
    <t>MLCC - Revisión de importador</t>
  </si>
  <si>
    <t>importador se encontraba encolado, por lo que se detienen el proceso lo que permite reiniciar la carga de los archivos.</t>
  </si>
  <si>
    <t>3/30/2024 10:30 AM</t>
  </si>
  <si>
    <t>3/30/2024 2:35 PM</t>
  </si>
  <si>
    <t>Rodrigo Santibañez</t>
  </si>
  <si>
    <t>00515382</t>
  </si>
  <si>
    <t>AMZAL - Sumarización marzo</t>
  </si>
  <si>
    <t>Trabajando en conjunto con Miguel Caceres se descubrió que el factor de carga no estaba siendo tomado por una zona en específico debido a que dicha zona no estaba asociado a la categoría locación que correspondía. Luego de corregir se sumariza nuevamente y quedan ok</t>
  </si>
  <si>
    <t>3/30/2024 2:31 PM</t>
  </si>
  <si>
    <t>3/30/2024 11:44 PM</t>
  </si>
  <si>
    <t>Belen Sáez</t>
  </si>
  <si>
    <t>00515388</t>
  </si>
  <si>
    <t>AMCEN - Palas con problemas en JSPanel</t>
  </si>
  <si>
    <t>Se revisan ambos equipos, en primera instancia la pala 7 está operando sin problemas pero, la pala 9 está sin comunicación, luego de unos minutos se recupera la comunicación con la PA9 y se realiza un borrado de la base de datos interna y reinicio de sistema, recuperando así la visualización correcta de camiones</t>
  </si>
  <si>
    <t>3/30/2024 4:50 PM</t>
  </si>
  <si>
    <t>3/30/2024 6:20 PM</t>
  </si>
  <si>
    <t>00515389</t>
  </si>
  <si>
    <t>AMCEN - Camión 61 con problemas de gps</t>
  </si>
  <si>
    <t>Se realiza un borrado de la base de datos interna del equipo y un reinicio remoto recuperando el estado correcto del gps, sin embargo, la comunicación es muy variada por lo que dificultó a al realización de acciones y esto afecta directamente al funcionamiento del gps también.</t>
  </si>
  <si>
    <t>3/30/2024 4:51 PM</t>
  </si>
  <si>
    <t>3/30/2024 6:23 PM</t>
  </si>
  <si>
    <t>00515391</t>
  </si>
  <si>
    <t>MLCC - Por problema en destino camiones se van a reserva</t>
  </si>
  <si>
    <t>Se listan los destinos encontrando múltiples duplicados por lo cual se eliminan los mas antiguos y/o con menos materiales asignados.</t>
  </si>
  <si>
    <t>3/30/2024 5:25 PM</t>
  </si>
  <si>
    <t>3/31/2024 3:17 AM</t>
  </si>
  <si>
    <t>00515393</t>
  </si>
  <si>
    <t>AMCEN - Caex 56 no aparece en sistema</t>
  </si>
  <si>
    <t>Se elimina la base de datos interna del equipo y se reinicia remotamente recuperando el correcto funcionamiento del gps y normalizando su aparición en sistema</t>
  </si>
  <si>
    <t>3/30/2024 5:32 PM</t>
  </si>
  <si>
    <t>3/30/2024 6:30 PM</t>
  </si>
  <si>
    <t>00515398</t>
  </si>
  <si>
    <t>CNCHQ - Consulta sobre asignación automática</t>
  </si>
  <si>
    <t>Se explica que la razón por la cual un camión no esté aceptando correctamente la ruta automática se debe a que dicha ruta debe tener algún error que no la haga viable.</t>
  </si>
  <si>
    <t>3/30/2024 6:32 PM</t>
  </si>
  <si>
    <t>3/31/2024 1:40 AM</t>
  </si>
  <si>
    <t>00515401</t>
  </si>
  <si>
    <t>AMCEN - Cargador frontal sin sistema</t>
  </si>
  <si>
    <t>Se elimina la base de datos interna del equipo y se reinicia remotamente, cuando vuelve a levantar visualiza correctamente camiones en pantalla. Se mantendrá monitoreo por el estado de los gps</t>
  </si>
  <si>
    <t>3/30/2024 7:58 PM</t>
  </si>
  <si>
    <t>3/30/2024 9:01 PM</t>
  </si>
  <si>
    <t>00515407</t>
  </si>
  <si>
    <t>CNRI - Alarma OAS incorrecta</t>
  </si>
  <si>
    <t>Se revisa el registro/evento guardado y se encuentra que para guardar el evento de exceso de velocidad se comienza a registrar un poco antes de superar el límite por lo que cuando el evento comienza y guarde la velocidad sigue sin ser exceso pero si se supera luego de segundos.</t>
  </si>
  <si>
    <t>3/30/2024 9:02 PM</t>
  </si>
  <si>
    <t>3/30/2024 11:36 PM</t>
  </si>
  <si>
    <t>00515408</t>
  </si>
  <si>
    <t>AMCEN - Camión con problema en asignaciones</t>
  </si>
  <si>
    <t>Se monitorea el equipo y se puede observar que en ocasiones pierde comunicación por poco tiempo, pero esto no permite que se haga el cambio de asignación correctamente, por otro lado se puede observar muy fluctuante el estado de gps y de hecho en algunos momentos es bad point por lo que se recomienda atención en terreno.</t>
  </si>
  <si>
    <t>3/30/2024 9:03 PM</t>
  </si>
  <si>
    <t>3/30/2024 11:37 PM</t>
  </si>
  <si>
    <t>00515412</t>
  </si>
  <si>
    <t>AMANT - Perforadoras con problemas de gps</t>
  </si>
  <si>
    <t>Se realiza monitoreo de ambos equipos. Durante revisión de D01 se elimina la base de datos interna del equipo y un reinicio remoto recuperando el estado fixed en sensores gps. Por otro lado la D05 tiene problemas en correcciones diferenciales y por eso no puede quedar fixed, se realizan multiples reinicios y se le borra la base de datos interna sin solucionar el problema, luego del tercer reinicio retoma correctamente calidad 4</t>
  </si>
  <si>
    <t>3/30/2024 9:53 PM</t>
  </si>
  <si>
    <t>3/30/2024 11:41 PM</t>
  </si>
  <si>
    <t>00515417</t>
  </si>
  <si>
    <t>AMCEN - Camión no muestra tonelaje</t>
  </si>
  <si>
    <t>Se comienza a monitorear equipo pero justo se va a mantenimiento por lo que no es posible confirmar en caliente el funcionamiento del sensor de tonelaje, sin embargo, al realizar despliegue de sensores marca como dipper good y payload good</t>
  </si>
  <si>
    <t>3/31/2024 1:27 AM</t>
  </si>
  <si>
    <t>3/31/2024 1:42 AM</t>
  </si>
  <si>
    <t>00515420</t>
  </si>
  <si>
    <t>Se reinician los servicios SQL Server en el servidor normalizando la replica a servidor de reportes</t>
  </si>
  <si>
    <t>3/31/2024 3:28 AM</t>
  </si>
  <si>
    <t>3/31/2024 3:29 AM</t>
  </si>
  <si>
    <t>00515426</t>
  </si>
  <si>
    <t>Sumarización se finaliza a las 17 hrs y se informa vía correo al usuario. El tiempo se extendió debido a que se realizaron sumarizaciones intermedias para ir actualizando la reportabilidad y no impactar las operaciones de la mina. días quedan cuadrados entre jview y mineops.</t>
  </si>
  <si>
    <t>3/31/2024 8:12 AM</t>
  </si>
  <si>
    <t>3/31/2024 3:35 PM</t>
  </si>
  <si>
    <t>00515427</t>
  </si>
  <si>
    <t>AMCEN - Revisión de Pala 1</t>
  </si>
  <si>
    <t>Equipo no presenta problemas de comunicación ni con las señales de GPS, se realiza monitoreo no encontrando problemas de funcionamiento. Se envía correo al cliente detallando el estado de la pala.</t>
  </si>
  <si>
    <t>3/31/2024 8:13 AM</t>
  </si>
  <si>
    <t>3/31/2024 11:06 AM</t>
  </si>
  <si>
    <t>00515428</t>
  </si>
  <si>
    <t>CNDMH - Revisión de camión 371</t>
  </si>
  <si>
    <t>Se realiza revisión del equipo el cual no muestra problemas conectividad. Durante monitoreo no se presentan inconvenientes con el posicionamiento y el equipo realiza sus cambios de actividades de manera normal. Se llama al técnico para entregar detalles del equipo.</t>
  </si>
  <si>
    <t>3/31/2024 8:14 AM</t>
  </si>
  <si>
    <t>3/31/2024 11:01 AM</t>
  </si>
  <si>
    <t>00515432</t>
  </si>
  <si>
    <t>AMCEN - Revisión CF234</t>
  </si>
  <si>
    <t>En primera instancia equipo se encontraba son comunicación a través de la vista camiones, por lo que se realiza conexión vía ssh para realizar reinicio del Core. Luego por la lentitud en la carga de la vista del mapa en el jspanel se realiza la reinstalación de la versión y un reinicio del Core lo que permite agilizar la carga de los servicios del equipo. Las comunicaciones y GPS se encuentran operando en niveles óptimos. Se envía correo al usuario para informar el estado del equipo.</t>
  </si>
  <si>
    <t>3/31/2024 8:56 AM</t>
  </si>
  <si>
    <t>3/31/2024 10:58 AM</t>
  </si>
  <si>
    <t>Scarlett castillo</t>
  </si>
  <si>
    <t>00515458</t>
  </si>
  <si>
    <t>AMCEN - Precierre JigSaw ESP, Marzo 2024 (1 al 29)</t>
  </si>
  <si>
    <t>Se solicita a Victor Rojas apoyo para validar las diferencias y ver los pasos a seguir, dado que estas revisiones son de manera habitual en Centinela</t>
  </si>
  <si>
    <t>3/31/2024 3:49 PM</t>
  </si>
  <si>
    <t>00515460</t>
  </si>
  <si>
    <t>AMZAL - Revisar día 21 por diferencia de las vueltas</t>
  </si>
  <si>
    <t>Por falta de tiempo, cliente debido a necesidad de entregar informes, se cierra el ticket asumiendo la información entregada por Jview</t>
  </si>
  <si>
    <t>3/31/2024 3:56 PM</t>
  </si>
  <si>
    <t>00515461</t>
  </si>
  <si>
    <t>se realiza ajuste de los días 29 para agregar los equipos, luego se realiza de manera manual el proceso de carga de los archivos con problemas, los cuales se generan con la data completa. Se informa al cliente lo realizado para que pueda hacer uso de los archivos.</t>
  </si>
  <si>
    <t>3/31/2024 3:58 PM</t>
  </si>
  <si>
    <t>3/31/2024 4:01 PM</t>
  </si>
  <si>
    <t>00515467</t>
  </si>
  <si>
    <t>AMCEN - Camión con sistema constantemente pegado</t>
  </si>
  <si>
    <t>Se reinicia el equipo de manera remota y se mantiene monitoreo confirmando que caex está cambiando correctamente de estados y registrando todo ok.</t>
  </si>
  <si>
    <t>3/31/2024 5:54 PM</t>
  </si>
  <si>
    <t>3/31/2024 7:28 PM</t>
  </si>
  <si>
    <t>00515474</t>
  </si>
  <si>
    <t>AMCEN - Caex 16 sin sistema</t>
  </si>
  <si>
    <t>Se reinicia el equipo y se mantiene monitoreo, se observa comportamiento correcto.</t>
  </si>
  <si>
    <t>3/31/2024 7:29 PM</t>
  </si>
  <si>
    <t>3/31/2024 8:58 PM</t>
  </si>
  <si>
    <t>00515479</t>
  </si>
  <si>
    <t>AMZAL - Sumarización días 28 al 30</t>
  </si>
  <si>
    <t>Se sumariza el periodo de tiempo deseado sin novedades.</t>
  </si>
  <si>
    <t>3/31/2024 8:29 PM</t>
  </si>
  <si>
    <t>00515487</t>
  </si>
  <si>
    <t>Se realiza un reinicio al equipo y se mantiene monitoreo donde se puede ver operando correctamente.</t>
  </si>
  <si>
    <t>3/31/2024 9:41 PM</t>
  </si>
  <si>
    <t>00515572</t>
  </si>
  <si>
    <t>AMZAL - Sumarización día 31/03</t>
  </si>
  <si>
    <t>Sumarización finalizada sin novedades, se envía correo al usuario informando los detalles.</t>
  </si>
  <si>
    <t>00515606</t>
  </si>
  <si>
    <t>CNN - Conciliación Mina / Mantenimiento - Resumarización jigsaw - Semana 12-13</t>
  </si>
  <si>
    <t>Se realiza sumarización la cual finaliza sin novedades, se envía correo al cliente informando.</t>
  </si>
  <si>
    <t>00515609</t>
  </si>
  <si>
    <t>MLCC - Solicita Baja de Servicios: HECTOR OCIEL OLIVARES BORQUEZ// RITM00000613321</t>
  </si>
  <si>
    <t>Se realiza abaja de las cuentas asociadas a los aplicativos de Hexagon, se envía detalles correo al usuario.</t>
  </si>
  <si>
    <t>00515615</t>
  </si>
  <si>
    <t>MLCC - Solicita Baja de Servicios: HECTOR ARTURO CASTRO PEREIRA // RITM00000613385</t>
  </si>
  <si>
    <t>00515620</t>
  </si>
  <si>
    <t>MLCC - Sumarización marzo 2024 para cierre de mes</t>
  </si>
  <si>
    <t>Se termina la sumarización sin problemas. Se vuelve a levantar servicio de sumarizador y replica sql server</t>
  </si>
  <si>
    <t>00515621</t>
  </si>
  <si>
    <t>AMZAL - Favor Cargas Plan Mensual Abril 2024</t>
  </si>
  <si>
    <t>Se realiza carga del plan mensual sin inconvenientes. Se informa vía telefónica a Miguel Cáceres.</t>
  </si>
  <si>
    <t>00515638</t>
  </si>
  <si>
    <t>Monitoreo - CNCHQ - Sumarizador encolado</t>
  </si>
  <si>
    <t>En el servidor se detectan múltiples instancias del sumarizador por servicio por lo que se matan todas y se vuelve a levantar una en limpio.</t>
  </si>
  <si>
    <t>00515646</t>
  </si>
  <si>
    <t>Luego de sumarizar los datos no cambian a lo que se espera por lo que se analizan posibles detalles, encontrando que el stock tenía otra región asignada "Chancado" cuando debería ser "ChancadorR" se modifica eso pero sigue sin funcionar. Finalmente constaba del mismo problema que la vez anterior, faltaba la categoría locación para hacer de nexo entre el stock y el factor de carga</t>
  </si>
  <si>
    <t>00515648</t>
  </si>
  <si>
    <t>AMCEN - Camión con problemas en sistema</t>
  </si>
  <si>
    <t xml:space="preserve">Se monitorea el equipo y se puede observar que comportamiento del sistema es impecable, sin embargo, en ocasiones se pierde comunicación por un periodo de tiempo generando los inconvenientes comentados. Por lo que se atribuye a redes la problemática
</t>
  </si>
  <si>
    <t>00515669</t>
  </si>
  <si>
    <t>Se reinicia el equipo y se mantiene monitoreo. Se puede observar trabajando de manera impecable</t>
  </si>
  <si>
    <t>00515739</t>
  </si>
  <si>
    <t>CNN - Cambios Marzo</t>
  </si>
  <si>
    <t>se realiza los cambios solicitados junto a la sumarizacion del mes de marzo. Se envía correo detallando lo realizado.</t>
  </si>
  <si>
    <t>00515740</t>
  </si>
  <si>
    <t>CNRT - Agregar botón en Perforadora PE-05</t>
  </si>
  <si>
    <t>Se realiza la agregación del icono en la pantalla del equipo, se envía correo al ingeniero de la faena para que corrobore los cambios.</t>
  </si>
  <si>
    <t>00515796</t>
  </si>
  <si>
    <t>AMZAL - Problemas con bloque 3050</t>
  </si>
  <si>
    <t>Se revisan los bloques, los cuales efectivamente no se habían creado en el sistema, pero si se habían asociado a otra ubicación , se borran desde la BD y se cargan nuevamente, ahora cargándose como corresponde, se crea su ubicación respectiva y aparecen visibles en el mineops.</t>
  </si>
  <si>
    <t>00515853</t>
  </si>
  <si>
    <t>Se reinician los servicios sql , eliminando asi los procesos encolados.</t>
  </si>
  <si>
    <t>00515863</t>
  </si>
  <si>
    <t>Se eliminan los procesos de sumarizacion sin terminar y se monitorea que no vuelva a suceder.</t>
  </si>
  <si>
    <t>00515870</t>
  </si>
  <si>
    <t>CNN - Leyes Acopios mina abril 2024</t>
  </si>
  <si>
    <t>Se crean las leyes solicitadas para el mes de Abril y se sumariza.</t>
  </si>
  <si>
    <t>00515872</t>
  </si>
  <si>
    <t>Monitoreo - CNRI - ME sin alarmas ni posicionamiento actualizado</t>
  </si>
  <si>
    <t>Se entra a revisar ME encontrandose todo trabajando de forma normal, habiendo equipos conectados y alarmas actualizadas, de todas formas se tratan de recuperar alarmas, pero no hay datos para procesar.</t>
  </si>
  <si>
    <t>00515979</t>
  </si>
  <si>
    <t>MLCC - RE: Solicitud de velocidades Caex 2024</t>
  </si>
  <si>
    <t>Se facilita una query que entrega lo que necesitaba el cliente.</t>
  </si>
  <si>
    <t>00515980</t>
  </si>
  <si>
    <t>Monitoreo - CNRI - Pruebas CAS</t>
  </si>
  <si>
    <t>00515991</t>
  </si>
  <si>
    <t>MLCC - Equipos no registran las cargas en el sistema</t>
  </si>
  <si>
    <t>Se monitorea el sector y los equipos tienen una alta perdida de datos, por lo que su entrega de datos con el servidor es tardía, pero esta si se esta realizando, se revisan las descargas sumaria, la cual entrega datos con unos minutos de desface, ademas de revisar la P211 que tenia 3 cargas y pasado una media hora, se le agregaron correctamente 2 cargas mas.</t>
  </si>
  <si>
    <t>00516021</t>
  </si>
  <si>
    <t>CNN - RE: Importadores</t>
  </si>
  <si>
    <t>00516037</t>
  </si>
  <si>
    <t>AMZAL - Problemas con Horometros</t>
  </si>
  <si>
    <t>Se solicita cambiar la hora de generacion de los archivos a las 7:20 y 19:20 respectivamente, porque el problema solo se genera en la creación de las 7:15.
06-04-2024, se crean los archivos de la mañana correctamente y se le informa a Mario que se seguirá monitoreando un par de dias mas antes de dar por terminado el ticket.</t>
  </si>
  <si>
    <t>00516040</t>
  </si>
  <si>
    <t>MLCC - PA211 manda los equipos a reserva</t>
  </si>
  <si>
    <t>El destino con el cual estaba trabajando la pala, no tenia asignado el material transportado.</t>
  </si>
  <si>
    <t>00516041</t>
  </si>
  <si>
    <t>Resumarizar dia 03/04/2024</t>
  </si>
  <si>
    <t>Se realzia la sumarizacion solicitada</t>
  </si>
  <si>
    <t>00516078</t>
  </si>
  <si>
    <t>AMCEN - Reportabilidad pegada</t>
  </si>
  <si>
    <t>Se realiza revision del proceso de replica de sql server y los reportes Jview sin encontrar problemas. Luego me contacta Loreta para revisar el reporte KPI'S de carguío por hora que no actualiza la hora 4. Monitoreando se detecta que el reporte se actualiza una vez terminada la hora, se informa a cliente</t>
  </si>
  <si>
    <t>Loreta despacho</t>
  </si>
  <si>
    <t>Mauricio Estay</t>
  </si>
  <si>
    <t>00516080</t>
  </si>
  <si>
    <t>AMZAL - Miguel Caceres llama indicando que existen bloques sobrepuestos del banco 3050 y 3065. Al filtrar bloques del 3050, le aparecen del 3065</t>
  </si>
  <si>
    <t>Se le indica que se deben ir borrando los bloques ya extraidos, pero igual se detecta un problema que al filtrar los bloques 83050N igual aparecen bloques del 83065N</t>
  </si>
  <si>
    <t>00516094</t>
  </si>
  <si>
    <t>AMZAL - Apoyo en la verificación de la conectividad de la perforadora D11</t>
  </si>
  <si>
    <t xml:space="preserve">Se confirma la conectividad del equipo </t>
  </si>
  <si>
    <t>Hector tecnico</t>
  </si>
  <si>
    <t>00516096</t>
  </si>
  <si>
    <t>CNRI - Despacho indica que Caex 121 arroja constantemente alarmas en OAS</t>
  </si>
  <si>
    <t>Se ingresa a la web de monitoreo para buscar información</t>
  </si>
  <si>
    <t>John Boyd</t>
  </si>
  <si>
    <t>00516102</t>
  </si>
  <si>
    <t>MLCC - Personal tres60 solicita apoyo en revision de GPS L221</t>
  </si>
  <si>
    <t>Se ingresa al equipo se verifica que GPS1 se encuentra en badpoint y GPS2 funcionando OK. Se les recomiendad diferentes pruebas porque ese es un tipico problema con el hardware fisico. Finalmente tienen que entregar el equipo sin poder terminar las pruebas.</t>
  </si>
  <si>
    <t>Aldo tres60</t>
  </si>
  <si>
    <t>00516104</t>
  </si>
  <si>
    <t>Manto Verde - Despacho solicita mover la PALA05 a la posicion de la tronada 0870F505</t>
  </si>
  <si>
    <t>Se realiza la modificación de la posicion de la tronada correspondiente en la tabla traveling</t>
  </si>
  <si>
    <t>Despacho Victor</t>
  </si>
  <si>
    <t>00516105</t>
  </si>
  <si>
    <t>Salvador - Despacho solicita verificar sistema OAS de Caex 320, ya que informa que es muy reiterativa la alerta de ojos cerrados</t>
  </si>
  <si>
    <t>00516106</t>
  </si>
  <si>
    <t>AMCEN - Equipos PA4  y CF234 con problemas de señal GPS</t>
  </si>
  <si>
    <t>Se les informa que la elevación del Stock tiene mas de 30 metros de diferencia con la de los equipos y es por esto que se visualiza como GPS none</t>
  </si>
  <si>
    <t>00516108</t>
  </si>
  <si>
    <t>AMCEN - Perfo 53 con pantalla pegada y sin GPS</t>
  </si>
  <si>
    <t>Se detecta que el JAMS del equipo se reinicia constantemente, se detiene el JAMS se borran la BD del equipo, luego se reinicia y se recupera el funcionamiento del JAMS.</t>
  </si>
  <si>
    <t>00516109</t>
  </si>
  <si>
    <t>Manto Verde - Despacho solicita mover la PALA03 a la posicion de la tronada 0825V505</t>
  </si>
  <si>
    <t>Despacho Jonathan</t>
  </si>
  <si>
    <t>00516110</t>
  </si>
  <si>
    <t>Monitoreo - MLCC - Consultas pegadas, elevado uso de CPU</t>
  </si>
  <si>
    <t>Se eliminan las consultas Idle</t>
  </si>
  <si>
    <t>00516117</t>
  </si>
  <si>
    <t>CNRI - Sistema de Caex 321 con constantes alarmas e incluso alertas de velocidad</t>
  </si>
  <si>
    <t>00516129</t>
  </si>
  <si>
    <t>Monitoreo - AMCEN - shift state no se esta replicando</t>
  </si>
  <si>
    <t>Se revisa la replicacion de datos, donde se quedaba pegado en la tabla shift_state, se saca la tabla de la replicacion y se deja trabajar una vuelta sin errores, se vuelve a agregar la tabla y ahora ya pasa los datos sin problemas.</t>
  </si>
  <si>
    <t>00516150</t>
  </si>
  <si>
    <t>Se encuentra un servicio de la sumarizacion del dia 3 de Abril, se elimina y se revisa que trabaje correctamente.</t>
  </si>
  <si>
    <t>00516173</t>
  </si>
  <si>
    <t>MLCC - % de cobertura palas</t>
  </si>
  <si>
    <t>Se revisa la pala, y se hace el cambio de la cobertura, se llama a Cristian para explicarle que al trabajar con modelo de bloques, la pala si se esta moviendo, al cambiar de bloque actualiza su informacion por lo que la modificacion debe ser rapida o el cambio no se vera reflejado.</t>
  </si>
  <si>
    <t>00516232</t>
  </si>
  <si>
    <t>Se modifican todos los bloques del 83065N y se deja en su ubicación correspondiente, una vez terminado se revisa la S04 la cual esta trabajando con el 83050N, pero veia los del 83065N, estando todo en orden, ahora ve los bloques correspondientes a su lugar de trabajo, se seguirá monitoreando y se solicito a Miguel Caceres que nos avisen para monitorear las futuras cargas de dichos bloques.</t>
  </si>
  <si>
    <t>00516248</t>
  </si>
  <si>
    <t>Monitoreo - MAGSA - Consultas postgres en estado Idle</t>
  </si>
  <si>
    <t>Se eliminan las consultas pegadas en postgres</t>
  </si>
  <si>
    <t>00516250</t>
  </si>
  <si>
    <t>CNRI - Camion 101 con muchas alertas en el sistema OAS</t>
  </si>
  <si>
    <t>00516256</t>
  </si>
  <si>
    <t>CNRT - Tecnico solicita el reinicio del equipo R06</t>
  </si>
  <si>
    <t>Se reinicia el equipo de acuerdo a lo solicitado</t>
  </si>
  <si>
    <t>Elias</t>
  </si>
  <si>
    <t>00516269</t>
  </si>
  <si>
    <t>AMZAL - Ingreso Bull a flota</t>
  </si>
  <si>
    <t>Se crea el equipo solicitado</t>
  </si>
  <si>
    <t>00516272</t>
  </si>
  <si>
    <t>CNDMH - C347 sin señal</t>
  </si>
  <si>
    <t>Se revisa el equipo, se ven sus configuraciones las cuales estan ok, se revisan sus dispositivos y se comparan con otro equipo estando todo en norma, se revisa  su version del JAMS , la cual tambien es la correcta, de todas formas se vuelve a cargar el parche, se reinicia y se mantiene la situacion, se le solicita al personal de redes que puedan revisar la configuracion del sar del equipo con el snmp</t>
  </si>
  <si>
    <t>00516273</t>
  </si>
  <si>
    <t>AMZAL - L13 pegado en el mapa</t>
  </si>
  <si>
    <t>Se revisa el equipo y se detecta que el GPS no esta recibiendo señales, se le indica a Alexis que revisen las conexiones y en su defecto el mismo GPS.</t>
  </si>
  <si>
    <t>00516274</t>
  </si>
  <si>
    <t>AMZAL - Pruebas de mensajes personalizados</t>
  </si>
  <si>
    <t>Se modifican los mensajes por los entregados por Miguel , se hace una prueba con el H33 y todo se ve bien por el VNC, se le envia un correo a Miguel solicitando su apoyo para que el operador del mismo camion , nos confirme que ve bien los mensajes y que los puede enviar sin problemas, posteriormente lo llamamos haciendo la misma solicitud del correo, estamos a la espera de una respuesta.</t>
  </si>
  <si>
    <t>00516275</t>
  </si>
  <si>
    <t>CNRT - C954 sin conexion</t>
  </si>
  <si>
    <t>Se revisa el equipo el cual esta trabajando con normalidad.</t>
  </si>
  <si>
    <t>00516277</t>
  </si>
  <si>
    <t>CNDMH - Sin sistema mineops</t>
  </si>
  <si>
    <t>Problema se debe a caída de las redes en DMH, el sistema siguió funcionando correctamente mediante la red de Hexagon, y el servidor siguió trabajando de forma normal, cuando se restableció la conexión , se revisaron los equipos los cuales recuperaron su conexión de forma inmediata y el sistema tenia información actualizada.</t>
  </si>
  <si>
    <t>00516278</t>
  </si>
  <si>
    <t>CNCHUQ - Apoyo polígono Stock M1</t>
  </si>
  <si>
    <t>Se carga el poligono solicitado</t>
  </si>
  <si>
    <t xml:space="preserve">Diego </t>
  </si>
  <si>
    <t>00516290</t>
  </si>
  <si>
    <t>CNCHUQ - C159 sin comunicacion</t>
  </si>
  <si>
    <t>Se revisa el equipo el cual no tiene ping, se le hace ping a la ip fisica y hay respuesta, la pantalla es la que no responde, se le indica a Diego que tendrian que reiniciar el equipo en terreno si eso no funciona, revisar el cableado y la pantalla como ultima opcion.</t>
  </si>
  <si>
    <t>00516291</t>
  </si>
  <si>
    <t>CNCHUQ - Solicitud apoyo para cargar polígonos</t>
  </si>
  <si>
    <t>00516295</t>
  </si>
  <si>
    <t>CNDMH - Jview sin datos actualizados</t>
  </si>
  <si>
    <t>Proceso de replica sql se encontraba pegado, se mata el proceso y se vuelve a ejecutar acualizando asi la reportabilidad</t>
  </si>
  <si>
    <t>00516297</t>
  </si>
  <si>
    <t>MLCC - No se estan cargando los bloques y mallas desde el importador</t>
  </si>
  <si>
    <t>Se eliminan importadores pegados y luego se ejecuta el proceso manualmente, procesando finalmente el archivo sin problemas</t>
  </si>
  <si>
    <t>00516301</t>
  </si>
  <si>
    <t>AMCEN - Reporte de excesos de velocidades no se encuentra actualizando datos</t>
  </si>
  <si>
    <t>Al momento de revisar si se estan generando datos en el reporte, se adjunta imagen de evidencia</t>
  </si>
  <si>
    <t>00516315</t>
  </si>
  <si>
    <t>AMCEN - Problemas de posicionamiento GPS de camion 36</t>
  </si>
  <si>
    <t>Al monitorear equipo este se encuentra operativo y aparece en el sistema pero a ratos tiene una baja señal de GPS por lo que disminuye su precision en el posicionamiento</t>
  </si>
  <si>
    <t>00516319</t>
  </si>
  <si>
    <t>AMCEN - Pala no registra carga de los camiones y deben agregarlas manualmente.</t>
  </si>
  <si>
    <t>Se revisa la vista cargas, teniendo un desfase de 40 min aprox, mientras se revisa que puede estar sucediendo luego se vuelve a refrescar y las cargas aparecen actualizadas sin realizar ninguna intervencion</t>
  </si>
  <si>
    <t>00516322</t>
  </si>
  <si>
    <t>CNDMH - C308 sin señal</t>
  </si>
  <si>
    <t>Se revisa el equipo el cual estaba trabajando correctamente.</t>
  </si>
  <si>
    <t>00516326</t>
  </si>
  <si>
    <t>Monitoreo - CNDMH - Revision de ME por cambio de hora</t>
  </si>
  <si>
    <t>Se revisa y se recupera correctamente las alarmas y el posicionamiento de los vehiculos.</t>
  </si>
  <si>
    <t>00516333</t>
  </si>
  <si>
    <t>CNRT - mallas no cargan al sistema</t>
  </si>
  <si>
    <t>Se revisan los archivos y estaban creados correctamente, al ejecutar el importador, este nos indicaba un error de que el nombre ya existía, se revisan las ubicaciones y efectivamente ambos archivos habían sidos creados en Enero, se le indica lo encontrado a Paula quien borra los archivos , posteriormente se renombrar por BD porque seguía indicando que las ubicaciones ya existían, una vez cambiado el nombre, se cargan las mallas sin problemas.</t>
  </si>
  <si>
    <t>Paula despacho</t>
  </si>
  <si>
    <t>00516336</t>
  </si>
  <si>
    <t>AMCEN - Desviación reportabilidad KPIS equipos de carguío</t>
  </si>
  <si>
    <t>Se sumariza el turno recuperando los datos faltantes</t>
  </si>
  <si>
    <t>Loreta</t>
  </si>
  <si>
    <t>00516338</t>
  </si>
  <si>
    <t>AMANT - Pala 1 no ve la linea del Hazzard</t>
  </si>
  <si>
    <t>00516339</t>
  </si>
  <si>
    <t>Monitoreo - CNRT - Revision ME por cambio de hora</t>
  </si>
  <si>
    <t>Se revisan los informes porque no teniamos alarmas ni posicionamiento, se recuperan ambos era porque los jobs estaban trabajando de forma desfasada.</t>
  </si>
  <si>
    <t>00516344</t>
  </si>
  <si>
    <t>Monitoreo - CNMS - Revision de ME</t>
  </si>
  <si>
    <t>Se revisa ME estaba trabajando con mas normalidad, se reinician de todas formas los servicios y tenemos informacion actualizada.</t>
  </si>
  <si>
    <t>00516346</t>
  </si>
  <si>
    <t>Monitoreo - CNCHUQ - Revision de ME</t>
  </si>
  <si>
    <t>En monitoreo porque tenemos alarmas, pero en el mapa no se ven los equipos, pero en un reporte dice que estos si tienen conexion con el servidor.</t>
  </si>
  <si>
    <t>00516347</t>
  </si>
  <si>
    <t>CNDMH - Perforadora 106</t>
  </si>
  <si>
    <t>Se revisa el equipo el cual tenia conexion pero no podia ver el mapa , ni tampoco se veia el equipo en el mapa, se detecta que este tiene una flota distinta a las demas perforadoras, se le aplica la misma flota y el equipo aparece en el mapa de forma correcta.</t>
  </si>
  <si>
    <t>00516352</t>
  </si>
  <si>
    <t>CNCHUQ - Polígonos DCH 07 Abril</t>
  </si>
  <si>
    <t>Marc</t>
  </si>
  <si>
    <t>00516361</t>
  </si>
  <si>
    <t>00516362</t>
  </si>
  <si>
    <t>CNCHUQ - CAEX 510</t>
  </si>
  <si>
    <t>Se revisa el equipo el cual tiene todo bien configurado, se revisa el JAMS donde sale que el gps esta recibiendo correcciones, Diego nos vuelve a hablar al rato, indicando que el problema era una antena de radio que alguien dejo en un cenicero y eso causaba la interferencia, se revisa el equipo el cual efectivamente ahora tiene la máxima señal del GPS.</t>
  </si>
  <si>
    <t>00516396</t>
  </si>
  <si>
    <t>AMZAL - Pala S04 no visualiza los bloques</t>
  </si>
  <si>
    <t>Equipos e encuentra con conectividad, se revisan por VNC y los bloques estan visibles y la pala operando normalmente</t>
  </si>
  <si>
    <t>Tecnico TI</t>
  </si>
  <si>
    <t>00516409</t>
  </si>
  <si>
    <t>Monitoreo - MLCC - Procesos de sumarizador pegadas</t>
  </si>
  <si>
    <t>Se eliminan procesos pegados del sumarizador</t>
  </si>
  <si>
    <t>00516428</t>
  </si>
  <si>
    <t>00516429</t>
  </si>
  <si>
    <t>AMCEN - Reportabilidad CAS no actualiza datos</t>
  </si>
  <si>
    <t>Pagina no se cargaba, teniendo posicionamiento y alarmas, se reinician servicios Sharperlight, MineEnterprise, Gateway, finalmente se ejecutan los datamodels y se recuperan el funcionamiento</t>
  </si>
  <si>
    <t>00516445</t>
  </si>
  <si>
    <t>AMCEN - Solicitan revisar reporte Resumen Ejecutivo Mina ya que no actualiza datos</t>
  </si>
  <si>
    <t>Existian procesos de Sumarizador pegados, se eliminan y se monitorea que el proceso de sumarizador y sql se ejecuten sin interrupciones, actualizando la reportabilidad</t>
  </si>
  <si>
    <t>00516468</t>
  </si>
  <si>
    <t>AMZAL - Reporte Hora-Hora</t>
  </si>
  <si>
    <t>Se realizan los cambios solicitados por Miguel</t>
  </si>
  <si>
    <t>00516494</t>
  </si>
  <si>
    <t>CNN - Sumarizacion de Abril</t>
  </si>
  <si>
    <t>00516576</t>
  </si>
  <si>
    <t>CNDMH - Despacho solicita apoyo para recuperar botadero BN-CHUQUI borrado</t>
  </si>
  <si>
    <t>Se recupera botadero a traves de la vista destinos &gt; datos &gt; borrados. Se informa a despacho quien confirma su habilitacion</t>
  </si>
  <si>
    <t>00516591</t>
  </si>
  <si>
    <t>CNCHUQ - Pala 200 no aparece en JPLRutas</t>
  </si>
  <si>
    <t>Una parte de la via se encontraba cerrada, una vez corregido se completa la ruta y la pala aparece en el JPLRuta</t>
  </si>
  <si>
    <t>Tecnico terreno</t>
  </si>
  <si>
    <t>00516594</t>
  </si>
  <si>
    <t>CNRT - Tecnico en terreno indica que EXC-612 se encuentra sin comunicacion e indica que el SarHM si esta conectado.</t>
  </si>
  <si>
    <t>Se logra ingreasar al Sar del equipo pero si comunicacion con la pantalla. se reinicia el puerto del SAR, luego de esto se recupera la comunicacion con la pantalla y el equipo. Se informa a tecnico quien confirma que se encuentra con conectividad</t>
  </si>
  <si>
    <t>Elias tecnico</t>
  </si>
  <si>
    <t>00516595</t>
  </si>
  <si>
    <t>CNRT - Tecnico informa que equipo R06 se encuentra con la pantallla pegada</t>
  </si>
  <si>
    <t>Se reinicia panel del equipo, solucionando el problema</t>
  </si>
  <si>
    <t>9/42024 4:55</t>
  </si>
  <si>
    <t>00516600</t>
  </si>
  <si>
    <t>AMCEN - Problemas con señal de C43, no muestra posicionamiento</t>
  </si>
  <si>
    <t>Al momento de revisar, equipo se encuentra con señal y operando con normalidad</t>
  </si>
  <si>
    <t>00516601</t>
  </si>
  <si>
    <t>AMCEN - Se solicita revisar Señal PE53, sin señal satelital.</t>
  </si>
  <si>
    <t>Equipo se encuentra sin conectividad</t>
  </si>
  <si>
    <t>9/4/204 00:25</t>
  </si>
  <si>
    <t>00516614</t>
  </si>
  <si>
    <t>AMANT - MineEnterprise caída - Antucoya</t>
  </si>
  <si>
    <t>Se entra al servidor sin problemas, se tienen alarmas y equipos actualizados en el mapa, se le envía la evidencia a Maria y se le consulta si tendrán algún problema en la red.</t>
  </si>
  <si>
    <t>00516618</t>
  </si>
  <si>
    <t>Monitoreo - MLCC - Procesos sql encolados</t>
  </si>
  <si>
    <t>Se revisa el servidor y el problema es la replica al servidor espejo, se ingresa por el servidor windows deteniendo los procesos sql, se liberan los procesos y se monitorea para que no se vuelva a encolar.</t>
  </si>
  <si>
    <t>00516628</t>
  </si>
  <si>
    <t>CNRT - Comunicacion servicio Flanders</t>
  </si>
  <si>
    <t>Luego de levantar el agente de SQL se detectan problemas en job de by_equipment_times_AD que utiliza la función ts_shift con fecha y hora. Al parecer con el cambio de hora se generaron problemas ese mismo día por lo que fue necesario eliminar la data de ese día y volver a generarla.</t>
  </si>
  <si>
    <t>00516655</t>
  </si>
  <si>
    <t>CNCHUQ - Modificacion del SAMBA</t>
  </si>
  <si>
    <t>Se modifica la configuración del samba para que los usuarios con W10 puedan acceder a la carpeta polígonos con usuario y contraseña.
Diego confirma que pudo acceder correctamente con las credenciales que le entregamos.</t>
  </si>
  <si>
    <t>Diego</t>
  </si>
  <si>
    <t>00516660</t>
  </si>
  <si>
    <t>MLCC - RV: ERROR JVIEW // INC000011839597</t>
  </si>
  <si>
    <t>Se revisa el informe el cual carga correctamente con datos actualizados</t>
  </si>
  <si>
    <t>Lunding</t>
  </si>
  <si>
    <t>00516686</t>
  </si>
  <si>
    <t>Mantoverde - Sumarización marzo 2024</t>
  </si>
  <si>
    <t>Estimados, se requiere procesar la información del período marzo 2024.
Se sumariza parcialmente para no afectar la reportabilidad Jview</t>
  </si>
  <si>
    <t>00516709</t>
  </si>
  <si>
    <t>MLCC - Stock_S_1 no admite la asignación de camiones, teniendo bien configurado el material</t>
  </si>
  <si>
    <t>Se limpia la tabla dumping, por destinos duplicados se comunicac con despacho quien confirma que se soluciona el problemas. Como antecedente ellos no colocan materiales a los destinos para que acepten todo, quizas esta accion pueda estar afectando</t>
  </si>
  <si>
    <t>00516726</t>
  </si>
  <si>
    <t>MLCC - Reporteabilidad no actualiza datos</t>
  </si>
  <si>
    <t>Existian consultas del sumarizdor pegadas. El proceso de backup sql se cruzaba con el proceso de la sumarizacion y la cortaba. Se detiene el proceso de backup por un instante para que termine completamente la sumarizacion y luego se activa el proceso de sql que alimenta a Jview</t>
  </si>
  <si>
    <t>00516752</t>
  </si>
  <si>
    <t>MLCC - Cálculo de utilización efectiva</t>
  </si>
  <si>
    <t>Se le entrega la línea correspondiente al cálculo de utilización efectiva para camiones y palas con una explicación de cada atributo y la fórmula</t>
  </si>
  <si>
    <t>00516756</t>
  </si>
  <si>
    <t>Mantoverde - Revision Reporte Gerencial</t>
  </si>
  <si>
    <t>Yazmin seguirá coordinando con Marcelo para resolución del ticket</t>
  </si>
  <si>
    <t>00516770</t>
  </si>
  <si>
    <t>Se accede a la web de 10.9.10.10:80 y se reinicia el repetidor de señal, logrando de esta manera la normalidad de correcciones diferenciales</t>
  </si>
  <si>
    <t>Alejandro Barraza</t>
  </si>
  <si>
    <t>00516774</t>
  </si>
  <si>
    <t>AMZAL - Camión no informa alarmas por exceso de velocidad</t>
  </si>
  <si>
    <t>Se monitorea el equipo y se puede observar que registra correctamente alertas de exceso de velocidad.</t>
  </si>
  <si>
    <t>00516839</t>
  </si>
  <si>
    <t>Equipo no presenta problemas en el funcionamiento de sus GPS, pero se visualizan perdida de paquetes de red lo que podría generar lentitud en las actualizaciones del jspanel, se envía correo informando el estado del equipo al cliente.</t>
  </si>
  <si>
    <t>00516840</t>
  </si>
  <si>
    <t>Monitoreo - AMANT - Datos desactualizados CAS</t>
  </si>
  <si>
    <t>Se realiza integración de los datos de position 10 para actualizar las alarmas. Sistema queda operativo y actualizado.</t>
  </si>
  <si>
    <t>00516846</t>
  </si>
  <si>
    <t>AMCEN - Recuperación poligono</t>
  </si>
  <si>
    <t>Se procede a la activación del polígono ESP/F08/1912/828/CO/SME, el cual se encontraba borrado. Se envía correo al usuario informando lo realizado.</t>
  </si>
  <si>
    <t>Marco Antonio Hausdorf</t>
  </si>
  <si>
    <t>00516856</t>
  </si>
  <si>
    <t>CNDMH - Jview no visualiza reportes</t>
  </si>
  <si>
    <t>Se ingresa al servidor y se reinician los servicios SQL recuperando el correcto funcionamiento de la plataforma Jview</t>
  </si>
  <si>
    <t>00516911</t>
  </si>
  <si>
    <t>MLCC - Manual para trabajar dinámicamente</t>
  </si>
  <si>
    <t>Se consigue un manual y se envía al cliente.</t>
  </si>
  <si>
    <t>00516913</t>
  </si>
  <si>
    <t>MLCC - Frontal con problemas de gps</t>
  </si>
  <si>
    <t>Se cambia core del equipo al anterior que utilizaba el cual fue reparado y quedó funcionando ok.</t>
  </si>
  <si>
    <t>00516914</t>
  </si>
  <si>
    <t>AAS - Días con horas incorrecta</t>
  </si>
  <si>
    <t>Se realiza una sumarización de los días afectados normalizando la situación.</t>
  </si>
  <si>
    <t>00516922</t>
  </si>
  <si>
    <t>CNRT - Importador pegado</t>
  </si>
  <si>
    <t>Se detectan importadores pegados evitando la ejecución automática de carga de polígonos. Una vez eliminados se sube manualmente y pasa sin problemas.</t>
  </si>
  <si>
    <t>00517091</t>
  </si>
  <si>
    <t>CNDMH - Proceso replica encolado</t>
  </si>
  <si>
    <t>Se realiza reinicio de los servicios del sql para permitir la finalización de los procesos de réplica. Se llama al cliente para pedir su validación quien informa que reportablidad se encuentra en línea y actualizada.</t>
  </si>
  <si>
    <t>Ricardo Rojas</t>
  </si>
  <si>
    <t>00517095</t>
  </si>
  <si>
    <t>AMCEN - Creación de departamento</t>
  </si>
  <si>
    <t>Se realiza la creación de un nuevo símbolo en la clase Department dentro de la vista configuraciones. Se informa al cliente vía correo.</t>
  </si>
  <si>
    <t>Belén Salgado</t>
  </si>
  <si>
    <t>00517101</t>
  </si>
  <si>
    <t>AMCEN - Problema señal PE53</t>
  </si>
  <si>
    <t>Equipo no presenta problemas de GPS, los cuales muestran calidad 4, se realiza monitoreo para descartar problemas, pero no se visualizan cambios en las señales de las antenas GPS. Se envía correo al cliente detallando lo realizado.</t>
  </si>
  <si>
    <t>00517103</t>
  </si>
  <si>
    <t>Monitoreo - AMANT - Replica encolada</t>
  </si>
  <si>
    <t>Servicio de sqlserver del servidor jview espejo se encontraba detenido lo que generaba problemas con la réplica, una vez iniciado el servicio y la detención de los procesos encolados se recupera la funcionalidad y los procesos se ejecutan finalizando sin inconvenientes.</t>
  </si>
  <si>
    <t>00517109</t>
  </si>
  <si>
    <t>MLCC - Destinos duplicados</t>
  </si>
  <si>
    <t>Revisión arroja destinos duplicados con dump_id = 6006 en tabla dumping, por lo que se realiza borrado de los destinos duplicados lo que resuelve problema de asignación de equipos para ese destino. Se informa al cliente vía telefónica.</t>
  </si>
  <si>
    <t>005171127</t>
  </si>
  <si>
    <t>LB - Mine Enterprise desactualizado</t>
  </si>
  <si>
    <t>Se realiza el procedimiento para expandir el almacenamiento del disco LV.</t>
  </si>
  <si>
    <t>4/14/2024 3:59 PM</t>
  </si>
  <si>
    <t>00517126</t>
  </si>
  <si>
    <t>CNDMH - Pala 206 con problemas de gps</t>
  </si>
  <si>
    <t>Se revisa el equipo y se encuentra con la antena 1 de gps con problemas por lo que se informa a equipo de terreno que deberán verlo allá.</t>
  </si>
  <si>
    <t>00517139</t>
  </si>
  <si>
    <t>CNDMH - Perforadora con pantalla pegada</t>
  </si>
  <si>
    <t>Como se puede observar en las imagenes, el equipo se encontraba sin comunicación y es por eso que la pantalla presenta problemas, sin embargo, recuperó comunicación por un tiempo y se alcanzó a revisar los logs del panel que estaba levantando sin problemas hasta que se desconectó nuevamente. Se deriva a revisión en terreno.</t>
  </si>
  <si>
    <t>00517165</t>
  </si>
  <si>
    <t>CNDMH - Problemas en respuestas ingresadas bitacora CAEX</t>
  </si>
  <si>
    <t>Se revisa en vista Enums con respecto a los equipos afectados y se detecta que existen multiples configuraciones a un tipo de equipo que corresponden a otros tipos de equipo y por eso le preguntaba repetidas veces por las mismas opciones a operadores. Lo que se realizó fue limpiar el exceso de configuraciones y solo dejar la que corresponde para cada tipo de equipo.</t>
  </si>
  <si>
    <t>00517175</t>
  </si>
  <si>
    <t>MLCC - Importador Modelo Bloques pegado</t>
  </si>
  <si>
    <t>Se revisan los procesos de importadores y se encuentran uno encolado hace mucho tiempo lo cual estuvo impidiendo la carga automática. Se matan dichos procesos y se procede a cargar manualmente los nuevos archivos que pasan sin mayores complicaciones.</t>
  </si>
  <si>
    <t>00517203</t>
  </si>
  <si>
    <t>AMCEN - Diferencia entre reportabilidad y mineops</t>
  </si>
  <si>
    <t>Se sumariza el día con diferencias solucionando las inconsistencias.</t>
  </si>
  <si>
    <t>4/13/2024 12:05 PM</t>
  </si>
  <si>
    <t>4/13/2024 4:10 PM</t>
  </si>
  <si>
    <t>00517213</t>
  </si>
  <si>
    <t>AMCEN - Camión con problemas de sistema</t>
  </si>
  <si>
    <t>Se realiza un reinicio remoto recuperando el sistema en equipo</t>
  </si>
  <si>
    <t>4/13/2024 3:57 PM</t>
  </si>
  <si>
    <t>00517223</t>
  </si>
  <si>
    <t>AMCEN - Actualización de cubos 2024</t>
  </si>
  <si>
    <t>Se realiza sumarización desde el 15/02 y esto genero que la tabla hour_etail_dumps en el sqlserver se actualizara y quedara con datos desde esa fecha. Se informa al cliente que hora adicional en el día 6/4 se debe al cambio de hora.</t>
  </si>
  <si>
    <t>4/13/2024 11:07 PM</t>
  </si>
  <si>
    <t>Scarlett CAstillo</t>
  </si>
  <si>
    <t>00517225</t>
  </si>
  <si>
    <t>Monitoreo - AMANT - Proceso replica encolado</t>
  </si>
  <si>
    <t>sistema de monitoreo muestra proceso de réplica encolado por lo que se realiza reinicio del servicio sqlserver para liberar y permitir la finalización del proceso. Se realiza monitoreo preventivo para evitar problemas con la reportabilidad.</t>
  </si>
  <si>
    <t>4/14/2024 12:14 AM</t>
  </si>
  <si>
    <t>4/14/2024 2:36 AM</t>
  </si>
  <si>
    <t>00517233</t>
  </si>
  <si>
    <t>CNRI - OPWeb sin acceso</t>
  </si>
  <si>
    <t>Se realiza revisión al gvos del servidor, el cual se encontraba sin conexión. Se realiza reinicio del servicio, con esto se recupera la conexión con el servidor desde el oas web. Se llama al cliente para que revise y este informa que ya puede acceder al aplicativo.</t>
  </si>
  <si>
    <t>4/14/2024 2:22 AM</t>
  </si>
  <si>
    <t>4/14/2024 3:12 AM</t>
  </si>
  <si>
    <t>00517245</t>
  </si>
  <si>
    <t>Se sumariza sin mayores complicaciones.</t>
  </si>
  <si>
    <t>4/14/2024 7:21 AM</t>
  </si>
  <si>
    <t>4/14/2024 8:54 AM</t>
  </si>
  <si>
    <t>00517249</t>
  </si>
  <si>
    <t>AMCEN - Stocks sin opciones</t>
  </si>
  <si>
    <t>En el ticket de Jira se menciona un error en la vista Configuraciones al módulo watered_road_layer_view. Debería quedar como se puede ver en la imagen del caso (watered_roadS...) al realizar este cambio los stocks despliegan opciones al hacer click derecho.</t>
  </si>
  <si>
    <t>4/14/2024 8:55 AM</t>
  </si>
  <si>
    <t>4/16/2024 3:08 PM</t>
  </si>
  <si>
    <t>00517265</t>
  </si>
  <si>
    <t>CNDMH - Revisión de servidor</t>
  </si>
  <si>
    <t>Se monitorea el servidor y todos los procesos clave para el funcionamiento del sistema encontrando todo ok.</t>
  </si>
  <si>
    <t>4/14/2024 1:06 PM</t>
  </si>
  <si>
    <t>4/14/2024 3:58 PM</t>
  </si>
  <si>
    <t>00517284</t>
  </si>
  <si>
    <t>AMCEN - Sumarización 17/02/2024 08:00:00 al 28/02/2024 08:00:00</t>
  </si>
  <si>
    <t>Procesos de sumarización finalizan sin inconvenientes y se informa al cliente vía correo.</t>
  </si>
  <si>
    <t>4/14/2024 4:01 PM</t>
  </si>
  <si>
    <t>4/14/2024 6:15 PM</t>
  </si>
  <si>
    <t>00517285</t>
  </si>
  <si>
    <t>Monitoreo - CNMS - Servidor abajo</t>
  </si>
  <si>
    <t>No se presentan problemas durante el turno con la conectividad hacía la faena. Los servicios operaron con normalidad durante toda la noche.</t>
  </si>
  <si>
    <t>4/14/2024 4:16 PM</t>
  </si>
  <si>
    <t>4/15/2024 4:02 AM</t>
  </si>
  <si>
    <t>00517332</t>
  </si>
  <si>
    <t>MLCC - Reportabilidad desactualizada</t>
  </si>
  <si>
    <t>Réplica al servidor secundario se encontraba encolada lo que genero problemas con la ejecución de la sumarización. Se ejecuta manualmente las réplicas por un par de vueltas para permitir normalizar la ejecución del proceso. Luego de eso se deja todo trabajando a través de cron el cual se ejecuta con normalidad. Se estará monitoreando para evitar nuevamente el problema durante un par de horas más.</t>
  </si>
  <si>
    <t>4/15/2024 3:58 AM</t>
  </si>
  <si>
    <t>4/15/2024 4:37 AM</t>
  </si>
  <si>
    <t>00517397</t>
  </si>
  <si>
    <t>AAM - Reportes desactualizados</t>
  </si>
  <si>
    <t>Se detecta el log del sumarizador que corrió por última vez a las 09 am, se revisa en el crontab y estaba descomentada una línea que no correspondía a la sumarización del turno mas bien solo de algunas tablas. dejando la sumarización por turno se recupera la actualización de reportes hora hora</t>
  </si>
  <si>
    <t>4/15/2024 10:06 AM</t>
  </si>
  <si>
    <t>4/15/2024 11:05 AM</t>
  </si>
  <si>
    <t>00517411</t>
  </si>
  <si>
    <t>CNN - Conciliación Mina / Mantenimiento - Resumarización jigsaw - Semana 15</t>
  </si>
  <si>
    <t>4/15/2024 12:26 PM</t>
  </si>
  <si>
    <t>4/15/2024 4:29 PM</t>
  </si>
  <si>
    <t>00517414</t>
  </si>
  <si>
    <t>CNDMH - Camión sin sistema</t>
  </si>
  <si>
    <t>Se revisa el equipo y se detecta con problemas en su antena gps, se reinicia remotamente el equipo pero no vuelve a levantar por lo que se recomienda revisión en terreno.</t>
  </si>
  <si>
    <t>4/15/2024 12:53 PM</t>
  </si>
  <si>
    <t>4/15/2024 2:01 PM</t>
  </si>
  <si>
    <t>00517440</t>
  </si>
  <si>
    <t>AAM - Cargador Frontal con problemas</t>
  </si>
  <si>
    <t>Se detecta que la dirección del equipo está incorrecta, se corrige directo en el equipo y se vuelve a generar el archivo setup para que no tengan problemas en caso de reinstalar equipo en el futuro.</t>
  </si>
  <si>
    <t>4/15/2024 4:15 PM</t>
  </si>
  <si>
    <t>4/16/2024 12:36 PM</t>
  </si>
  <si>
    <t>00517453</t>
  </si>
  <si>
    <t>AMCEN - Problema señal GPS perfo 3</t>
  </si>
  <si>
    <t>Revisión de GPS muestran funcionamiento normal de ambas antenas (calidad 4) y cobertura de red no presenta problemas, se envía correo al cliente informando el estado de los equipos.</t>
  </si>
  <si>
    <t>4/15/2024 8:17 PM</t>
  </si>
  <si>
    <t>4/16/2024 1:15 AM</t>
  </si>
  <si>
    <t>00517455</t>
  </si>
  <si>
    <t>4/15/2024 8:40 PM</t>
  </si>
  <si>
    <t>00517456</t>
  </si>
  <si>
    <t>00517478</t>
  </si>
  <si>
    <t>CNRI - Sin acceso a OPWeb</t>
  </si>
  <si>
    <t>Se revisa estado del aplicativo OPWeb y este no presenta problemas de acceso . Por lo que comenta el usuario el problema es debido a las restricciones de red que existen en la faena</t>
  </si>
  <si>
    <t>4/16/2024 1:11 AM</t>
  </si>
  <si>
    <t>4/16/2024 3:25 AM</t>
  </si>
  <si>
    <t>Ariel  Carvajal</t>
  </si>
  <si>
    <t>00517480</t>
  </si>
  <si>
    <t>AMCEN - Señal GPS CF233</t>
  </si>
  <si>
    <t>Se procedió a la revisión del equipo cf233 el cual no arrojaban problemas en su calidad de GPS. De todas formas, se realizó un reinicio del core y pantalla del equipo dado que se apreciaba lentitud en las actualizaciones de esta. En estos momentos el equipo se encuentra operando con normalidad. Se envía correo al cliente informando el estado del equipo.</t>
  </si>
  <si>
    <t>4/16/2024 1:29 AM</t>
  </si>
  <si>
    <t>4/16/2024 3:27 AM</t>
  </si>
  <si>
    <t>00517508</t>
  </si>
  <si>
    <t>AAM - Actualizar versión en dispositivo TOCA006</t>
  </si>
  <si>
    <t>Se actualiza la versión en vista Devices y se elimina la base de datos interna y temporal para que al levantar nuevamente se generen con la nueva versión.</t>
  </si>
  <si>
    <t>4/16/2024 6:43 AM</t>
  </si>
  <si>
    <t>4/16/2024 12:27 PM</t>
  </si>
  <si>
    <t>00517579</t>
  </si>
  <si>
    <t>AAM - Actualización de archivo Setup</t>
  </si>
  <si>
    <t>Se realiza la actualización del archivo setup con los nuevos equipos que informó el cliente. Se envía correo para dar aviso y pedir revisión del nuevo archivo.</t>
  </si>
  <si>
    <t>4/16/2024 4:28 PM</t>
  </si>
  <si>
    <t>00517606</t>
  </si>
  <si>
    <t>CNDMH - Problemas con perforadora 106</t>
  </si>
  <si>
    <t>Equipo no tiene configurado los segmentos geométricos. Se solicitará a personal de terreno realizar las configuraciones pertinentes.</t>
  </si>
  <si>
    <t>4/16/2024 9:41 PM</t>
  </si>
  <si>
    <t>00517623</t>
  </si>
  <si>
    <t>AMCEN - Reporte verificación poligono y tronadas</t>
  </si>
  <si>
    <t>se realiza una sumarizacion para que tome la corrección de los viajes , ahora solo resta verificar los destinos que estén bien asignados a la categoría de locación correspondiente , pero va por parte de centinela.</t>
  </si>
  <si>
    <t>4/17/2024 1:03 AM</t>
  </si>
  <si>
    <t>4/17/2024 3:12 PM</t>
  </si>
  <si>
    <t>00517735</t>
  </si>
  <si>
    <t>AMZAL - Pala N°2 no ve lo que carga</t>
  </si>
  <si>
    <t>Se revisa el equipo, el cual tenia correctamente asignado el material con el cual estaba trabajando, y este aparecía en la pantalla, ademas de que los camiones cargados, también se les asignaba correctamente el material, se le indica a Alexis quien comenta que también ve todo bien y quedan de hablar con el operador para que les explique bien a que se refiere, posterior a esto , no hay mas llamados asumiendo que fue una confusión del operador.</t>
  </si>
  <si>
    <t>4/17/2024 9:03 PM</t>
  </si>
  <si>
    <t>4/17/2024 9:52 PM</t>
  </si>
  <si>
    <t>00517752</t>
  </si>
  <si>
    <t>AMCEN - CF233 sin gps</t>
  </si>
  <si>
    <t>4/18/2024 00:57 AM</t>
  </si>
  <si>
    <t>4/18/2024 01:32 AM</t>
  </si>
  <si>
    <t>00517753</t>
  </si>
  <si>
    <t>Monitoreo - AMCEN - Sumarizador encolado</t>
  </si>
  <si>
    <t>Se eliminan los procesos de sumarizacion sin terminar en 2 ocasiones.</t>
  </si>
  <si>
    <t>4/18/2024 01:50 AM</t>
  </si>
  <si>
    <t>4/18/2024 03:25 AM</t>
  </si>
  <si>
    <t>00517772</t>
  </si>
  <si>
    <t>Se revisa el servidor, encontrando los procesos sql detenidos, se inician nuevamente, pero aun así la reportabilidad no vuelve, se tiene que reiniciar el servidor, y a los pocos minutos tenemos acceso nuevamente al Jview.</t>
  </si>
  <si>
    <t>4/18/2024 06:34 AM</t>
  </si>
  <si>
    <t>4/18/2024 07:10 AM</t>
  </si>
  <si>
    <t>00517787</t>
  </si>
  <si>
    <t>AMCEN-Actualización de firmware GPS PA11</t>
  </si>
  <si>
    <t>se actualiza el firmware del equipo de carguio PA11</t>
  </si>
  <si>
    <t>4/18/2024 08:34 AM</t>
  </si>
  <si>
    <t>4/18/2024 09:34 AM</t>
  </si>
  <si>
    <t>Loreta Herrera</t>
  </si>
  <si>
    <t>00517809</t>
  </si>
  <si>
    <t>AMANT-Reportabilidad detenida desde las 8 AM</t>
  </si>
  <si>
    <t>Se arregla el problema creando nuevamente la BD del reportingService y las nuevas configuraciones, se espera la respuesta del cliente</t>
  </si>
  <si>
    <t>4/18/2024 10:15 AM</t>
  </si>
  <si>
    <t>4/18/2024 07:40 PM</t>
  </si>
  <si>
    <t>00517840</t>
  </si>
  <si>
    <t>CRSTEN-LLama Jhonatan que el sistema mineops estaba demasiado lento.</t>
  </si>
  <si>
    <t>se revisa el servidor y no encontrando nada inusual , excepto el uso de la memoria ram un poco alta , asi que se baja un poco y se vuelve a llamar a Jhonatan el cual dice que se normalizo.</t>
  </si>
  <si>
    <t>4/18/2024 03:43 PM</t>
  </si>
  <si>
    <t>4/18/2024 04:43 PM</t>
  </si>
  <si>
    <t>Jonathan Teniente</t>
  </si>
  <si>
    <t>00517865</t>
  </si>
  <si>
    <t>CAPCNN-Cristopher vergara informa que PE02 y PE04 no registro el pozo</t>
  </si>
  <si>
    <t xml:space="preserve">
Se realiza la reinstalación de la imagen del SO lo que permite recuperar la funcionalidad de los equipos reportados con problemas.</t>
  </si>
  <si>
    <t>4/18/2024 07:20 PM</t>
  </si>
  <si>
    <t>4/26/2024 2:37 PM</t>
  </si>
  <si>
    <t>00517867</t>
  </si>
  <si>
    <t>Loreta Herrera indica Favor tu apoyo para que equipo de Hexagon nos pueda informar que usuario realizo los cambios descritos en correo enviado por Yerko el día 15-04. Donde además necesitamos saber cual era el código original</t>
  </si>
  <si>
    <t>se realiza la solicitud de loreta y se envía la informacion por correo.</t>
  </si>
  <si>
    <t>4/18/2024 02:43 PM</t>
  </si>
  <si>
    <t>00517881</t>
  </si>
  <si>
    <t>Se eliminan los procesos de sumarizacion sin terminar.</t>
  </si>
  <si>
    <t>4/18/2024 08:43 PM</t>
  </si>
  <si>
    <t>4/18/2024 09:52 PM</t>
  </si>
  <si>
    <t>00517885</t>
  </si>
  <si>
    <t>AMCEN - Acceso a la información de los cubos del 18-04TB</t>
  </si>
  <si>
    <t>Gracias al monitoreo ya se sabia que las sumarizaciones se estaban encolando, por lo que se detienen todas y se realiza una sumarizacion manual.</t>
  </si>
  <si>
    <t>4/18/2024 10:54 PM</t>
  </si>
  <si>
    <t>4/18/2024 11:52 PM</t>
  </si>
  <si>
    <t>00517886</t>
  </si>
  <si>
    <t>Se eliminan los procesos en múltiples ocasiones, la ultima a las 6:55 AM.</t>
  </si>
  <si>
    <t>4/18/2024 10:38 PM</t>
  </si>
  <si>
    <t>4/19/2024 06:49 AM</t>
  </si>
  <si>
    <t>00517887</t>
  </si>
  <si>
    <t>Se reinician los servicios sql, limpiando los procesos encolados y trabajando de forma normal.</t>
  </si>
  <si>
    <t>4/18/2024 10:58 PM</t>
  </si>
  <si>
    <t>00517888</t>
  </si>
  <si>
    <t>AMZAL - JView Reporte Distancia Equivalente</t>
  </si>
  <si>
    <t>00517900</t>
  </si>
  <si>
    <t>Se reinician los servicios sql de ambos servidores, limpiando así los procesos encolando y evitando que se sigan acumulando.</t>
  </si>
  <si>
    <t>4/18/2024 11:21 PM</t>
  </si>
  <si>
    <t>4/18/2024 11:54 PM</t>
  </si>
  <si>
    <t>00517901</t>
  </si>
  <si>
    <t>CNCHUQ - Destino no aparece en el PLRutas</t>
  </si>
  <si>
    <t>Se revisan las rutas que conectaban dichos destinos, las cuales tenían elevaciones de mas de 300, se le indica a Alejandro que seguramente cuando las están creando, no le están poniendo altura de inicio o fin, se le indica que deben corregir esos datos o el sistema nunca enviara vehículos a ese sector.</t>
  </si>
  <si>
    <t>4/18/2024 00:20 AM</t>
  </si>
  <si>
    <t>4/18/2024 01:45 AM</t>
  </si>
  <si>
    <t>Se reinician los servicios sql server en el servidor logrando así recuperar la reportabilidad actualizada.</t>
  </si>
  <si>
    <t>4/26/2024 11:08 PM</t>
  </si>
  <si>
    <t>4/27/2024 1:00 AM</t>
  </si>
  <si>
    <t>00517902</t>
  </si>
  <si>
    <t>AMZAL - Perforadora 15 muestra su simbolo de red en gris</t>
  </si>
  <si>
    <t>Se revisa el equipo el cual esta bien configurado, tiene buena señal y esta trabajando de forma normal, pero el símbolo de la red aparece con una exclamación, la única diferencia que se ve es que el cargador no tiene asignado un operador, se le india a Alexis lo encontrado y se le solicita que le agreguen al operador para descartar</t>
  </si>
  <si>
    <t>4/19/2024 01:33 AM</t>
  </si>
  <si>
    <t>00517941</t>
  </si>
  <si>
    <t>CNRI-Gonzalo Nuñez solicita apoyo para revisar el CAEX 114 y 115 por problemas de OAS,los cuales marcaban reiteradas alarmas.</t>
  </si>
  <si>
    <t>Equipos se encuentran marcando de buena forma, se reinician preventivamente , luego se deja de tener llamados por el problema</t>
  </si>
  <si>
    <t>4/19/2024 09:43 AM</t>
  </si>
  <si>
    <t>4/19/2024 10:43 AM</t>
  </si>
  <si>
    <t>00517952</t>
  </si>
  <si>
    <t>CNRT-Claudio Quiroz solicita apoyo ya que la vista de JLRutas no esta funcionando como deberia.</t>
  </si>
  <si>
    <t>existía un equipo CF-28 que fue creado recientemente , pero falto agregarle estados y algunos valores para que funcione el JLrutas, se agrega los datos faltantes y funciona de buena manera.</t>
  </si>
  <si>
    <t>4/19/2024 11:20 AM</t>
  </si>
  <si>
    <t>4/19/2024 11:48 AM</t>
  </si>
  <si>
    <t>00517994</t>
  </si>
  <si>
    <t>AMCEN - Problemas reportabilidad de los rendimientos.</t>
  </si>
  <si>
    <t>Se revisa el informe el cual tiene un descuadre cuando la hora aun no se ha cerrado, pasada la hora, este se cuadra normalmente, se asocia el problema con el sumarizador debido al cambio de hora , este esta por crontab y por servicio, queda bajo observación .</t>
  </si>
  <si>
    <t>4/19/2024 10:05 PM</t>
  </si>
  <si>
    <t>4/19/2024 11:45 PM</t>
  </si>
  <si>
    <t>00517996</t>
  </si>
  <si>
    <t>Monitoreo - CNDMH - Disco C ME con poco espacio</t>
  </si>
  <si>
    <t>Se realiza respaldo de la tabla Position de la bd de MiiNTPPositioning para luego realizar liberación de espacio en el disco C. Actualmente el espacio libre en el disco del servidor es de 76%</t>
  </si>
  <si>
    <t>4/19/2024 10:08 PM</t>
  </si>
  <si>
    <t>4/26/2024 3:24 PM</t>
  </si>
  <si>
    <t>00517998</t>
  </si>
  <si>
    <t>AMCEN - Solicitud de Revisar pantalla PA1</t>
  </si>
  <si>
    <t>Se monitorea el equipo el cual estaba trabajando correctamente, aparecían los camiones cargados y el tonelaje que lleva.</t>
  </si>
  <si>
    <t>4/19/2024 10:52 PM</t>
  </si>
  <si>
    <t>4/19/2024 11:30 PM</t>
  </si>
  <si>
    <t>00518013</t>
  </si>
  <si>
    <t>Monitoreo - AMANT - procesos sql encolados</t>
  </si>
  <si>
    <t>Se reinician los servicios sql del servidor espejo liberando así las consultas encoladas.</t>
  </si>
  <si>
    <t>4/20/2024 07:10 AM</t>
  </si>
  <si>
    <t>4/20/2024 07:45 AM</t>
  </si>
  <si>
    <t>00518035</t>
  </si>
  <si>
    <t>AMCEN - Solicitud de revision señal Satelital de PE4</t>
  </si>
  <si>
    <t>Se revisa el equipo el cual esta trabajando correctamente, se monitorea y el GPS se mantiene bien.</t>
  </si>
  <si>
    <t>4/20/2024 21:19 PM</t>
  </si>
  <si>
    <t>4/20/2024 21:54 PM</t>
  </si>
  <si>
    <t>00518038</t>
  </si>
  <si>
    <t>AMANT - Perforadora D02 sin GPs</t>
  </si>
  <si>
    <t>Se revisa el equipo el cual esta trabajando correctamente, no se detecta alteración en el GPS.</t>
  </si>
  <si>
    <t>4/20/2024 23:12 PM</t>
  </si>
  <si>
    <t>4/20/2024 23:23 PM</t>
  </si>
  <si>
    <t>00518041</t>
  </si>
  <si>
    <t>Se revisa nuevamente el informe y se le consulta a Alberto si es que tiene algún antecedente de este informe.</t>
  </si>
  <si>
    <t>4/20/2024 23:24 PM</t>
  </si>
  <si>
    <t>00518043</t>
  </si>
  <si>
    <t>AMCEN - Solicitud de revision señal Satelital de PA7</t>
  </si>
  <si>
    <t>Se revisa el equipo, se reinicia y ahora su GPS trabaja de forma normal.</t>
  </si>
  <si>
    <t>4/21/2024 02:05 AM</t>
  </si>
  <si>
    <t>4/21/2024 02:53 AM</t>
  </si>
  <si>
    <t>00518047</t>
  </si>
  <si>
    <t>CNCHUQ - Perfo 317 no levanta el JAMS</t>
  </si>
  <si>
    <t>Se revisa el equipo el cual no había terminado su ultimo pozo, se lo finalizo y se saca al operador actual del vehículo, Alejandro reinicia la perforadora y ya levanta el JAMS de forma normal.</t>
  </si>
  <si>
    <t>4/21/2024 03:45 AM</t>
  </si>
  <si>
    <t>4/21/2024 04:19 AM</t>
  </si>
  <si>
    <t>00518050</t>
  </si>
  <si>
    <t>4/21/2024 05:23 AM</t>
  </si>
  <si>
    <t>4/21/2024 05:57 AM</t>
  </si>
  <si>
    <t>00518051</t>
  </si>
  <si>
    <t>AMCEN - Solicitud de revision CF234</t>
  </si>
  <si>
    <t>Se entra a revisar el equipo y se esperan un buen tiempo ,pero el cargador frontal, no ha cargado ningún camión desde las 21:09.
Se cierra el ticket porque ningun camion fue a cargar al CF234.</t>
  </si>
  <si>
    <t>4/21/2024 07:36 AM</t>
  </si>
  <si>
    <t>00518063</t>
  </si>
  <si>
    <t>AMCEN-Alisson Arriagada solicita apoyo por problemas en un camion con implementancion MineSense.</t>
  </si>
  <si>
    <t>el aviso decía que no existía polígono MineSense para el grade , se solicita a despacho que vuelvan a subir los polígonos con la nomenclatura que corresponde.</t>
  </si>
  <si>
    <t>4/21/2024 11:20 AM</t>
  </si>
  <si>
    <t>4/21/2024 13:20 AM</t>
  </si>
  <si>
    <t>00518066</t>
  </si>
  <si>
    <t>CNDMH-Francisco Castillo solicita apoyo por P601 ya que el vnc en despacho se cierra inmediatamente</t>
  </si>
  <si>
    <t>el equipo se encontraba demasiado encajonado por lo que su calidad de señal era deficiente , de igual forma se actualiza el JAMSRouter , el equipo se mueve y retoma conexión de mayor calidad.</t>
  </si>
  <si>
    <t>4/21/2024 14:20 AM</t>
  </si>
  <si>
    <t>4/21/2024 15:20 AM</t>
  </si>
  <si>
    <t xml:space="preserve">Francisco Castillo </t>
  </si>
  <si>
    <t>00518263</t>
  </si>
  <si>
    <t>Se monitorea el equipo, el cual esta trabajando correctamente, tiene buena señal y en pantalla indica los datos del equipo que esta cargando, cuantas toneladas lleva y los equipos que cargo con anterioridad.</t>
  </si>
  <si>
    <t>4/22/2024 20:54 PM</t>
  </si>
  <si>
    <t>4/22/2024 21:31 PM</t>
  </si>
  <si>
    <t>00518266</t>
  </si>
  <si>
    <t>Mantoverde - Revisión de configuración de red ultimo Setup</t>
  </si>
  <si>
    <t>Se crean los archivos y se realizaran pruebas durante el dia</t>
  </si>
  <si>
    <t>4/22/2024 21:05 PM</t>
  </si>
  <si>
    <t>00518267</t>
  </si>
  <si>
    <t>Mantoverde - Setup para compatibilidad con SmarScreen</t>
  </si>
  <si>
    <t>4/22/2024 21:07 PM</t>
  </si>
  <si>
    <t>00518281</t>
  </si>
  <si>
    <t>Se eliminan los procesos encolados y se monitorea que no se sigan encolando.</t>
  </si>
  <si>
    <t>4/22/2024 21:12 PM</t>
  </si>
  <si>
    <t>4/22/2024 22:36 PM</t>
  </si>
  <si>
    <t>00518287</t>
  </si>
  <si>
    <t>AMCEN - Solicitud de revision C134</t>
  </si>
  <si>
    <t>Se trata de revisar el equipo, pero no se tiene conexión, se le indica a Juan que deben reiniciar el equipo en terreno.</t>
  </si>
  <si>
    <t>4/22/2024 23:36 PM</t>
  </si>
  <si>
    <t>4/23/2024 00:20 AM</t>
  </si>
  <si>
    <t>00518431</t>
  </si>
  <si>
    <t>MLCC - Consulta equipos viajando vacio</t>
  </si>
  <si>
    <t>Se le envía a Daniel un ejemplo de la tabla que esta consultando, con la explicación de su duda.</t>
  </si>
  <si>
    <t>4/23/2024 19:05 PM</t>
  </si>
  <si>
    <t>4/23/2024 19:36 PM</t>
  </si>
  <si>
    <t>00518444</t>
  </si>
  <si>
    <t>CNRT - Perforadoras nuevas sin codigos de demora</t>
  </si>
  <si>
    <t>Se le agregan los códigos faltantes por el modelo de los equipos y se le indica a Javier que deberá confirmar porque la Perforadora estaba siendo utilizada y no podía acceder a los códigos de demora, ademas de que se le dan indicaciones de que hacer en caso que no se vean reflejados de inmediato.</t>
  </si>
  <si>
    <t>4/23/2024 22:06 PM</t>
  </si>
  <si>
    <t>4/24/2024 00:40 AM</t>
  </si>
  <si>
    <t>00518447</t>
  </si>
  <si>
    <t>AMCEN - Consulta tormentas solares</t>
  </si>
  <si>
    <t>Se revisan los equipos de alta, los cuales están trabajando correctamente con sus GPS en buen estado , ademas de revisar la pagina del NOA, donde indica que no habrá afectación por las tormentas solares.</t>
  </si>
  <si>
    <t>4/23/2024 22:19 PM</t>
  </si>
  <si>
    <t>4/23/2024 22:24 PM</t>
  </si>
  <si>
    <t>Escarlet Tica</t>
  </si>
  <si>
    <t>00518448</t>
  </si>
  <si>
    <t>Entramos al servidor y tenemos acceso correcto a Jview e información actualizada, se llama a Cesar para solicitar que cargue nuevamente la pagina, a lo que nos cuenta que ahí si le cargo correctamente, se le indica que seguramente tenia mucho tiempo su sesión iniciada y esta se cerro, actualizo correctamente sus planillas de Power BI y se confirma que todo esta OK.</t>
  </si>
  <si>
    <t>4/23/2024 22:18 PM</t>
  </si>
  <si>
    <t>4/23/2024 22:20 PM</t>
  </si>
  <si>
    <t>Cesar Despacho</t>
  </si>
  <si>
    <t>00518455</t>
  </si>
  <si>
    <t>4/23/2024 22:40 PM</t>
  </si>
  <si>
    <t>00518461</t>
  </si>
  <si>
    <t>AMCEN - Solicitud de revision CF234 y PE06</t>
  </si>
  <si>
    <t>Se revisan los equipos de alta y mas de la mitad estan con GPS en floating, por lo que se le indica a Juan que hay problemas con las tormentas solares.</t>
  </si>
  <si>
    <t>4/24/2024 00:33 AM</t>
  </si>
  <si>
    <t>4/24/2024 00:52 AM</t>
  </si>
  <si>
    <t>00518509</t>
  </si>
  <si>
    <t>AMCEN - Señal GPS CF232</t>
  </si>
  <si>
    <t>Equipo no muestra problemas de señal de GPS las cuales están con calidad 4. Se informa al cliente lo realizado y el estado del equipo.</t>
  </si>
  <si>
    <t>4/24/2024 6:11 AM</t>
  </si>
  <si>
    <t>4/26/2024 3:23 PM</t>
  </si>
  <si>
    <t>00518538</t>
  </si>
  <si>
    <t>AMCEN - Desfase de tiempo detectado en data Jview/Minesense. (Turno A 23-04-25)</t>
  </si>
  <si>
    <t>Se realiza revisión de la query del reporte en sql y postgres y no existen problemas con la data. Se corrigen las variables de entorno para regularizar los tiempos de los reportes los cuales estaban mostrando información adelantada en comparación con las bases de datos, quedando todo alineado. Se envía correo al cliente para solicitar su revisión.</t>
  </si>
  <si>
    <t>4/24/2024 9:09 AM</t>
  </si>
  <si>
    <t>4/26/2024 3:21 PM</t>
  </si>
  <si>
    <t>00518539</t>
  </si>
  <si>
    <t>AMCEN - Informe Ejecutivo Centinela Preliminar 1</t>
  </si>
  <si>
    <t xml:space="preserve">
Reportes son revisados por ingeniero residente Víctor Rojas.</t>
  </si>
  <si>
    <t>4/24/2024 9:10 AM</t>
  </si>
  <si>
    <t>4/26/2024 3:40 PM</t>
  </si>
  <si>
    <t>00518559</t>
  </si>
  <si>
    <t>AAM - Problemas de asignación en Cargador 15</t>
  </si>
  <si>
    <t>Equipo fue eliminado, se da por cerrado el requerimiento.</t>
  </si>
  <si>
    <t>4/24/2024 12:49 PM</t>
  </si>
  <si>
    <t>4/26/2024 2:25 PM</t>
  </si>
  <si>
    <t>00518569</t>
  </si>
  <si>
    <t>AMCEN - Solicitud cuenta Jview</t>
  </si>
  <si>
    <t>Se realiza la creación de cuenta en app jview. Se envían las credenciales vía correo.</t>
  </si>
  <si>
    <t>4/24/2024 2:04 PM</t>
  </si>
  <si>
    <t>4/26/2024 3:20 PM</t>
  </si>
  <si>
    <t>00518590</t>
  </si>
  <si>
    <t>Durante revisión se visualiza servicio del agente sql server detenido, por lo que se realiza activación de este para permitir que proceso de réplica se ejecute y finalice. Actualmente proceso se encuentra operando con normalidad.</t>
  </si>
  <si>
    <t>4/24/2024 4:18 PM</t>
  </si>
  <si>
    <t>4/26/2024 2:53 PM</t>
  </si>
  <si>
    <t>00518595</t>
  </si>
  <si>
    <t>AAM - Sin acceso al aplicativo</t>
  </si>
  <si>
    <t>Se reinicia el servicio JAMSRouter recuperando así el correcto funcionamiento del servidor y la conexión con equipos de campo.</t>
  </si>
  <si>
    <t>4/24/2024 5:32 PM</t>
  </si>
  <si>
    <t>4/26/2024 2:52 PM</t>
  </si>
  <si>
    <t>00518602</t>
  </si>
  <si>
    <t>CNDMH - Problemas con sistema</t>
  </si>
  <si>
    <t>Se deja informado a equipo de redes (Victor Pimentel) y a administrador de contrato con DMH (Juan Pineda) y se informa al cliente que remotamente equipo de soporte no puede tomar manos en el asunto más que informarlo como fue realizado.</t>
  </si>
  <si>
    <t>4/24/2024 8:24 PM</t>
  </si>
  <si>
    <t>Alan Maluenda</t>
  </si>
  <si>
    <t>00518604</t>
  </si>
  <si>
    <t>AMCEN - CAEX 16 pegado en sistema</t>
  </si>
  <si>
    <t>Se realiza un reinicio remoto del equipo recuperando su correcto funcionamiento de sensores gps</t>
  </si>
  <si>
    <t>4/24/2024 9:34 PM</t>
  </si>
  <si>
    <t>4/24/2024 9:47 PM</t>
  </si>
  <si>
    <t>00518608</t>
  </si>
  <si>
    <t>AMCEN - Caex no conversa niveles de combustible</t>
  </si>
  <si>
    <t>como se puede observar en primera instancia, efectivamente marcaba 14%, se le realiza un reinicio de la base de datos interna y del equipo y tomó un valor real de combustible 75%.</t>
  </si>
  <si>
    <t>4/24/2024 9:48 PM</t>
  </si>
  <si>
    <t>4/25/2024 12:03 AM</t>
  </si>
  <si>
    <t>00518612</t>
  </si>
  <si>
    <t>Se revisa el equipo, el cual en el momento de ser informado se encuentra sin comunicación. Al retomar levanta sin problemas.</t>
  </si>
  <si>
    <t>4/25/2024 12:04 AM</t>
  </si>
  <si>
    <t>4/25/2024 3:48 AM</t>
  </si>
  <si>
    <t>00518615</t>
  </si>
  <si>
    <t>AMCEN - Caex con problemas de sistema</t>
  </si>
  <si>
    <t>Se revisa el equipo y se encuentra operando sin problemas.</t>
  </si>
  <si>
    <t>4/25/2024 1:00 AM</t>
  </si>
  <si>
    <t>4/25/2024 3:49 AM</t>
  </si>
  <si>
    <t>00518617</t>
  </si>
  <si>
    <t>AMCEN - Caex sin sistema</t>
  </si>
  <si>
    <t>Equipo se encontraba sin comuncación. Al recuperarse se monitorea y se determina que está operando con normalidad.</t>
  </si>
  <si>
    <t>4/25/2024 1:23 AM</t>
  </si>
  <si>
    <t>4/25/2024 3:50 AM</t>
  </si>
  <si>
    <t>00518622</t>
  </si>
  <si>
    <t>AMCEN - Niveles de combustible incorrecto en camión</t>
  </si>
  <si>
    <t>Se deriva a personal de terreno para revisión.</t>
  </si>
  <si>
    <t>4/25/2024 3:51 AM</t>
  </si>
  <si>
    <t>4/25/2024 5:01 AM</t>
  </si>
  <si>
    <t>00518635</t>
  </si>
  <si>
    <t>MLCC - Pala 201 tiene su pantalla apagada</t>
  </si>
  <si>
    <t>El problema reportado era por pantalla del sistema CAS y no FMS. Se solicita ayuda a especialista CAS para atender el requerimiento</t>
  </si>
  <si>
    <t>4/25/2024 6:56 AM</t>
  </si>
  <si>
    <t>4/26/2024 2:51 PM</t>
  </si>
  <si>
    <t>Pablo Jaime</t>
  </si>
  <si>
    <t>00518645</t>
  </si>
  <si>
    <t>Mantoverde - Actualizar Setup</t>
  </si>
  <si>
    <t>Se realiza la actualización del setup, se envía correo al cliente informando lo realizado.</t>
  </si>
  <si>
    <t>4/25/2024 7:59 AM</t>
  </si>
  <si>
    <t>00518662</t>
  </si>
  <si>
    <t>Monitoreo - AAM - Respaldo disco C servidor BD</t>
  </si>
  <si>
    <t>Se realiza liberación de espacio en el disco H del servidor de BD.</t>
  </si>
  <si>
    <t>4/25/2024 9:32 AM</t>
  </si>
  <si>
    <t>4/26/2024 2:49 PM</t>
  </si>
  <si>
    <t>00518728</t>
  </si>
  <si>
    <t>CNRT - Carga de Poligonos Hazard</t>
  </si>
  <si>
    <t>Se realiza la carga de los archivos ejecutando el importador de forma manual, luego de eso se revisa los importadores encontrando que el importador de los hazard se encontraba comentado en el crontab, por lo que se deja nuevamente activado para permitir la carga de manera automática de los archivos.</t>
  </si>
  <si>
    <t>4/25/2024 4:16 PM</t>
  </si>
  <si>
    <t>4/26/2024 2:46 PM</t>
  </si>
  <si>
    <t>00518746</t>
  </si>
  <si>
    <t>AMCEN - Camión con pantalla inestable</t>
  </si>
  <si>
    <t>Se realiza un reinicio remoto del equipo y se mantiene monitoreo donde se puede observar un comportamiento normal, sin embargo a ratos se pierden paquetes de comunicación, lo cual debe ser lo que genera interferencias para el funcionamiento constante de la pantalla.</t>
  </si>
  <si>
    <t>4/25/2024 8:52 PM</t>
  </si>
  <si>
    <t>4/25/2024 9:34 PM</t>
  </si>
  <si>
    <t>00518747</t>
  </si>
  <si>
    <t>Se monitorea el equipo y se encuentra operando en perfectas condiciones.</t>
  </si>
  <si>
    <t>4/25/2024 8:54 PM</t>
  </si>
  <si>
    <t>4/25/2024 9:35 PM</t>
  </si>
  <si>
    <t>00518748</t>
  </si>
  <si>
    <t>AMCEN - Caex 40 no muestra correctamente nivel de combustible</t>
  </si>
  <si>
    <t>Se revisan los logs del JAMS del equipo encontrando un error, por lo que se elimina la base de datos interna y temporal para luego levantar nuevamente el equipo de manera limpia. Logrando de esta manera la correcta actualización del combustible</t>
  </si>
  <si>
    <t>4/25/2024 8:56 PM</t>
  </si>
  <si>
    <t>4/26/2024 4:17 AM</t>
  </si>
  <si>
    <t>00518765</t>
  </si>
  <si>
    <t>AMCEN - Caex 42 con problemas de sistema</t>
  </si>
  <si>
    <t>Se revisa el equipo y se encuentra impecable.</t>
  </si>
  <si>
    <t>4/26/2024 2:38 AM</t>
  </si>
  <si>
    <t>4/26/2024 4:15 AM</t>
  </si>
  <si>
    <t>00518787</t>
  </si>
  <si>
    <t>servidor no presenta problemas en procesos ni servicios, sistema de monitoreo y revisión del servidor muestra todo corriendo normal.</t>
  </si>
  <si>
    <t>4/26/2024 5:31 AM</t>
  </si>
  <si>
    <t>4/26/2024 2:45 PM</t>
  </si>
  <si>
    <t>00518823</t>
  </si>
  <si>
    <t>CNN - Pantallas Perforadora 02 y 05 pegadas.</t>
  </si>
  <si>
    <t>Se revisan los equipos, luego de esto se reiniciaron las base de datos de estos. Se visualiza perdida de paquete en las conexiones, lo cual puede estar provocando que el equipo no se cargue de manera normal. Equipos quedan trabajando de manera normal. Se envía correo señalando la solución y detalles.</t>
  </si>
  <si>
    <t>4/26/2024 7:38 AM</t>
  </si>
  <si>
    <t>00518835</t>
  </si>
  <si>
    <t>CNDMH - Cierres de turno antes de las 08:00 en Jview</t>
  </si>
  <si>
    <t>Se ha revisado el reporte tanto en la fecha indicada como hoy, y no se han encontrado problemas con los cambios de turno. Por favor, proporcione más detalles sobre el problema para poder investigar el error</t>
  </si>
  <si>
    <t>4/26/2024 7:59 AM</t>
  </si>
  <si>
    <t>00518857</t>
  </si>
  <si>
    <t>MLCC - Creación de región en jsmina</t>
  </si>
  <si>
    <t>Se envía correo al cliente dando indicaciones de cómo realizar la creación de una región en mineops.</t>
  </si>
  <si>
    <t>4/26/2024 1:17 PM</t>
  </si>
  <si>
    <t>4/26/2024 2:44 PM</t>
  </si>
  <si>
    <t>00518881</t>
  </si>
  <si>
    <t>Monitoreo - MAGSA - Replica encolada</t>
  </si>
  <si>
    <t>Se realiza reinicio de los servicios del sql en el servidor Jview lo que permite normalizar la ejecución de los procesos. Actualmente proceso de réplica se encuentra ejecutándose con normalidad.</t>
  </si>
  <si>
    <t>4/26/2024 3:58 PM</t>
  </si>
  <si>
    <t>4/26/2024 4:54 PM</t>
  </si>
  <si>
    <t>00518883</t>
  </si>
  <si>
    <t>MLCC - Revisión pala 2</t>
  </si>
  <si>
    <t>Equipo presenta problemas en la antena 1 y no se logra recuperar funcionalidad del hardware, se informa al cliente para que pueda ser revisada en terreno por personal técnico.</t>
  </si>
  <si>
    <t>4/26/2024 4:08 PM</t>
  </si>
  <si>
    <t>4/27/2024 9:04 AM</t>
  </si>
  <si>
    <t>00518886</t>
  </si>
  <si>
    <t>Mantoverde - Cargador frontal tiene cargada versión antigua</t>
  </si>
  <si>
    <t>Se actualiza manualmente a la última versión y que converse con el servidor</t>
  </si>
  <si>
    <t>4/26/2024 4:26 PM</t>
  </si>
  <si>
    <t>Sebastian Gonzales</t>
  </si>
  <si>
    <t>00518914</t>
  </si>
  <si>
    <t>AMCEN - Camiones pegados en sector esperanza sur</t>
  </si>
  <si>
    <t>Se revisan los equipos, primero el C164 encontrándolo impecable por lo que no se realizan acciones, por otro lado, el C54 tiene el gps con diferencias por lo que se reinicia y al levantar está totalmente ok.</t>
  </si>
  <si>
    <t>4/27/2024 3:04 AM</t>
  </si>
  <si>
    <t>4/27/2024 4:29 AM</t>
  </si>
  <si>
    <t>00518927</t>
  </si>
  <si>
    <t>AMCEN - Problemas de cobertura sector PA11 Mineops F03_B2120</t>
  </si>
  <si>
    <t xml:space="preserve">
Equipos caex no presentan problemas en funcionamiento en sus GPS, revisión muestra baja cobertura de red en sector de F=# lo que genera perdida de conexión con los equipos. Se envía detalles de la revisión al cliente.</t>
  </si>
  <si>
    <t>4/27/2024 7:13 AM</t>
  </si>
  <si>
    <t>4/27/2024 2:23 PM</t>
  </si>
  <si>
    <t>00518932</t>
  </si>
  <si>
    <t>Monitoreo - CNMS - Disco C ME con poco espacio</t>
  </si>
  <si>
    <t>Se realiza respaldo de la BD MIINTPositioning para permitir liberar espacio en el disco local C del servdior.</t>
  </si>
  <si>
    <t>4/27/2024 7:48 AM</t>
  </si>
  <si>
    <t>4/27/2024 2:16 PM</t>
  </si>
  <si>
    <t>00518934</t>
  </si>
  <si>
    <t>Servicio del CasApi se encontraba en ejecución por lo que se realiza un reinicio del servicio para actualizar el estado. Servicio corriendo con normalidad.</t>
  </si>
  <si>
    <t>4/27/2024 7:53 AM</t>
  </si>
  <si>
    <t>4/27/2024 9:00 AM</t>
  </si>
  <si>
    <t>00518936</t>
  </si>
  <si>
    <t>Mantoverde - CFKO007 no permite la asignación de poligonos</t>
  </si>
  <si>
    <t>Se realiza actualización de la versión del equipo la cual estaba con la 2.06. Problema con la asignación de polígonos era ocasionada por la mala asignación de proyecto al cargado el cual tenía asignado proyecto 'cargador', se realiza cambio a proyecto pala y con eso se soluciona problema de asignación de polígonos.</t>
  </si>
  <si>
    <t>4/27/2024 10:03 AM</t>
  </si>
  <si>
    <t>4/27/2024 11:50 AM</t>
  </si>
  <si>
    <t>Cesar Tavilo electroram</t>
  </si>
  <si>
    <t>00518952</t>
  </si>
  <si>
    <t>Mantoverde - diferencia en reportabilidad gestion turno</t>
  </si>
  <si>
    <t>Revisión del reporte y de la BD no muestran diferencias según indicaciones del cliente. Se envía correo detallando lo revisado en Jview y en la BD.</t>
  </si>
  <si>
    <t>4/27/2024 1:28 PM</t>
  </si>
  <si>
    <t>4/28/2024 3:45 PM</t>
  </si>
  <si>
    <t>00518976</t>
  </si>
  <si>
    <t>CNCHQ - Conteo de vueltas desde comienzo</t>
  </si>
  <si>
    <t>Se vuelven a revisar las vueltas realizadas por el camión con vista ReproductorGPS encontrando el número real con la hora que le corresponde y se entrega dicha información a José Ramos.</t>
  </si>
  <si>
    <t>4/27/2024 6:23 PM</t>
  </si>
  <si>
    <t>4/27/2024 7:15 PM</t>
  </si>
  <si>
    <t>00519008</t>
  </si>
  <si>
    <t>AMCEN - Caex con problema en cambio de actividades</t>
  </si>
  <si>
    <t>Se intenta monitorear pero la conexión no es estable y se determina que es esa la razón de que no esté realizando correctamente los cambios de estados.</t>
  </si>
  <si>
    <t xml:space="preserve">
4/28/2024 4:07 AM</t>
  </si>
  <si>
    <t>4/28/2024 4:19 AM</t>
  </si>
  <si>
    <t>00519009</t>
  </si>
  <si>
    <t>AMCEN - Camión con problemas en cambio de estado</t>
  </si>
  <si>
    <t>Se detecta que el camión no está reconociendo tonelaje por lo que el cambio automático de estado a cargando no se está realizando. Se informa de esto al cliente para revisar en terreno.</t>
  </si>
  <si>
    <t>4/28/2024 4:09 AM</t>
  </si>
  <si>
    <t>4/28/2024 4:20 AM</t>
  </si>
  <si>
    <t>00519012</t>
  </si>
  <si>
    <t>AMANT - Problemas con el jview</t>
  </si>
  <si>
    <t>Problema encontrado se debía a dato duplicado en la BD lo que generaba problemas en el proceso de sumarización, se procede a la corrección del dato y reinicio del sumarizador para permitir la correcta actualización de la reportabilidad. Se informa vía telefónica al cliente quien confirma el correcto funcionamiento del sistema de reportes.</t>
  </si>
  <si>
    <t>4/28/2024 7:20 AM</t>
  </si>
  <si>
    <t>4/28/2024 9:27 AM</t>
  </si>
  <si>
    <t>00519015</t>
  </si>
  <si>
    <t>Monitoreo - CNTTE - Error con reconciliador</t>
  </si>
  <si>
    <t>Se realiza ajuste en la vista configuraciones para eliminar los excesos de atributos asignados al módulo actions</t>
  </si>
  <si>
    <t>4/28/2024 9:31 AM</t>
  </si>
  <si>
    <t>4/28/2024 3:12 PM</t>
  </si>
  <si>
    <t>00519023</t>
  </si>
  <si>
    <t>AMCEN - Problema pantalla PA1</t>
  </si>
  <si>
    <t>Se realiza revisión remota al equipo y este no presenta problemas de funcionamiento en su pantalla, además de tener señal de GPS y de red en niveles óptimos. Víctor Rojas realiza revisión en terreno no encontrando problemas. Se envía correo al cliente detallando e informando.</t>
  </si>
  <si>
    <t>4/28/2024 10:29 AM</t>
  </si>
  <si>
    <t xml:space="preserve">Scarlett Castillo  </t>
  </si>
  <si>
    <t>00519076</t>
  </si>
  <si>
    <t>Se revisa el equipo y se encuentra con sensores en floating y bad, se procede a eliminar la base de datos interna y reiniciar el sistema, pero esto no resolvió los problemas por lo que se recomienda revisar en terreno por el estado bad de la antena 1</t>
  </si>
  <si>
    <t>4/28/2024 7:55 PM</t>
  </si>
  <si>
    <t>4/28/2024 8:10 PM</t>
  </si>
  <si>
    <t>00519081</t>
  </si>
  <si>
    <t>Se revisan los sensores del equipo y se encuentra con todo en buen estado, al monitorear VNC se puede observar operando con normalidad. Se atribuye problema momentáneo a perdida de comunicación.</t>
  </si>
  <si>
    <t>4/28/2024 8:11 PM</t>
  </si>
  <si>
    <t>4/28/2024 8:33 PM</t>
  </si>
  <si>
    <t>00519084</t>
  </si>
  <si>
    <t>Se reinician los servicios SQL en el servidor normalizando la replica</t>
  </si>
  <si>
    <t>4/28/2024 8:34 PM</t>
  </si>
  <si>
    <t>4/28/2024 9:02 PM</t>
  </si>
  <si>
    <t>00519085</t>
  </si>
  <si>
    <t>AMCEN - Caex con problemas de posicionamiento</t>
  </si>
  <si>
    <t>Se intenta revisar el equipo pero no es posible debido a falta de comunicación, es por esto que se recomienda revisión en terreno.</t>
  </si>
  <si>
    <t>4/28/2024 9:03 PM</t>
  </si>
  <si>
    <t>4/28/2024 10:03 PM</t>
  </si>
  <si>
    <t>00519111</t>
  </si>
  <si>
    <t>AMCEN - Camión sin sistema</t>
  </si>
  <si>
    <t>Se comienza a monitorear el equipo encontrándolo levantando. Se procede a mantener el monitoreo pudiendo observar que está operando con normalidad.</t>
  </si>
  <si>
    <t>4/29/2024 1:41 AM</t>
  </si>
  <si>
    <t>4/29/2024 2:04 AM</t>
  </si>
  <si>
    <t>00519119</t>
  </si>
  <si>
    <t>AMCEN - Caex con problemas en sistema</t>
  </si>
  <si>
    <t>Según se comienza a monitorear el equipo no se encuentra con comunicación, pero la recupera a los pocos minutos por lo que se mantiene en revisión pudiendo observar que opera sin problemas por lo que se deduce que era debido a la comunicación los problemas de sistema.</t>
  </si>
  <si>
    <t>4/29/2024 3:02 AM</t>
  </si>
  <si>
    <t>4/29/2024 4:05 AM</t>
  </si>
  <si>
    <t>00519176</t>
  </si>
  <si>
    <t>AMCEN - Problemas con opción clic derecho</t>
  </si>
  <si>
    <t>Se agregan variables faltantes al módulo fuel_shop_layer_view de la configurations lo que permite visualizar la acción del clic derecho en el jsmina.</t>
  </si>
  <si>
    <t>4/29/2024 11:50 AM</t>
  </si>
  <si>
    <t>4/29/2024 3:50 PM</t>
  </si>
  <si>
    <t>00519179</t>
  </si>
  <si>
    <t>Monitoreo - CNCHQ - Disco C ME con poco espacio</t>
  </si>
  <si>
    <t>Proceso de respaldo finaliza sin inconvenientes y disco local del servidor queda con 61% disponible.</t>
  </si>
  <si>
    <t>4/29/2024 12:33 PM</t>
  </si>
  <si>
    <t>4/30/2024 2:54 PM</t>
  </si>
  <si>
    <t>00519181</t>
  </si>
  <si>
    <t>CNN - Conciliación Mina / Mantenimiento - Resumarización jigsaw - Semana 16</t>
  </si>
  <si>
    <t>Se realiza sumarización del mes de abril según indicaciones del cliente. Se envía correo informando lo realizado.</t>
  </si>
  <si>
    <t>4/29/2024 12:50 PM</t>
  </si>
  <si>
    <t>4/29/2024 1:42 PM</t>
  </si>
  <si>
    <t>00519221</t>
  </si>
  <si>
    <t>Monitoreo - CNDMH - Alto consumo CPU</t>
  </si>
  <si>
    <t>Como segunda noche seguida sin tener mayores problemas en el servidor se da por resuelto el ticket.</t>
  </si>
  <si>
    <t>4/29/2024 3:49 PM</t>
  </si>
  <si>
    <t>00519227</t>
  </si>
  <si>
    <t>Revisando el archivo se logra detectar que faltaba un caracter "%" para la calidad tph160 lo cual generaba el problema al momento de cargar. Se agrega ese caracter en los tres archivos y se suben al sistema sin problema.</t>
  </si>
  <si>
    <t>4/29/2024 4:23 PM</t>
  </si>
  <si>
    <t>4/29/2024 5:48 PM</t>
  </si>
  <si>
    <t>00519242</t>
  </si>
  <si>
    <t>AMCEN - Pala no cambia de estados</t>
  </si>
  <si>
    <t>Se le borra la base de datos interna al equipo y se reinicia, volviendo a levantar se monitorea el cambio de estados y opera correctamente.</t>
  </si>
  <si>
    <t>4/29/2024 6:59 PM</t>
  </si>
  <si>
    <t>4/29/2024 7:36 PM</t>
  </si>
  <si>
    <t>00519250</t>
  </si>
  <si>
    <t>Se reinician los servicios SQL Server y SQL Server Agent en servidor normalizando la replica.</t>
  </si>
  <si>
    <t>4/29/2024 8:08 PM</t>
  </si>
  <si>
    <t>4/29/2024 8:42 PM</t>
  </si>
  <si>
    <t>00519253</t>
  </si>
  <si>
    <t>AMZAL - Problemas de visualización líneas de borde</t>
  </si>
  <si>
    <t>Se actualiza la fecha de creación de los dibujos al día actual y al volver a recargarse las palas reconocen líneas.</t>
  </si>
  <si>
    <t>4/29/2024 8:43 PM</t>
  </si>
  <si>
    <t>4/29/2024 11:47 PM</t>
  </si>
  <si>
    <t>00519277</t>
  </si>
  <si>
    <t>AMCEN - Camión con ubicación incorrecta</t>
  </si>
  <si>
    <t>Se revisa el equipo y al momento de revisión ya estaba mostrando ubicación correcta y operando con normalidad.</t>
  </si>
  <si>
    <t>4/30/2024 4:08 AM</t>
  </si>
  <si>
    <t>00519322</t>
  </si>
  <si>
    <t>MLCC - Revisión pala 202</t>
  </si>
  <si>
    <t>Equipo presenta una alta perdida de paquetes de red lo que genera problemas con la actualización de la pantalla, se llama al técnico para informar quien informa que están en trabajos de movimientos de carros de comunicación para mejorar la cobertura en el sector.</t>
  </si>
  <si>
    <t>4/30/2024 7:56 AM</t>
  </si>
  <si>
    <t>4/30/2024 2:50 PM</t>
  </si>
  <si>
    <t>00519363</t>
  </si>
  <si>
    <t>Mantoverde - Revisar registro de equipo sin estado</t>
  </si>
  <si>
    <t>Se revisan los estados y hay múltiples equipos con la misma situación, pero siempre son palas y cargadores, se revisan las configuraciones y resulta que la opción "default_ready_code" tenia mas de un valor seleccionado, pero este solo debe tener 1, se eliminan los otros y los equipos ya quedan con su estado asignado correctamente.</t>
  </si>
  <si>
    <t>00519371</t>
  </si>
  <si>
    <t>Mantoverde - Carga de imagen de perfo</t>
  </si>
  <si>
    <t>Luego de varios intentos se logra realizar la carga de versión actualizada al equipo quedando operativo y actualizado. Problema principal en trabajo de actualización de versión radicaba en problemas de cobertura de red donde se ubicaba el equipo.</t>
  </si>
  <si>
    <t>4/30/2024 12:14 PM</t>
  </si>
  <si>
    <t>4/30/2024 2:49 PM</t>
  </si>
  <si>
    <t>00519403</t>
  </si>
  <si>
    <t>Monitoreo - AMCEN - proceso sqlserver encolado</t>
  </si>
  <si>
    <t>Agente del servicio sqlserver se encontraba detenido, se realiza reinicio del servicio lo que permite recuperar la correcta ejecución del proceso de replica.</t>
  </si>
  <si>
    <t>4/30/2024 3:21 PM</t>
  </si>
  <si>
    <t>4/30/2024 3:34 PM</t>
  </si>
  <si>
    <t>00519404</t>
  </si>
  <si>
    <t>AMZAL - Egreso y ingreso equipos Planta ( Sólo nivel de Software)</t>
  </si>
  <si>
    <t>4/30/2024 3:25 PM</t>
  </si>
  <si>
    <t>Miguel Zaldivar</t>
  </si>
  <si>
    <t>Se borran los equipos solicitados, y se están creando los nuevos equipos.</t>
  </si>
  <si>
    <t>00519405</t>
  </si>
  <si>
    <t>MLCC - Solicita Baja de Servicios:</t>
  </si>
  <si>
    <t>Personas informadas no cuentas con perfiles en mineops ni Jview. Se envía correo informando lo revisado.</t>
  </si>
  <si>
    <t>4/30/2024 3:48 PM</t>
  </si>
  <si>
    <t>4/30/2024 4:04 PM</t>
  </si>
  <si>
    <t>00519425</t>
  </si>
  <si>
    <t>AMZAL - Equipos de carguío no visualizan todos los dibujos</t>
  </si>
  <si>
    <t>Se actualiza el dibujo y el VNC del equipo lo vuelve a cargar y reconocer. Para el otro equipo de carguío se muestra todo correctamente por lo que se vuelve a contactar con cliente quien comenta que era una confusión de su parte.</t>
  </si>
  <si>
    <t>4/30/2024 5:58 PM</t>
  </si>
  <si>
    <t>4/30/2024 11:23 PM</t>
  </si>
  <si>
    <t>00519427</t>
  </si>
  <si>
    <t>AMZAL - Cargador frontal no visualiza otros elementos en pantalla</t>
  </si>
  <si>
    <t>Se revisa el equipo y se encuentran sensores ok. El VNC está visualizando elementos correctamente luego de arreglar la estabilidad de comunicación.</t>
  </si>
  <si>
    <t>4/30/2024 6:25 PM</t>
  </si>
  <si>
    <t>4/30/2024 7:55 PM</t>
  </si>
  <si>
    <t>Fredie Quispe</t>
  </si>
  <si>
    <t>00519430</t>
  </si>
  <si>
    <t>CNDMH - Perforadora sin reasons</t>
  </si>
  <si>
    <t>Se agrega la nueva flota de la perforadora F106 a los códigos que corresponde para las perforadoras y se valida con cliente funcionamiento ok.</t>
  </si>
  <si>
    <t>4/30/2024 7:00 PM</t>
  </si>
  <si>
    <t>4/30/2024 7:56 PM</t>
  </si>
  <si>
    <t>00519435</t>
  </si>
  <si>
    <t>CNDMH - Agregar todas las flotas de Bull a reason</t>
  </si>
  <si>
    <t>Se agregan las flotas restantes de Tractores (Bull) al código F. Servicio EXCLUIDO OPERACIONAL y se valida con cliente.</t>
  </si>
  <si>
    <t>4/30/2024 7:19 PM</t>
  </si>
  <si>
    <t>4/30/2024 7:57 PM</t>
  </si>
  <si>
    <t>00519436</t>
  </si>
  <si>
    <t>AMCEN - Caex no marca tonelaje</t>
  </si>
  <si>
    <t>Se monitorea el equipo y durante revisión se determina que el sensor de tonelaje no está trabajando correctamente por lo que se recomienda atención en terreno.</t>
  </si>
  <si>
    <t>4/30/2024 7:25 PM</t>
  </si>
  <si>
    <t>4/30/2024 7:59 PM</t>
  </si>
  <si>
    <t>00519457</t>
  </si>
  <si>
    <t>AMCEN - Reportabilidad de palas por hora desactualizada</t>
  </si>
  <si>
    <t>Se detecta en logs del sumarizador que está realizando actualizaciones en marzo por lo que no está pudiendo cubrir el turno actual. Se activa el sumarizador forzado del turno para mantener la actualización por hora.</t>
  </si>
  <si>
    <t>00519472</t>
  </si>
  <si>
    <t>Monitoreo - AMCEN - Sumarizador por cron y servicio</t>
  </si>
  <si>
    <t>Se monitorea que el sumarizador no se encole y termine bien , se seguirá monitoreando un par de días mas antes de cerrar el ticket.</t>
  </si>
  <si>
    <t>00519517</t>
  </si>
  <si>
    <t>MLCC - Eliminar plan mensual mal cargado</t>
  </si>
  <si>
    <t>Se eliminan los planes mal cargados, Daniel carga los correctos y posteriormente se procede a realizar la sumarizacion de el mes de Abril.</t>
  </si>
  <si>
    <t>Daniel godoy</t>
  </si>
  <si>
    <t>00519519</t>
  </si>
  <si>
    <t>AMZAL - Sumarizacion mes abril 01 al 30.</t>
  </si>
  <si>
    <t xml:space="preserve">Sebastian </t>
  </si>
  <si>
    <t>00519542</t>
  </si>
  <si>
    <t>MLCC-Llaman desde la sala de chancado que reporte hora hora no se esta actualizando.</t>
  </si>
  <si>
    <t>la reportabilidad estaba detenida por proceso de sumarizacion corriendo. una vez terminada la reportabilidad vuelve a estar operativa.</t>
  </si>
  <si>
    <t>operador chancado</t>
  </si>
  <si>
    <t>00519544</t>
  </si>
  <si>
    <t>AMCEN-llama Jaime de Coasin informando que una usuario de la carpeta compartida xfer perdió conexión.</t>
  </si>
  <si>
    <t>se informa clave y usuario de la carpeta compartida ademas se realiza pruebas de conexión con la ip que corresponde y son fallidas,como dato se informa que también perdió conexión con otras carpetas compartidas incluso de centinela , por lo que se deriva a personal de redes de centinela.</t>
  </si>
  <si>
    <t>Jaime Coasin</t>
  </si>
  <si>
    <t>00519546</t>
  </si>
  <si>
    <t>CNDMH-Monitoreo informa procesos encolados.</t>
  </si>
  <si>
    <t>se eliminan los procesos encolados en la replica a SQLserver</t>
  </si>
  <si>
    <t>00519572</t>
  </si>
  <si>
    <t>AMCEN-llama Luis Rios solicitando apoyo para C135 que no muestra ubicación real</t>
  </si>
  <si>
    <t>el equipo no tiene conexión , se solicita corte de energía y si el problema persiste se derivara a personal de terreno.</t>
  </si>
  <si>
    <t>00519584</t>
  </si>
  <si>
    <t>CNDMH - Calibracion de perforadora</t>
  </si>
  <si>
    <t>Se le explica a Luis que para terminar de configurar la perforadora, necesitamos el apoyo de los ingenieros de terreno para tomar las mediciones del equipo y ver donde hubo algun error</t>
  </si>
  <si>
    <t>00519616</t>
  </si>
  <si>
    <t>CNCHUQ - Perfo 365 sin VNC</t>
  </si>
  <si>
    <t>Se revisa el equipo el cual no tenia conexion, se monitorea hasta que vuelve y se accede correctamente al VNC, su gps esta trabajando correctamente y tiene buena cobertura</t>
  </si>
  <si>
    <t>00519626</t>
  </si>
  <si>
    <t>CNN - Leyes Acopios mina Mayo 2024</t>
  </si>
  <si>
    <t>Se cargan las leyes segun lo solicitado</t>
  </si>
  <si>
    <t>00519652</t>
  </si>
  <si>
    <t>CNDMH - Pala 202 sin comunicación</t>
  </si>
  <si>
    <t>se revisa el equipo el cual estaba trabajando normalmente, se le devuelve el llamado a Francisco indicando que esta normalizada la situacion</t>
  </si>
  <si>
    <t>Francisco DMH</t>
  </si>
  <si>
    <t>00519662</t>
  </si>
  <si>
    <t>AMZAL - Incongruencia tiempos S04</t>
  </si>
  <si>
    <t>Se revisan los datos, los cuales presentaban una diferencia entre el KPI de jview, mostrando solo 7 horas de trabajo, VS el de mineops, donde aparecían las 12 horas de uso que tuvo el equipo, independiente si trabajo o estuvo en reserva por algún motivo, se hacen sumarizaciones, pero nos da un error haciendo referencia a una ubicación, la cual había sido borrada y es donde trabajo la pala S04 en algún momento, se creo otra ubicación con el mismo nombre, pero asignaron mal el polígono, lo que ocasiono la perdida de las horas faltantes de la pala, se corrige este error, se sumariza y las horas ya aparecen de forma correcta en el informe.</t>
  </si>
  <si>
    <t>00519673</t>
  </si>
  <si>
    <t>CNCHUQ-Miguel Huanchicay informa que ME no esta mostrando equipos en el mapa.</t>
  </si>
  <si>
    <t>el servicio HxgCas Api se encontraba detenido , ademas se fuerza una recompilacion de los job de sharperligth , y se vuelven a mostrar equipos con posicionamiento actualizado.</t>
  </si>
  <si>
    <t>00519676</t>
  </si>
  <si>
    <t>AMZAL-Miguel Caceres solicita eliminar nuevo parche de mensajes en los equipos.</t>
  </si>
  <si>
    <t>se desabilita el parche en los equipos correspondiente.</t>
  </si>
  <si>
    <t>00519682</t>
  </si>
  <si>
    <t>AMCEN-llama Luis Rios solicitando apoyo para C135 y C09 que no muestra ubicación real</t>
  </si>
  <si>
    <t>se reincia C09 solucionando el problema y al momento de revision C135 mostraba ubicacion real.</t>
  </si>
  <si>
    <t>00519695</t>
  </si>
  <si>
    <t>AMCEN-llama Luis Rios solicitando apoyo para C121 ya que no toma asignaciones</t>
  </si>
  <si>
    <t>el equipo presenta problemas con vims por lo que se deriva a personal de terreno</t>
  </si>
  <si>
    <t>00519699</t>
  </si>
  <si>
    <t>CNMS-Miguel Huanchicay informa que ME no esta mostrando equipos en el mapa.</t>
  </si>
  <si>
    <t>00519700</t>
  </si>
  <si>
    <t>CAPCNN-Juan Nuñez indica que no tiene datos en las tablas sumarizadas.</t>
  </si>
  <si>
    <t>00519731</t>
  </si>
  <si>
    <t>Sebastian Venegas</t>
  </si>
  <si>
    <t>00519732</t>
  </si>
  <si>
    <t>CNN - Cambios Abril</t>
  </si>
  <si>
    <t>Se realizan los cambios solicitados</t>
  </si>
  <si>
    <t>00519754</t>
  </si>
  <si>
    <t>MLCC - carga de archivo DXF plano mina topográfico a sistema CAS</t>
  </si>
  <si>
    <t>Se le dan indicaciones a Cristian para que haga la carga del mapa, este despues nos confirma que quedo todo correcto</t>
  </si>
  <si>
    <t>00519786</t>
  </si>
  <si>
    <t>CNDMH - Pala 11 y 5 aparecen en blanco</t>
  </si>
  <si>
    <t>Se revisan ambas palas, la P211 es reiniciada y recupera el color celeste en el control de rutas, pero la pala 205 oscilaba entre celeste y blanco, se encuentra un problema donde le decía velocidad de llenado 0 y camiones requeridos también en cero, ese valor es automático , se sigue monitoreando el equipo y Alan le hace nuevas modificaciones las cuales si funcionaron y ahora el equipo figura en verde en el control de trafico.</t>
  </si>
  <si>
    <t>Alan despacho</t>
  </si>
  <si>
    <t>00519814</t>
  </si>
  <si>
    <t>CNRI-llama Jhon boyd para asistencia de OAS en CE114 ya que informa demasiadas alertas de distracción.</t>
  </si>
  <si>
    <t>se revisa el equipo y funciona bien , se realiza una reinicio preventivo durando así casi 5 horas del turno sin alarmas , pero ahora vuelve a marcar por lo que se debe revisar en terreno.</t>
  </si>
  <si>
    <t>00519816</t>
  </si>
  <si>
    <t>AMZAL-Pedro de despacho informa error con la cota de la pala S04.</t>
  </si>
  <si>
    <t>el error consiste en que no se han borrado bloques que ya fueron utilizados en otra cota y aparecen en la vista de la pala, el balde y plan coinciden en la cota correcta.</t>
  </si>
  <si>
    <t>Pedro Despacho</t>
  </si>
  <si>
    <t>00519818</t>
  </si>
  <si>
    <t>AMCEN-Luis Rios solicita revisión reportabilidad JView ya que cockpit se encuentra desactualizado</t>
  </si>
  <si>
    <t>el cockpit no se esta actualizando pero ese sistema no lo administra hexagon , por nuestra parte la reportabilidad se encuentra actualizada</t>
  </si>
  <si>
    <t>00519828</t>
  </si>
  <si>
    <t>Se deben reiniciar los servicios sql en 2 ocasiones, se sigue monitoreando y ya no se siguen encolando los procesos.</t>
  </si>
  <si>
    <t>00519830</t>
  </si>
  <si>
    <t>AMCEN - SEÑAL PA1</t>
  </si>
  <si>
    <t>Se revisa el equipo el cual estaba trabajando correctamente, de todas formas se hace el reinicio solicitado y despacho confirma que el operador ya puede trabajar con normalidad.</t>
  </si>
  <si>
    <t>Loreta Tica</t>
  </si>
  <si>
    <t>00519831</t>
  </si>
  <si>
    <t>Mantoverde - archivo de configuración para CEKO57</t>
  </si>
  <si>
    <t>Se le entrega a Jorge el archivo para realizar la instalación del camión, este queda instalado , pero no toma señal aun, el equipo se encuentra actualmente apagado y se seguirá monitoreando cuando se vuelva a conectar.
Se revisa el equipo nuevamente, el cual ya se encuentra trabajando de forma correcta.</t>
  </si>
  <si>
    <t>Jorge</t>
  </si>
  <si>
    <t>00519836</t>
  </si>
  <si>
    <t>CNTTE - Sin acceso a Jview</t>
  </si>
  <si>
    <t>Se revisa la situación, se encuentra el servicio sql detenido, se levanta y se hace un reinicio al IIS , se vuelve a visualizar la reportabilidad con datos actualizados y se le informa a Marcelo.</t>
  </si>
  <si>
    <t>Marceliño</t>
  </si>
  <si>
    <t>00519852</t>
  </si>
  <si>
    <t>CNCHUQ - CAS con pocos equipos</t>
  </si>
  <si>
    <t>Se encuentran un par de errores al momento de revisar el CAS, primero el master job no se estaba ejecutando, pero tampoco daba errores simplemente su historial se encontraba vació, se detiene y ejecuta manualmente para que vuelva a funcionar, al momento de ejecutar el scheduler tambien nos arroja un error, el cuan se soluciona una vez usamos el data model, ademas se detecta que los logs tienen pesos demasiado altos, uno de casi 20 gb y otro no tan alto de 2 gb, ambos son reducidos al mínimo posible, se reinician todos los servicios y pasadas unas horas , el sistema ya comienza a mostrar los equipos en el mapa con una hora acutalizada.</t>
  </si>
  <si>
    <t>00519853</t>
  </si>
  <si>
    <t>CNMS - CAS sin alarmas</t>
  </si>
  <si>
    <t>Las alarmas no habian sido activadas.</t>
  </si>
  <si>
    <t>00519856</t>
  </si>
  <si>
    <t>AMCEN-Loretta Herrera solicita sumarizar los días 7 , 9 ,29 y 30 de abril.</t>
  </si>
  <si>
    <t>se realiza la sumarizacion solicitada</t>
  </si>
  <si>
    <t>00519861</t>
  </si>
  <si>
    <t>CNRI-llama Jhon boyd para asistencia de OAS en CE110 por alarmas de bloqueo.</t>
  </si>
  <si>
    <t>se realiza un reinicio del OAS, luego durante el turno no se tuvieron mas llamados.</t>
  </si>
  <si>
    <t>00519885</t>
  </si>
  <si>
    <t>Se reinician los servicios de sql , esto ocurre en 2 ocasiones en la mañana y en la tarde.</t>
  </si>
  <si>
    <t>00519920</t>
  </si>
  <si>
    <t>AMCEN - Importador hazard no carga</t>
  </si>
  <si>
    <t>Se borra el proceso de la primera carga del hazzard el cual estaba pegado, se ejecuta de forma manual y se cargan los archivos sin ningún problema.</t>
  </si>
  <si>
    <t>00519922</t>
  </si>
  <si>
    <t>Se revisan los procesos sql , los cuales estaban detenidos, los levanto y ya se tiene acceso nuevamente a la reportabilidad.</t>
  </si>
  <si>
    <t>00519933</t>
  </si>
  <si>
    <t>AMCEN-Luis Rios solicita asistencia por señal satelital PE1</t>
  </si>
  <si>
    <t>el equipo se encontraba afectado por eventos de tormentas solares , una vez se pasa el evento recupera GPS.</t>
  </si>
  <si>
    <t>00519934</t>
  </si>
  <si>
    <t>AMCEN-Luis Rios solicita asistencia por Señal PA7, no le registran la ruta de los camiones en circuito y el peso.</t>
  </si>
  <si>
    <t>se reinicia el core del equipo, se revisa que las configuraciones sean correcta y no le falte ningún dato, actualmente marca polígonos, rutas y tonelaje.</t>
  </si>
  <si>
    <t>00519936</t>
  </si>
  <si>
    <t>se realiza un reinicio del equipo.no se tienen mas llamados en el turno.</t>
  </si>
  <si>
    <t>00519950</t>
  </si>
  <si>
    <t>AMZAL-Freddie de sim solicita revisión conexión perfo D10</t>
  </si>
  <si>
    <t>la perforadora no tenia conexión con el servidor , el equipo de Sim mueve una antena y retoma conexión.</t>
  </si>
  <si>
    <t>00519952</t>
  </si>
  <si>
    <t>AAM-Llama victor veragua solicitando apoyo ya que el camión CEKO056 perdió las vueltas del turno.</t>
  </si>
  <si>
    <t>00519956</t>
  </si>
  <si>
    <t>AMCEN-Luis Rios solicita asistencia por que falta tonelaje en fase 7.</t>
  </si>
  <si>
    <t>se revisa y no falta tonelaje , solo había que esperar que terminara el sumarizador y posteriormente la replica.</t>
  </si>
  <si>
    <t>00519977</t>
  </si>
  <si>
    <t>Se revisan los archivos cargados, pero era cosa de esperar solamente, se le avisa a Daniel que los archivos se cargaron de forma correcta.</t>
  </si>
  <si>
    <t>00519986</t>
  </si>
  <si>
    <t>MLCC - Pala 202 sin conexion</t>
  </si>
  <si>
    <t>Se intenta revisar el equipo, pero este no tiene conexion, no nos entrega ni 1 ping, se vuelve a revisar a las 17:34 y nada.</t>
  </si>
  <si>
    <t>00520002</t>
  </si>
  <si>
    <t>MLCC - CAS problemas para cargar mapa</t>
  </si>
  <si>
    <t>00520042</t>
  </si>
  <si>
    <t>AMZAL-Freddie de sim solicita revisión conexión H50</t>
  </si>
  <si>
    <t>Equipo tiene problemas con el switch de conexión, equipo de sim lo cambia y queda operativo</t>
  </si>
  <si>
    <t>00520043</t>
  </si>
  <si>
    <t>AMZAL- mediante monitoreo interno se detecta Error en el reconciliador.</t>
  </si>
  <si>
    <t>existían bloques que estaban asignados a un tronada que no le correspondían,al corregir este error y reasignar los bloques a la tronada que corresponde el reconciliador deja de tirar error.</t>
  </si>
  <si>
    <t>00520065</t>
  </si>
  <si>
    <t>AMCEN-llama Luis Rios solicitando apoyo para C09 que no muestra ubicación real.</t>
  </si>
  <si>
    <t>se reinicia el equipo y muestra su ubicación real</t>
  </si>
  <si>
    <t>00520234</t>
  </si>
  <si>
    <t>MLCC - Número de conexiones</t>
  </si>
  <si>
    <t>Se le comenta el número de conexiones actual (45) y solicita que se limpien para poder ejecutar un proceso con mayor prioridad.</t>
  </si>
  <si>
    <t>Miguel Escobar</t>
  </si>
  <si>
    <t>00520250</t>
  </si>
  <si>
    <t>AAM - Mantoverde - Sumarización</t>
  </si>
  <si>
    <t>Se realizan sumarizaciones del mes de abril, con lapsos de 6 días cada sumarizacion.</t>
  </si>
  <si>
    <t>00520263</t>
  </si>
  <si>
    <t>Se reinician los servicios sql server en el escritorio remoto del servidor, normalizando así la replica a sql server.</t>
  </si>
  <si>
    <t>00520271</t>
  </si>
  <si>
    <t>Monitoreo - AMCEN- Sumarizador encolado</t>
  </si>
  <si>
    <t>Se detecta que se está sumarizando manualmente y se mantiene sumarizador forzado para no perder reportabilidad por lo que se mata la instancia mas antigua de sumarización forzada y se deja la que está corriendo actualmente.</t>
  </si>
  <si>
    <t>00520397</t>
  </si>
  <si>
    <t>AMCEN - Señal GPS C161</t>
  </si>
  <si>
    <t>Equipo no presenta problemas de comunicación al momento de realizar la revisión, se realiza monitoreo y no se visualizan problemas de comunicación ni de gps. Se envía correo con el detalle al cliente.</t>
  </si>
  <si>
    <t>00520398</t>
  </si>
  <si>
    <t>MLCC - Estado de reportabilidad</t>
  </si>
  <si>
    <t>Revisión no muestra problemas con los procesos ligados a la reportabilidad, página jview se encuentra activa y sin problemas al mostrar los reportes. Se avisa vía telefónica al cliente.</t>
  </si>
  <si>
    <t>00520405</t>
  </si>
  <si>
    <t>AMCEN - Señal GPS PA7</t>
  </si>
  <si>
    <t>Equipo no muestra problemas en señal de GPS no de red, señales se encuentran en niveles óptimos durante la revisión. Se envía correo al cliente informando lo revisado.</t>
  </si>
  <si>
    <t>00520411</t>
  </si>
  <si>
    <t>Monitoreo - AMCEN - Estado de sumarizador</t>
  </si>
  <si>
    <t>Se deja corriendo solo sumarizador por servicio, el cual no arroja problemas con la actualización de las tablas. Se realiza monitoreo por alrededor de 5 horas y no se presentan problemas con la finalización del proceso.</t>
  </si>
  <si>
    <t>00520416</t>
  </si>
  <si>
    <t>Monitoreo - AMANT - Reinicio de JAMS</t>
  </si>
  <si>
    <t>00520433</t>
  </si>
  <si>
    <t>00520434</t>
  </si>
  <si>
    <t>AMANT - No se puede finalizar pozo</t>
  </si>
  <si>
    <t>Se realiza fin de pozo para permitir liberar equipo y este pueda trabajar en nuevo pozo luego se realiza reinicio del jams y del jspanel para liberar pozo pegado. Equipo queda operativo y operando con normalidad.</t>
  </si>
  <si>
    <t>00520440</t>
  </si>
  <si>
    <t>AMCEN - Problema pantalla Caex 10</t>
  </si>
  <si>
    <t>se realizó prueba en jspanel del equipo desde aplicativo vnc y las opciones de pantalla funcionan y al parecer el táctil también ya que operador realizo selección de GPS mientras me encontraba revisando. Se envía correo al cliente para informar el estado del hardware.</t>
  </si>
  <si>
    <t>00520443</t>
  </si>
  <si>
    <t>AAM - Revisión de horario en servidores activo/secundario</t>
  </si>
  <si>
    <t>Se ajusta manualmente la hora a la actual según SHOA (shoa.cl) en servidor primario y secundario.</t>
  </si>
  <si>
    <t>Ricardo Rubio</t>
  </si>
  <si>
    <t>00520478</t>
  </si>
  <si>
    <t>AAM - Bulldozer con problemas de gps</t>
  </si>
  <si>
    <t>Debido a la persistencia del problema de comunicación con el equipo imposibilitando la conexión remota para revisar, la cual fue comentada al cliente y la falta de información del equipo se cierra ticket.</t>
  </si>
  <si>
    <t>Cesar Tabilo</t>
  </si>
  <si>
    <t>00520479</t>
  </si>
  <si>
    <t>CRSTEN - Caex no levanta pantalla</t>
  </si>
  <si>
    <t>Se revisa el equipo y se puede observar la pantalla funcionando correctamente por lo que se explica que el problema es directamente hardware.</t>
  </si>
  <si>
    <t>Roberto Neira</t>
  </si>
  <si>
    <t>00520511</t>
  </si>
  <si>
    <t>AAM - Mineops pegado</t>
  </si>
  <si>
    <t>Se revisan y monitorean los procesos asociados al funcionamiento del sistema encontrando todo ok, se le comunica al cliente y además se confirma que no tienen ping desde sus máquinas al servidor primario ni la ip flotante.</t>
  </si>
  <si>
    <t>00520512</t>
  </si>
  <si>
    <t>CNRT - Malla no aparece en sistema</t>
  </si>
  <si>
    <t>Se detecta por base de datos que ya existían mallas con ese nombre y figuraban eliminadas el primero de mayo. Se quita el borrado lógico y vuelven a aparecer en sistema.</t>
  </si>
  <si>
    <t>Rodrigo Gomez</t>
  </si>
  <si>
    <t>00520536</t>
  </si>
  <si>
    <t>AMCEN - Problemas con VNC equipos</t>
  </si>
  <si>
    <t>Se realiza revisión del aplicativo VNC en 7 equipos random y en todos se ejecutó sin inconvenientes. Problema reportado por el cliente se deba a que los pc estén en otro segmento de red y eso no les permita acceder al VNC de los equipos de campo. Se envía correo detallando la revisión.</t>
  </si>
  <si>
    <t>00520544</t>
  </si>
  <si>
    <t>MLCC - carga de polígonos carpetas xfer</t>
  </si>
  <si>
    <t>Se realiza la carga de los archivos solicitados por el cliente. Se envía correo informando lo realizado.</t>
  </si>
  <si>
    <t>00520555</t>
  </si>
  <si>
    <t>MLCC - Perfo D103 no visualiza pozos</t>
  </si>
  <si>
    <t>Realizando pruebas el equipo dejó de reconocer todos los puntos de la malla por lo que se vuelve a cargar copiando el archivo en carpeta save (05P4040_105). Posterior a esto perforadora logra visualizar tanto pozos perforados como por perforar.</t>
  </si>
  <si>
    <t>00520566</t>
  </si>
  <si>
    <t>MLCC - Privilegios Mineops</t>
  </si>
  <si>
    <t xml:space="preserve">
Usuario cuenta con el acceso a la vista ubicaciones, se realiza conexión remota para mostrar al usuario e indicar el paso a paso para la creación de una región en sistema.</t>
  </si>
  <si>
    <t>00520567</t>
  </si>
  <si>
    <t>Se finalizan los procesos de sumarizacion encolados para permitir la finalización de los siguientes procesos. Sumarizacion se ejecuta con normalidad terminando en cada ciclo.</t>
  </si>
  <si>
    <t>00520597</t>
  </si>
  <si>
    <t>|Se sumarizan las fechas estipuladas y se informa al cliente.</t>
  </si>
  <si>
    <t>00520624</t>
  </si>
  <si>
    <t>MLCC - Importador Modelo_Bloques pegado</t>
  </si>
  <si>
    <t>Se buscan procesos de importador que pudiesen estar pegados y se encuentra uno de mas de una hora por lo que se elimina y se ejecuta manualmente el ruby para cargar archivos al sistema.</t>
  </si>
  <si>
    <t>00520648</t>
  </si>
  <si>
    <t>CNDMH - Perfo 106 no muestra prestart</t>
  </si>
  <si>
    <t>Se realiza la creación del prestart y se asocia al symbol de la flota. Listado queda operativo en el equipo. Se informa al despacho quien valida el funcionamiento.</t>
  </si>
  <si>
    <t>00520649</t>
  </si>
  <si>
    <t>Equipo presenta problemas de hardware en antena 2, se realiza borrado de bd interna y reinicio del core para intentar restablecer el correcto funcionamiento, pero no se logra recuperar. Se informa al cliente que equipo deberá ser revisado en terreno.</t>
  </si>
  <si>
    <t>00520651</t>
  </si>
  <si>
    <t>Se realiza la carga de los archivos solicitados.</t>
  </si>
  <si>
    <t>00520666</t>
  </si>
  <si>
    <t>CNDMH - Agregar equipo virtual</t>
  </si>
  <si>
    <t>Se genera un device sin parámetros y el equipment de manera virtual como lo solicitó el cliente.</t>
  </si>
  <si>
    <t>00520673</t>
  </si>
  <si>
    <t>AMCEN - revisar si es que existen diferencias entre informes</t>
  </si>
  <si>
    <t>Se revisan ambos reportes y existen diferencias, pero son debido a que en cada reporte se está agrupando de manera diferente la salida final. En un reporte se está agrupando por Flota y en el otro se está agrupando tanto por Flota como por Región generando la diferencia en valores finales.</t>
  </si>
  <si>
    <t>5/13/2024 2:36 PM</t>
  </si>
  <si>
    <t>00520674</t>
  </si>
  <si>
    <t>CNRT - No aparecen en jview pozos perforados por PE109</t>
  </si>
  <si>
    <t>Se verifican todos los jobs para obtener la integración de datos y están ok. Luego se revisan todos los reportes de perforadoras que incluyen las perforadoras autónomas y en todos figura correctamente la PE109. Finalmente se comunica Elmer Cruz informando que el cliente estaba buscando en otro lugar no en jview.</t>
  </si>
  <si>
    <t>00520680</t>
  </si>
  <si>
    <t>AMCEN - Importador de malla pegado</t>
  </si>
  <si>
    <t>Se intenta cargar manualmente el archivo pero genera un error. Se analiza el log de la ejecución del importador encontrando que hace referencia a que falta un elemento en la línea 53. Al revisar dicha línea se encuentra que falta una coma "," por lo que es agregada y de esta manera se logra cargar sin problemas el archivo.</t>
  </si>
  <si>
    <t>00520681</t>
  </si>
  <si>
    <t>CNDMH - Jview caído</t>
  </si>
  <si>
    <t>Se detectan los servicios sql server y agente stopped en el servidor. Se vuelven a levantar y jview queda operativo</t>
  </si>
  <si>
    <t>00520683</t>
  </si>
  <si>
    <t>AAM - Revisión de camiones</t>
  </si>
  <si>
    <t>Se revisan los equipos y a nivel de sensores y configuraciones están ok. Se realiza ping a los equipos y se pueden observar pérdida de paquetes lo cual se asocia a ser la razón del mal funcionamiento de sus sistemas.</t>
  </si>
  <si>
    <t>00520684</t>
  </si>
  <si>
    <t>CNRI - CAEX 104 con problemas en sensor</t>
  </si>
  <si>
    <t>Se revisan los logs en web de la cámara y se informa al cliente que tenga cuidado con cualquier elemento que pueda interferir entre la visual del sensor y los ojos del operador. Igualmente se escala con personal de terreno para revisión directa.</t>
  </si>
  <si>
    <t>5/13/2024 10:08 AM</t>
  </si>
  <si>
    <t>00520685</t>
  </si>
  <si>
    <t>CNDMH - Problemas de conexión con servicios a través de wifi</t>
  </si>
  <si>
    <t>Sebastian Morales</t>
  </si>
  <si>
    <t>00520687</t>
  </si>
  <si>
    <t>Monitoreo - AMCEN - Servidor caído</t>
  </si>
  <si>
    <t>Monitoreo durante el turno noche no presenta problemas con las conexiones al servidor y este con los equipos de campo. Funcionamiento normal.</t>
  </si>
  <si>
    <t>00520704</t>
  </si>
  <si>
    <t>Monitoreo - AMCEN - Sumarizador con error</t>
  </si>
  <si>
    <t>Problema encontrado se presentó en la tabla shift_logins donde se insertó un deslogeo a la misma hora en un mismo equipo. Una vez borrado de manera lógica uno de los datos el proceso de sumarización se normalizo y termino sus ciclos con normalidad.</t>
  </si>
  <si>
    <t>00520709</t>
  </si>
  <si>
    <t>MLCC - Archivos Plan diario 11 mayo 2024</t>
  </si>
  <si>
    <t>Archivos presentaban problemas con el contenido por lo que se realizan los ajustes necesarios para permitir la carga al sistema a través del importador. Se envía correo al cliente informando.</t>
  </si>
  <si>
    <t>00520748</t>
  </si>
  <si>
    <t>AAM - Caex con problema de versión</t>
  </si>
  <si>
    <t>Se le comenta a Sebastian que las pantallas nuevas no toman bien el sistema y que no es posible actualizarle la versión, incluso no se puede acceder al JAMS del equipo y solo hay llegada a Core.</t>
  </si>
  <si>
    <t>Sebastian (Electroram)</t>
  </si>
  <si>
    <t>00520749</t>
  </si>
  <si>
    <t>AMZAL - Pala no visualiza bloques</t>
  </si>
  <si>
    <t>Se detecta que la elevación del balde de la pala tiene una diferencia demasiado grande con la elevación especificada del frente de carguío. Se deja en un valor más acercado al real y aparecen sin problemas. Se informa de esto al cliente.</t>
  </si>
  <si>
    <t>00520775</t>
  </si>
  <si>
    <t>AMZAL - Pala no visualiza línea de avance</t>
  </si>
  <si>
    <t>se realiza borrado de la bd temporal y reinicio del equipo para recargar todo el sistema operativo. Equipo queda con visualización de las líneas de avance.</t>
  </si>
  <si>
    <t>5/13/2024 4:03 AM</t>
  </si>
  <si>
    <t>00520783</t>
  </si>
  <si>
    <t>AMCEN - Problema señal GPS PA9</t>
  </si>
  <si>
    <t>Equipo presenta calidad optima en ambas antenas por lo que se descarta problemas con los GPS. Lo que si acuso la revisión es inestabilidad en la recepción de red, la cual arroja perdida de paquetes y en momentos figura sin comunicación.</t>
  </si>
  <si>
    <t>00520784</t>
  </si>
  <si>
    <t>Monitoreo - MLCC - Proceso de replica encolado</t>
  </si>
  <si>
    <t>Monitoreo acusa proceso de réplica encolado, se realiza desconexión de sesiones al servidor 10.66.153.59 para permitir la ejecución de los procesos de réplica. Acción permite recuperar funcionamiento del proceso.</t>
  </si>
  <si>
    <t>00520795</t>
  </si>
  <si>
    <t>MLCC - Deshabilitacion P201</t>
  </si>
  <si>
    <t>Equipo no presenta problemas con sus cambios de estados, camiones que fueron cargados tampoco presentaron inconvenientes con las asignaciones. Se envía correo al cliente informando lo realizado quien confirma el correcto funcionamiento.</t>
  </si>
  <si>
    <t>00520827</t>
  </si>
  <si>
    <t>Revisión arroja que existen 12 destinos duplicados asociados a la locations DL_E3.5 por lo que se realiza el borrado de los destinos duplicados y solo se deja un destino disponible. Sa informa a cliente quien ratifica el correcto funcionamiento de asignaciones en sistema.</t>
  </si>
  <si>
    <t>5/13/2024 12:59 AM</t>
  </si>
  <si>
    <t>5/13/2024 3:37 AM</t>
  </si>
  <si>
    <t>00520843</t>
  </si>
  <si>
    <t>AAM - Sumarización</t>
  </si>
  <si>
    <t>Se sumariza la fecha solicitada sin mayores problemas.</t>
  </si>
  <si>
    <t>5/13/2024 5:39 AM</t>
  </si>
  <si>
    <t>5/13/2024 6:28 AM</t>
  </si>
  <si>
    <t>00520859</t>
  </si>
  <si>
    <t>AAM - CAEX con versión incorrecta</t>
  </si>
  <si>
    <t>Se cambia la versión en vista Device a la que corresponde según como están los otros camiones (2.8-003.005). Levanta ok</t>
  </si>
  <si>
    <t>5/13/2024 7:29 AM</t>
  </si>
  <si>
    <t>5/13/2024 7:53 AM</t>
  </si>
  <si>
    <t>Sebastián (Electroram)</t>
  </si>
  <si>
    <t>00520904</t>
  </si>
  <si>
    <t>AMCEN - Revisión de camiones</t>
  </si>
  <si>
    <t>Se mantiene monitoreo de ambos equipos teniendo en cuenta la cobertura de los AP's para áreas oscuras de comunicación . Esto sirve para determinar que ambos equipos pierden señal y se quedan pegado justamente en estas áreas de menor comunicación, sin embargo se puede observar que el C25 presenta problemas mas generales y no solo en zonas específicas por lo que se recomienda atención en terreno. Mientras que el C23 funciona ok y es puntual su falla.</t>
  </si>
  <si>
    <t>5/13/2024 4:27 PM</t>
  </si>
  <si>
    <t>5/13/2024 4:39 PM</t>
  </si>
  <si>
    <t>00520909</t>
  </si>
  <si>
    <t>AMZAL - Línea Excavación P4</t>
  </si>
  <si>
    <t>Los equipos de campo no tienen la opción de filtrar las líneas de avance por turno muestran las líneas completas. La opción de poder filtrar por tunos, por ubicaciones o por equipo está disponible en jsmina de mineops. Se envía correo al cliente detallando lo realizado.</t>
  </si>
  <si>
    <t>5/13/2024 5:35 PM</t>
  </si>
  <si>
    <t>00520910</t>
  </si>
  <si>
    <t>AMZAL - Bot-3290_Finos</t>
  </si>
  <si>
    <t>Lo que sucedió fue que Zaldivar estaba definido como Pit y no como Región, debido a esto no aparecía en la opción para definirle a dumps. Al realizar el cambio vuelve a aparecer la opción Zaldivar dentro de regiones</t>
  </si>
  <si>
    <t>5/13/2024 5:37 PM</t>
  </si>
  <si>
    <t>5/14/2024 12:37 PM</t>
  </si>
  <si>
    <t>00520928</t>
  </si>
  <si>
    <t>AMCEN - Problema señal GPS C36</t>
  </si>
  <si>
    <t>Equipo no presenta problemas con funcionamiento de GPS, se realizó monitoreo por alrededor de 5 horas y no se presentaron caídas del servicio de GPS. Se enviará un correo a personal en terreno para que puedan seguir coordinar alguna revisión de ser necesario.</t>
  </si>
  <si>
    <t>5/13/2024 8:20 PM</t>
  </si>
  <si>
    <t>5/14/2024 1:50 AM</t>
  </si>
  <si>
    <t>00520933</t>
  </si>
  <si>
    <t>AMCEN - No se puede borrar hazard en mineops</t>
  </si>
  <si>
    <t>Se realiza borrado de los dibujos solicitados por el cliente, se debió realizar un borrado directamente en postgres ya que desde mineops no permitió realizar esta acción.</t>
  </si>
  <si>
    <t>5/13/2024 8:22 PM</t>
  </si>
  <si>
    <t>5/13/2024 9:16 PM</t>
  </si>
  <si>
    <t>Marco Hausdorf</t>
  </si>
  <si>
    <t>00520936</t>
  </si>
  <si>
    <t>AMANT - mallas antucoya</t>
  </si>
  <si>
    <t>Usuario Rolando Herrera informa que no tiene información sobre donde se debe realizar la carga del archivo por lo que se da por cerrado el requerimiento.</t>
  </si>
  <si>
    <t>5/13/2024 9:33 PM</t>
  </si>
  <si>
    <t>5/14/2024 2:43 AM</t>
  </si>
  <si>
    <t>00520950</t>
  </si>
  <si>
    <t>Se realiza la eliminación de los datos duplicados en la tabla dumping.</t>
  </si>
  <si>
    <t>5/14/2024 1:37 AM</t>
  </si>
  <si>
    <t>5/14/2024 2:45 AM</t>
  </si>
  <si>
    <t>00520975</t>
  </si>
  <si>
    <t>CNCHQ - Consulta de tablas</t>
  </si>
  <si>
    <t>Se entrega la información solicitada sobre perforadoras y se realiza gestión para brindar la información solicitada de manera formal.</t>
  </si>
  <si>
    <t>5/14/2024 7:50 AM</t>
  </si>
  <si>
    <t>5/14/2024 12:41 PM</t>
  </si>
  <si>
    <t>Daniela Jara</t>
  </si>
  <si>
    <t>00520978</t>
  </si>
  <si>
    <t>Se sumariza como lo solicitó el cliente.</t>
  </si>
  <si>
    <t>5/14/2024 8:53 AM</t>
  </si>
  <si>
    <t>5/14/2024 10:44 AM</t>
  </si>
  <si>
    <t>00520992</t>
  </si>
  <si>
    <t>AMCEN - Equipos con problemas de sistema</t>
  </si>
  <si>
    <t>Se diagnostica cada equipo revisando sensores internos y comportamiento en el sistema. Finalmente se encuentran la mayoría de equipos funcionando normalmente por lo que se informa de esto al cliente a lo que contesta que en general los problemas eran de pantalla reportado por operadores.</t>
  </si>
  <si>
    <t>5/14/2024 10:45 AM</t>
  </si>
  <si>
    <t>5/14/2024 12:26 PM</t>
  </si>
  <si>
    <t>00521009</t>
  </si>
  <si>
    <t>AMZAL - Revisión de T19</t>
  </si>
  <si>
    <t>Se intenta revisar el equipo pero no es posible por falta de comunicación. Se llama al cliente para informar el estado.</t>
  </si>
  <si>
    <t>5/14/2024 12:42 PM</t>
  </si>
  <si>
    <t>5/14/2024 3:44 PM</t>
  </si>
  <si>
    <t>00521023</t>
  </si>
  <si>
    <t>AAM - Caex no levanta JAMS</t>
  </si>
  <si>
    <t>Se revisan los parámetros en device del equipo encontrando todo ok. Por lo que se procede a comprobar la conexión del equipo con ping determinando que los valores son demasiado altos para una correcta conexión con el servidor para levantar el JAMS. Se informa de esto al cliente.</t>
  </si>
  <si>
    <t>5/14/2024 3:41 PM</t>
  </si>
  <si>
    <t>5/14/2024 5:07 PM</t>
  </si>
  <si>
    <t>Fernando (Electroram)</t>
  </si>
  <si>
    <t>00521024</t>
  </si>
  <si>
    <t>AAM - Mine Ops pegado</t>
  </si>
  <si>
    <t>Se analizan los logs del JAMS y se puede observar un error del tipo STACK TRACE, por lo que se bota el JAMSRouter y se vuelve a levantar a los segundos normalizando el comportamiento del aplicativo.</t>
  </si>
  <si>
    <t>5/14/2024 3:43 PM</t>
  </si>
  <si>
    <t>00521036</t>
  </si>
  <si>
    <t>CNMS - Diferencia de tonelajes</t>
  </si>
  <si>
    <t>Se realiza sumarización del mes de mayo luego del cambio del F/C realizado por ingeniero residente. Tonelajes quedan cuadrados entre mineops y jview. Se envía correo al soporte de la mina para que informe al personal correspondiente.</t>
  </si>
  <si>
    <t>5/14/2024 6:05 PM</t>
  </si>
  <si>
    <t>5/14/2024 9:10 PM</t>
  </si>
  <si>
    <t>Luis Cuevas ténico hexagon</t>
  </si>
  <si>
    <t>00521074</t>
  </si>
  <si>
    <t>AMCEN - Problema señal GPS C20</t>
  </si>
  <si>
    <t>Equipo al momento de la revisión se encuentra operativo y funcionando sin inconvenientes. Se realiza monitoreo durante un par de horas y este no presenta ningún inconveniente.</t>
  </si>
  <si>
    <t>5/14/2024 11:50 PM</t>
  </si>
  <si>
    <t>5/15/2024 3:09 AM</t>
  </si>
  <si>
    <t>00521111</t>
  </si>
  <si>
    <t>AMCEN-Alisson solicita revisión CF02 ya que no levanta los hazzard.</t>
  </si>
  <si>
    <t>se cambia la versión del software para que recargue los parches , luego funciona correctamente.</t>
  </si>
  <si>
    <t>5/15/2024 11:16 AM</t>
  </si>
  <si>
    <t>5/15/2024 12:16 PM</t>
  </si>
  <si>
    <t>00521113</t>
  </si>
  <si>
    <t>MLCC-Baja de cuentas de Mineops y Jview Takuro Kawakami</t>
  </si>
  <si>
    <t>no existen cuentas asociadas a la persona en Mineops y Jview</t>
  </si>
  <si>
    <t>5/15/2024 12:20 PM</t>
  </si>
  <si>
    <t>5/15/2024 01:16 PM</t>
  </si>
  <si>
    <t>00521123</t>
  </si>
  <si>
    <t>MLCC-Daniel Godoy informa que camiones que deberían ir a chancado se van a reserva.</t>
  </si>
  <si>
    <t>se eliminan destinos duplicados.</t>
  </si>
  <si>
    <t>5/15/2024 01:00 PM</t>
  </si>
  <si>
    <t>5/15/2024 02:00 PM</t>
  </si>
  <si>
    <t>00521149</t>
  </si>
  <si>
    <t>MLCC - Creación cuenta JMineOPS</t>
  </si>
  <si>
    <t>Se crea cuenta SQL Server con las credenciales solicitadas.</t>
  </si>
  <si>
    <t>5/15/2024 13:59 PM</t>
  </si>
  <si>
    <t>00521164</t>
  </si>
  <si>
    <t>CNDMH-Cesar solicita apoyo para revisar Sarhm de Perforadora 112</t>
  </si>
  <si>
    <t>sarhm del equipo se encuentra sin comunicación , por lo que se deriva a personal de terreno.</t>
  </si>
  <si>
    <t>5/15/2024 05:40 PM</t>
  </si>
  <si>
    <t>5/15/2024 06:00 PM</t>
  </si>
  <si>
    <t>Cesar Abornoz</t>
  </si>
  <si>
    <t>00521190</t>
  </si>
  <si>
    <t>CNRT - CAEX 923 sin GPS</t>
  </si>
  <si>
    <t>Se revisa el equipo el cual no tenia conexion en un inicio , despues se recobra la conexion y este tiene su GPS trabajando de forma correcta</t>
  </si>
  <si>
    <t>5/15/2024 11:53 PM</t>
  </si>
  <si>
    <t>5/16/2024 00:45 AM</t>
  </si>
  <si>
    <t>00521225</t>
  </si>
  <si>
    <t xml:space="preserve">AMZAL - Perfo D10 sin conexion </t>
  </si>
  <si>
    <t>Se hace la revisión de señal del equipo D10, la cual era de mala calidad y personal de sim regularizo la situación.</t>
  </si>
  <si>
    <t>5/16/2024 07:56 AM</t>
  </si>
  <si>
    <t>5/16/2024 12:39 PM</t>
  </si>
  <si>
    <t>5/16/2024</t>
  </si>
  <si>
    <t>00521230</t>
  </si>
  <si>
    <t>MLCC - Distribucion Reporte Diario Tiempos por Operador</t>
  </si>
  <si>
    <t>Se crea suscripcion para los reportes tiempos por operador para los usuarios daniel.godoy@lundimining.com y integracioncaserones@openworldlatam.com</t>
  </si>
  <si>
    <t>5/16/2024 09:32 AM</t>
  </si>
  <si>
    <t>5/17/2024 14:30 PM</t>
  </si>
  <si>
    <t>00521235</t>
  </si>
  <si>
    <t>MLCC - Creacion cuentas SQL JMineOPS</t>
  </si>
  <si>
    <t>Se crean cuentas de SQL JMineOPS en nombre de los usuarios v-ughauri y v-lcardenas.</t>
  </si>
  <si>
    <t>5/16/2024 09:28 AM</t>
  </si>
  <si>
    <t>5/16/2024 11:36 AM</t>
  </si>
  <si>
    <t>00521270</t>
  </si>
  <si>
    <t>CNTTE - Consulta Actualizacion Equipo</t>
  </si>
  <si>
    <t>Se revisa la versión del JAMS del servidor y se compara con la del CAEX solicitado para corroborar si esta con su ultima actualización.</t>
  </si>
  <si>
    <t>5/16/2024 13:08 PM</t>
  </si>
  <si>
    <t>5/16/2024 13:47 PM</t>
  </si>
  <si>
    <t>00521290</t>
  </si>
  <si>
    <t>CNRI - Alerta bloqueo OAS</t>
  </si>
  <si>
    <t>Se revisan los equipos solicitados y se encuentra que el CAEX110 no tiene ningún problema con los datos enviados, en cambio el CAEX123 si tiene interferencia a la hora de mandar la información, ya sea por algun objeto u suciedad.</t>
  </si>
  <si>
    <t>5/16/2024 2:55 PM</t>
  </si>
  <si>
    <t>5/17/2024 16:14 PM</t>
  </si>
  <si>
    <t>00521301</t>
  </si>
  <si>
    <t>Se reinician los servicios sql eliminando asi los procesos encolados y monitoreando para que no vuelva a ocurrir</t>
  </si>
  <si>
    <t>5/16/2024 8:05 PM</t>
  </si>
  <si>
    <t>00521308</t>
  </si>
  <si>
    <t>AMCEN - GPS C45</t>
  </si>
  <si>
    <t>Se revisa el equipo el cual esta trabajando correctamente.</t>
  </si>
  <si>
    <t>5/16/2024 9:32 PM</t>
  </si>
  <si>
    <t>5/16/2024 10:04 PM</t>
  </si>
  <si>
    <t>00521316</t>
  </si>
  <si>
    <t>AMCEN - Problemas en pantalla PA1</t>
  </si>
  <si>
    <t>Se revisa el equipo, el cual esta trabajando correctamente, se ve como el operador manipula la pantalla, mediante el VNC</t>
  </si>
  <si>
    <t>5/17/2024 3:41 AM</t>
  </si>
  <si>
    <t>5/17/2024 4:12 AM</t>
  </si>
  <si>
    <t>00521319</t>
  </si>
  <si>
    <t>Monitoreo - CNDMH - sql encolado</t>
  </si>
  <si>
    <t>Se eliminan los procesos encolados en 2 ocasiones, posteriormente no se vuelven a encolar</t>
  </si>
  <si>
    <t>5/17/2024 5:12 AM</t>
  </si>
  <si>
    <t>5/17/2024 7:32 AM</t>
  </si>
  <si>
    <t>00521332</t>
  </si>
  <si>
    <t>CNDMH - Sin conexion Jview</t>
  </si>
  <si>
    <t>Se comunica Paola Ledezma solicitando una revisión del Jview ya que Ruben Paco le informa que no tiene conexión a este mismo.</t>
  </si>
  <si>
    <t>5/17/2024 09:03 AM</t>
  </si>
  <si>
    <t>5/17/2024 10:03 AM</t>
  </si>
  <si>
    <t>00521338</t>
  </si>
  <si>
    <t>Problema al visualizar solidos cargados.</t>
  </si>
  <si>
    <t>Revisar los polígonos de carga que no se logran visualizar en sistema jigsaw, además, se indica imagen con solidos cargados y visualizados pero por despacho</t>
  </si>
  <si>
    <t>5/17/2024 10:02 AM</t>
  </si>
  <si>
    <t>5/17/2024 12:03 AM</t>
  </si>
  <si>
    <t>Sebastian Galleguillos</t>
  </si>
  <si>
    <t>00521357</t>
  </si>
  <si>
    <t>Alisson solicita apoyo por botadero, no permite...</t>
  </si>
  <si>
    <t>Se comunica Alisson Arriagada por apoyo para revisar un botadero que no se podía modificar sin pasar a llevar otro botadero.  Esto se debió a que el boundary estaba mal asignado a la location.</t>
  </si>
  <si>
    <t>5/17/2024 11:17 AM</t>
  </si>
  <si>
    <t>5/17/2024 11:53 AM</t>
  </si>
  <si>
    <t>00521366</t>
  </si>
  <si>
    <t>Pregunta sobre atributos tabla</t>
  </si>
  <si>
    <t>Se le informa a Daniel Godoy sobre los atributos de la tabla custom_shift__cycle_hauls_detail_view.</t>
  </si>
  <si>
    <t>5/17/2024 13:20 PM</t>
  </si>
  <si>
    <t>5/17/2024 14:39 PM</t>
  </si>
  <si>
    <t>00521373</t>
  </si>
  <si>
    <t>El equipo D101 no visualiza las mallas correspondientes</t>
  </si>
  <si>
    <t>Se reinicia la base del equipo para que vuelva a tomar la malla necesitada.</t>
  </si>
  <si>
    <t>5/17/2024 13:55 PM</t>
  </si>
  <si>
    <t>5/17/2024 14:27 PM</t>
  </si>
  <si>
    <t>Despacho Caserones</t>
  </si>
  <si>
    <t>00521381</t>
  </si>
  <si>
    <t xml:space="preserve">Problemas pantallas relevo </t>
  </si>
  <si>
    <t>Se reinicia los servicios JAMSWeb2 para solucionar problema.</t>
  </si>
  <si>
    <t>5/17/2024 17:48 PM</t>
  </si>
  <si>
    <t>5/17/2024 18:21 PM</t>
  </si>
  <si>
    <t>00521388</t>
  </si>
  <si>
    <t>5/17/2024 20:34 PM</t>
  </si>
  <si>
    <t>5/17/2024 20:56 PM</t>
  </si>
  <si>
    <t>00521389</t>
  </si>
  <si>
    <t xml:space="preserve">El equipo tenia muchas perdidas de conexión, se logra entrar y reiniciarlo , normalizando la situación. </t>
  </si>
  <si>
    <t>5/17/2024 20:36 PM</t>
  </si>
  <si>
    <t>5/17/2024 20:58 PM</t>
  </si>
  <si>
    <t>00521391</t>
  </si>
  <si>
    <t>Se reinician los procesos sql eliminando asi los procesos encolados.</t>
  </si>
  <si>
    <t>5/17/2024 20:04 PM</t>
  </si>
  <si>
    <t>5/17/2024 20:30 PM</t>
  </si>
  <si>
    <t>00521393</t>
  </si>
  <si>
    <t>AMCEN - RE: Solicitud de revision C25</t>
  </si>
  <si>
    <t>El equipo no tenia buena comunicación, se reinicia y se normaliza su ubicación vs la del mine map.</t>
  </si>
  <si>
    <t>5/17/2024 23:31 PM</t>
  </si>
  <si>
    <t>5/17/2024 23:57 PM</t>
  </si>
  <si>
    <t>00521398</t>
  </si>
  <si>
    <t>AMCEN - Solicitud de revision Carpeta Hazard</t>
  </si>
  <si>
    <t>Se revisan los importadores, habiendo uno pegado que no dejaba subirse a los demás, se elimina el proceso y los archivos se cargan correctamente.</t>
  </si>
  <si>
    <t>5/18/2024 02:48 AM</t>
  </si>
  <si>
    <t>5/18/2024 03:05 AM</t>
  </si>
  <si>
    <t>00521399</t>
  </si>
  <si>
    <t>AMCEN - Solicitud de revision C14</t>
  </si>
  <si>
    <t>Se reinicia el equipo para que el operador tenga imagen nuevamente.</t>
  </si>
  <si>
    <t>00521406</t>
  </si>
  <si>
    <t>MLCC - Jview sin datos actualizados</t>
  </si>
  <si>
    <t>Se sumariza de forma manual y se revisa que el sumarizador este terminando correctamente su ciclo</t>
  </si>
  <si>
    <t>5/18/2024 06:47 AM</t>
  </si>
  <si>
    <t>5/18/2024 07:15 AM</t>
  </si>
  <si>
    <t>00521410</t>
  </si>
  <si>
    <t>AMANT - Duda cargas desarrollo mina</t>
  </si>
  <si>
    <t>Se comunica Angelo Leon nuevamente para aclarar dudas sobre lo solicitado, pero la duda fue cambiada por si estaba correcto que el material sacado del camino y enviado a el botadero DES_FASE_05 fuera cargado como desarrollo mina. Se esperara a ingeniero en terreno para resolver.</t>
  </si>
  <si>
    <t>5/18/2024 08:59 AM</t>
  </si>
  <si>
    <t>5/18/2024 12:16 AM</t>
  </si>
  <si>
    <t>00521413</t>
  </si>
  <si>
    <t>CNDMH - Pantallas pegadas P602 y B408</t>
  </si>
  <si>
    <t>Luego de unas horas se vuelve a monitorear y se logra tener conexión con el equipo B408 el cual funciona correctamente, mientras que la P602 sigue sin conexion.</t>
  </si>
  <si>
    <t>5/18/2024 08:54 AM</t>
  </si>
  <si>
    <t>5/18/2024 19:05 PM</t>
  </si>
  <si>
    <t>00521416</t>
  </si>
  <si>
    <t>CN DMH - Pantallas pegadas equipo C325</t>
  </si>
  <si>
    <t>Se vuelve a monitorear el equipo y se encuentra con señal, se revisa su VNC y esta funcionando correctamente.</t>
  </si>
  <si>
    <t>5/18/2024 10:37 AM</t>
  </si>
  <si>
    <t>5/18/2024 15:29 PM</t>
  </si>
  <si>
    <t>00521421</t>
  </si>
  <si>
    <t>AMANT - JAMS reiniciados multiples veces</t>
  </si>
  <si>
    <t>Se detecta que el JAMS se ha reiniciado 4 veces hasta ahora, entra en revision. Se reinicio un maximo de 7 veces, se sigue monitoreando.</t>
  </si>
  <si>
    <t>5/18/2024 10:12 AM</t>
  </si>
  <si>
    <t>5/20/2024 17:30 AM</t>
  </si>
  <si>
    <t>00521423</t>
  </si>
  <si>
    <t>MLCC - Encolamiento Procesos SQL</t>
  </si>
  <si>
    <t>Se encolan múltiples veces los procesos SQL y SQL_backup</t>
  </si>
  <si>
    <t>5/18/2024 14:08 PM</t>
  </si>
  <si>
    <t>5/18/2024 14:49 AM</t>
  </si>
  <si>
    <t>00521427</t>
  </si>
  <si>
    <t>AAM - Desbloqueo Cuenta MineOPS y JVIEW</t>
  </si>
  <si>
    <t>Victor Veraguas se comunica pidiendo compartir claves de acceso de reportes JVIEW y a su vez la recuperacion de una cuenta MineOPS.</t>
  </si>
  <si>
    <t>5/18/2024 18:21 PM</t>
  </si>
  <si>
    <t>5/19/2024 11:02 AM</t>
  </si>
  <si>
    <t>Victor Veraguas</t>
  </si>
  <si>
    <t>00521428</t>
  </si>
  <si>
    <t>CN DMH - Estados de Equipos " added for 90 days"</t>
  </si>
  <si>
    <t>Se visualiza los estados de los equipos que tienen comentado added for 90 days. Lo que implica nueva creación de estos.</t>
  </si>
  <si>
    <t>5/18/2024 13:26 PM</t>
  </si>
  <si>
    <t>00521429</t>
  </si>
  <si>
    <t>AAM - Jorge Flores pide revisar el setup para ver si esta agregada la perforadora 5009</t>
  </si>
  <si>
    <t>Se revisa y el equipo si se encuentra creado y cargado al setup que ellos tienen a su disposicion.</t>
  </si>
  <si>
    <t>5/18/2024 18:58 PM</t>
  </si>
  <si>
    <t>5/19/2024 19:54 PM</t>
  </si>
  <si>
    <t>Jorge Flores</t>
  </si>
  <si>
    <t>00521431</t>
  </si>
  <si>
    <t>AMANT - Cargador frontal pierde cargas.</t>
  </si>
  <si>
    <t>Se revisa el equipo, el cual realizo 55 cargas segun la descarga sumario, no se detecta nada extraño</t>
  </si>
  <si>
    <t>5/18/2024 19:49 PM</t>
  </si>
  <si>
    <t>5/19/2024 09:12 AM</t>
  </si>
  <si>
    <t>00521437</t>
  </si>
  <si>
    <t>AMCEN - Solicitud de revision de PE10 y PE53</t>
  </si>
  <si>
    <t>Se revisan los equipos, PE10 es reiniciado para recuperar su pantalla, el PE53 esta trabajando de forma correcta.</t>
  </si>
  <si>
    <t>5/18/2024 21:22 PM</t>
  </si>
  <si>
    <t>5/18/2024 21:49 PM</t>
  </si>
  <si>
    <t>00521439</t>
  </si>
  <si>
    <t>CNRT - Perforadora R08 no finalizo su pozo</t>
  </si>
  <si>
    <t>Se finaliza el pozo con los metros entregados por Javier, posteriormente reiniciamos la pantalla que estaba pegada, se monitorea y el operador vuelve a ponerse perforando de forma correcta.</t>
  </si>
  <si>
    <t>5/18/2024 22:11 PM</t>
  </si>
  <si>
    <t>5/18/2024 22:23 PM</t>
  </si>
  <si>
    <t>00521441</t>
  </si>
  <si>
    <t>CNTTE - CF501 no cuenta las cargas</t>
  </si>
  <si>
    <t>Se revisa el equipo, el cual tenia sus cargas cargadas correctamente en el descarga sumario, ademas estas coinciden con las vueltas del Camion 302.</t>
  </si>
  <si>
    <t>5/18/2024 23:10 PM</t>
  </si>
  <si>
    <t>5/18/2024 23:45 PM</t>
  </si>
  <si>
    <t>00521446</t>
  </si>
  <si>
    <t>Se reinician los servicios sql.</t>
  </si>
  <si>
    <t>5/18/2024 23:11 PM</t>
  </si>
  <si>
    <t>5/19/2024 06:20 AM</t>
  </si>
  <si>
    <t>00521447</t>
  </si>
  <si>
    <t>AMCEN - Solicitud de revision de PA3 y B309</t>
  </si>
  <si>
    <t>Se reinicia la PA3 recuperando así su pantalla pero con el B309 no se tiene conexión por lo que se solicita que lo reinicien en terreno.</t>
  </si>
  <si>
    <t>5/18/2024 23:14 PM</t>
  </si>
  <si>
    <t>5/18/2024 23:57 PM</t>
  </si>
  <si>
    <t>00521451</t>
  </si>
  <si>
    <t>MLCC - Diglimit no se carga</t>
  </si>
  <si>
    <t>Se revisa la pala, la cual tiene cargado el dig limit, pero lo ve de lejos, se le avisa a Viviana y se le solicita reiniciar el mineops, ademas de eso se le envía un correo indicando donde se activan y desactivan los diglimits.</t>
  </si>
  <si>
    <t>5/19/2024 03:36 AM</t>
  </si>
  <si>
    <t>5/19/2024 04:08 AM</t>
  </si>
  <si>
    <t>00521459</t>
  </si>
  <si>
    <t>CN DMH - Pantalla pegada perforadora F105</t>
  </si>
  <si>
    <t>Sin conexión con la perforadora F105, se monitorea durante el día pero entra en mantención.</t>
  </si>
  <si>
    <t>5/19/2024 08:31 AM</t>
  </si>
  <si>
    <t>5/19/2024 15:36 PM</t>
  </si>
  <si>
    <t>00521463</t>
  </si>
  <si>
    <t>MAGSA - Sin conexion a servidor</t>
  </si>
  <si>
    <t>Se contacta con Claudio Ruiz y el reinicia el tunel desde Veladero.</t>
  </si>
  <si>
    <t>5/19/2024 09:07 AM</t>
  </si>
  <si>
    <t>5/19/2024 11:24 AM</t>
  </si>
  <si>
    <t>00521479</t>
  </si>
  <si>
    <t>CN DMH - P602 Sin señal wifi</t>
  </si>
  <si>
    <t>Se revisa el equipo y se encuentra funcionando correctamente</t>
  </si>
  <si>
    <t>5/19/2024 14:54 PM</t>
  </si>
  <si>
    <t>00521480</t>
  </si>
  <si>
    <t>AMCEN - SQL_back se encola multiples veces</t>
  </si>
  <si>
    <t>Se revisa el jmineops_prod2.log y no termina su proceso, por esto se comenta el sqlserver replica (run2) para detener estos encolamientos.</t>
  </si>
  <si>
    <t>5/20/2024 12:42 PM</t>
  </si>
  <si>
    <t>00521483</t>
  </si>
  <si>
    <t>AAM - Se comunica Ericson Carvajal por problema CAEX 2CAM8381 no inicia la pantalla cuando se le instala el nuevo setup</t>
  </si>
  <si>
    <t>Se revisa el ultimo setup y el equipo si se encuentra, junto con su verificado y key necesaria.</t>
  </si>
  <si>
    <t>5/19/2024 10:54 AM</t>
  </si>
  <si>
    <t>Ericson Carvajal</t>
  </si>
  <si>
    <t>00521494</t>
  </si>
  <si>
    <t>CN DMH - Se comunica Francisco Castillo por problemas con el equipo CAEX C345, el sarhm reinicia el equipo constantemente.</t>
  </si>
  <si>
    <t>Se le informa sobre los posibles problemas del SarHm que deben estar influyendo en sus reinicios constantes.</t>
  </si>
  <si>
    <t>5/19/2024 19:46 PM</t>
  </si>
  <si>
    <t>5/19/2024 18:22 PM</t>
  </si>
  <si>
    <t>00521498</t>
  </si>
  <si>
    <t>AMCEN - Solicitud de revision C41</t>
  </si>
  <si>
    <t>Se monitorea el camión, el cual no tiene perdida del GPS en ningún momento, se le indica a Juan que lo mas probable es que el operador paso por una zona oscura por eso perdió la conexión en su momento.</t>
  </si>
  <si>
    <t>5/19/2024 20:47 PM</t>
  </si>
  <si>
    <t>5/19/2024 21:29 PM</t>
  </si>
  <si>
    <t>00521501</t>
  </si>
  <si>
    <t>AMANT - Cargador L100 no ve su polígono asignado</t>
  </si>
  <si>
    <t>Se revisa el cargador, el problema es que la tronadura solo tenia 1 polígono asignado, se crea otro polígono y el original ya es visible para el operador.</t>
  </si>
  <si>
    <t>5/19/2024 21:08 PM</t>
  </si>
  <si>
    <t>5/19/2024 21:51 PM</t>
  </si>
  <si>
    <t>Patricio Campillai</t>
  </si>
  <si>
    <t>00521506</t>
  </si>
  <si>
    <t>CNRT - Perforadora PE03 no finalizo su pozo</t>
  </si>
  <si>
    <t>Se finaliza el pozo y se le agrega la profundidad indicada por el operador.</t>
  </si>
  <si>
    <t>5/19/2024 21:48 PM</t>
  </si>
  <si>
    <t>5/19/2024 22:46 PM</t>
  </si>
  <si>
    <t>00521509</t>
  </si>
  <si>
    <t>5/19/2024 22:12 PM</t>
  </si>
  <si>
    <t>5/19/2024 22:54 PM</t>
  </si>
  <si>
    <t>00521511</t>
  </si>
  <si>
    <t>CNCHUQ - Equipos no cambian sus estados de forma automatica</t>
  </si>
  <si>
    <t>Se hace seguimiento a múltiples equipos cuando van a descargar, y todos pierden conexión cuando llegan al chancador.</t>
  </si>
  <si>
    <t>5/19/2024 23:21 PM</t>
  </si>
  <si>
    <t>5/20/2024 00:36 AM</t>
  </si>
  <si>
    <t>00521548</t>
  </si>
  <si>
    <t>Se eliminan los procesos encolados y se monitorea para que no vuelva a suceder.</t>
  </si>
  <si>
    <t>5/20/2024 03:45 AM</t>
  </si>
  <si>
    <t>5/20/2024 07:14 AM</t>
  </si>
  <si>
    <t>00521564</t>
  </si>
  <si>
    <t>AMCEN - Carpeta Hazard no actualiza</t>
  </si>
  <si>
    <t>El problema ocurrio porque uno de los importadores se quedo pegado, impidiendo que el resto se cargara.</t>
  </si>
  <si>
    <t>5/20/2024 06:22 AM</t>
  </si>
  <si>
    <t>5/20/2024 07:09 AM</t>
  </si>
  <si>
    <t>Karl Tica</t>
  </si>
  <si>
    <t>00521594</t>
  </si>
  <si>
    <t>AMCEN - Switcheo servidores</t>
  </si>
  <si>
    <t>Se investiga la razón del switcheo y se monitorea su correcto funcionamiento.</t>
  </si>
  <si>
    <t>5/20/2024 09:26 AM</t>
  </si>
  <si>
    <t>5/21/2024 19:20 PM</t>
  </si>
  <si>
    <t>00521600</t>
  </si>
  <si>
    <t>AMZAL - Pala S04 sin conexion</t>
  </si>
  <si>
    <t>Se le hace revisión al equipo S04 en la cual en una primera instancia no había comunicación, después de que Fredie Quispe realizara acciones, logramos comunicarnos perfectamente con la Pala (S04)</t>
  </si>
  <si>
    <t>5/20/2024 12:16 PM</t>
  </si>
  <si>
    <t>5/20/2024 13:45 PM</t>
  </si>
  <si>
    <t>00521612</t>
  </si>
  <si>
    <t>AMCEN - Poligono Hazzard no sube</t>
  </si>
  <si>
    <t>Se revisa el importador y no había sido subido el archivo, se ejecuta manualmente y sube sin ningún problema.</t>
  </si>
  <si>
    <t>5/20/2024 14:11 PM</t>
  </si>
  <si>
    <t>5/20/2024 16:16 PM</t>
  </si>
  <si>
    <t>00521613</t>
  </si>
  <si>
    <t>MLCC - Dar de baja cuentas MineOPS</t>
  </si>
  <si>
    <t>Se revisa en el sistema y no se encuentran cuentas asociadas a los usuarios mencionados.</t>
  </si>
  <si>
    <t>5/20/2024 16:23 PM</t>
  </si>
  <si>
    <t>5/20/2024 17:32 PM</t>
  </si>
  <si>
    <t>Mesa De Ayuda Ti-To</t>
  </si>
  <si>
    <t>00521635</t>
  </si>
  <si>
    <t>MLCC - Perforadora D103 no señal GPS</t>
  </si>
  <si>
    <t>Se revisa la perforadora D103 y se le aplica una actualizacion a su Firmware, luego se reinicia el core del equipo y muestra señal GPS</t>
  </si>
  <si>
    <t>5/20/2024 17:08 AM</t>
  </si>
  <si>
    <t>5/20/2024 18:16 PM</t>
  </si>
  <si>
    <t>Raul (Despacho)</t>
  </si>
  <si>
    <t>00521636</t>
  </si>
  <si>
    <t>CN DMH - CAEX C337 Sin conexion.</t>
  </si>
  <si>
    <t>Se revisa el equipo y no posee conexión. Luego de unas horas se soluciona y queda funciona correctamente.</t>
  </si>
  <si>
    <t>5/20/2024 17:38 PM</t>
  </si>
  <si>
    <t>5/20/2024 18:43 PM</t>
  </si>
  <si>
    <t>00521638</t>
  </si>
  <si>
    <t>CN DMH - CAEX C743 No muestra estados.</t>
  </si>
  <si>
    <t>El problema consistía en que la flota tenia mal escrito el nombre, lo que provocaba que esta no tuviese estados asignados.</t>
  </si>
  <si>
    <t>5/20/2024 17:45 AM</t>
  </si>
  <si>
    <t>5/20/2024 19:16 PM</t>
  </si>
  <si>
    <t>00521639</t>
  </si>
  <si>
    <t>AAM - Camion CEKO057 Pierde vueltas</t>
  </si>
  <si>
    <t>Se comunica Jorge Flores por el camión CEKO057 porque pierde vueltas</t>
  </si>
  <si>
    <t>5/20/2024 18:46 PM</t>
  </si>
  <si>
    <t>5/21/2024 08:24 AM</t>
  </si>
  <si>
    <t>00521661</t>
  </si>
  <si>
    <t>Se revisa el equipo, el cual presenta problemas en el GPS, se le indica a Juan que lo deben revisar en terreno.</t>
  </si>
  <si>
    <t>5/20/2024 22:07 PM</t>
  </si>
  <si>
    <t>5/20/2024 22:54 PM</t>
  </si>
  <si>
    <t>00521662</t>
  </si>
  <si>
    <t>Se entra al servidor y se encontraban detenidos los servicios sql, se vuelven a iniciar, se reinicia el IIS y ya se tienen informes nuevamente.</t>
  </si>
  <si>
    <t>5/20/2024 22:13 PM</t>
  </si>
  <si>
    <t>5/20/2024 22:17 PM</t>
  </si>
  <si>
    <t>00521674</t>
  </si>
  <si>
    <t>AMCEN - Solicitud de revision C16</t>
  </si>
  <si>
    <t>Equipo se encuentra trabajando con su GPS de forma correcta.</t>
  </si>
  <si>
    <t>5/20/2024 23:37 PM</t>
  </si>
  <si>
    <t>5/21/2024 00:06 PM</t>
  </si>
  <si>
    <t>00521687</t>
  </si>
  <si>
    <t>AMCEN - Solicitud de revision PE50</t>
  </si>
  <si>
    <t>Se intenta revisar el equipo, pero no se puede acceder a este, se le indica a Juan que no tenemos conexión, y la situación se mantiene todo el turno.</t>
  </si>
  <si>
    <t>5/21/2024 03:20 PM</t>
  </si>
  <si>
    <t>5/21/2024 03:30 PM</t>
  </si>
  <si>
    <t>00521688</t>
  </si>
  <si>
    <t>CNRI - exceso de velocidad caex 318</t>
  </si>
  <si>
    <t>Se revisa el evento de OAS, el cual llego a un exceso de velocidad de 55 KM, por desgracia no podemos corroborar la velocidad de otra forma porque en mineops el equipo se encontraba sin conexión.</t>
  </si>
  <si>
    <t>5/21/2024 03:32PM</t>
  </si>
  <si>
    <t>5/21/2024 03:57PM</t>
  </si>
  <si>
    <t>00521692</t>
  </si>
  <si>
    <t>Se monitorea el equipo el cual tiene su gps trabajando de forma correcta.</t>
  </si>
  <si>
    <t>5/21/2024 04:51PM</t>
  </si>
  <si>
    <t>5/21/2024 05:01PM</t>
  </si>
  <si>
    <t>00521693</t>
  </si>
  <si>
    <t>AMCEN - Solicitud de revision C42</t>
  </si>
  <si>
    <t>Se intenta revisar el equipo, pero este no tiene conexión.
Pasadas unas horas, se vuelve a revisar y el equipo ya esta trabajando normalmente.</t>
  </si>
  <si>
    <t>5/21/2024 04:57PM</t>
  </si>
  <si>
    <t>5/21/2024 05:19PM</t>
  </si>
  <si>
    <t>00521744</t>
  </si>
  <si>
    <t>AAM - Mantoverde - restablecer contraseña de acceso a Mine Enterprise</t>
  </si>
  <si>
    <t>Se restablece la contraseña correctamente y se valida el acceso.</t>
  </si>
  <si>
    <t>5/21/2024 15:19 PM</t>
  </si>
  <si>
    <t>5/21/2024 15:22 PM</t>
  </si>
  <si>
    <t>00521756</t>
  </si>
  <si>
    <t>CNDMH - CAEX 372 Pierde vueltas.</t>
  </si>
  <si>
    <t>CAEX 732 pierde vueltas inicialmente por recorridos muy cortos, luego se sigue monitoreando y al cambiar a un Cargador mas lejano las contabiliza de manera correcta.</t>
  </si>
  <si>
    <t>5/21/2024 10:06PM</t>
  </si>
  <si>
    <t>5/21/2024 12:34 PM</t>
  </si>
  <si>
    <t>00521757</t>
  </si>
  <si>
    <t>Se comunica Francisco Castillo por un Bull sin Conexión GPS</t>
  </si>
  <si>
    <t>Se informa a Francisco Castillo que el problema del GPS es físico.</t>
  </si>
  <si>
    <t>5/21/2024 12:42 PM</t>
  </si>
  <si>
    <t>5/21/2024 13:26PM</t>
  </si>
  <si>
    <t>00521758</t>
  </si>
  <si>
    <t>MLCC - Creacion SubEstados</t>
  </si>
  <si>
    <t>Daniel Godoy se comunica para preguntar por unos SubEstados para los equipos y si es posible su creacion.</t>
  </si>
  <si>
    <t>5/21/2024 16:08 PM</t>
  </si>
  <si>
    <t>00521759</t>
  </si>
  <si>
    <t>MLCC - Sumarizador por Servicio</t>
  </si>
  <si>
    <t>Se deja funcionando el sumarizador por servicios.</t>
  </si>
  <si>
    <t>5/21/2024 18:19 PM</t>
  </si>
  <si>
    <t>00521765</t>
  </si>
  <si>
    <t>AAM - Camion CEKO057 pantalla pegada</t>
  </si>
  <si>
    <t>Se revisa el camión CEKO057 Y se encuentra sin conexión, se da el aviso a Jorge Flores.</t>
  </si>
  <si>
    <t>5/21/2024 09:09 AM</t>
  </si>
  <si>
    <t>5/21/2024 10:20PM</t>
  </si>
  <si>
    <t>00521779</t>
  </si>
  <si>
    <t>MLCC - Botadero Duplicado</t>
  </si>
  <si>
    <t>Se revisa la duplicidad del botadero y en una primera instancia no se encontró nada, se cambia el Material asignado al botadero BOT_NORTE_4313 y se vuelve a revisar la base de datos por si se duplica, esta vez si se encontró uno extra y se elimina.</t>
  </si>
  <si>
    <t>5/21/2024 17:27 PM</t>
  </si>
  <si>
    <t>5/21/2024 18:38PM</t>
  </si>
  <si>
    <t>00521781</t>
  </si>
  <si>
    <t>AMCEN - Cargador Frontal CF233 no visualiza los dibujos del Hazard</t>
  </si>
  <si>
    <t>5/21/2024 18:37PM</t>
  </si>
  <si>
    <t>5/21/2024 19:54PM</t>
  </si>
  <si>
    <t xml:space="preserve">Alejandro </t>
  </si>
  <si>
    <t>00521787</t>
  </si>
  <si>
    <t>5/21/2024 20:08 PM</t>
  </si>
  <si>
    <t>5/21/2024 23:12 PM</t>
  </si>
  <si>
    <t>00521797</t>
  </si>
  <si>
    <t>CNDMH - C348 y 374 con exceso de alarmas CAS</t>
  </si>
  <si>
    <t xml:space="preserve">Se revisan ambos equipos, los cuales tienen una cantidad normal de alarmas , de todas formas se deriva el caso con Cesar Albornoz, el ing. de terreno </t>
  </si>
  <si>
    <t>5/21/2024 21:54 PM</t>
  </si>
  <si>
    <t>5/21/2024 22:58 PM</t>
  </si>
  <si>
    <t>00521825</t>
  </si>
  <si>
    <t>Se monitorean 4 camiones que van a cargar a dicha pala, funcionando todo de forma correcta, teniendo una pequeña diferencia entre el estado de las palas vs el de los camiones, totalmente normal, siendo no mayor a 8 u 10 segundos.</t>
  </si>
  <si>
    <t>5/22/2024 03:13 AM</t>
  </si>
  <si>
    <t>5/22/2024 04:01 AM</t>
  </si>
  <si>
    <t>00521830</t>
  </si>
  <si>
    <t>MLCC - Sin reportes actualizados en Jview</t>
  </si>
  <si>
    <t>Se reinician los servicios sql y el IIS , se revisan los datos estando todo ok, psoteriormente se llama a Viviana quien nos confirma que ya tiene información actualizada.</t>
  </si>
  <si>
    <t>5/22/2024 05:07 AM</t>
  </si>
  <si>
    <t>5/22/2024 05:31 AM</t>
  </si>
  <si>
    <t>00521879</t>
  </si>
  <si>
    <t>AMZAL - GPS Palas S03 y S04.</t>
  </si>
  <si>
    <t>Se realiza revisión de los equipos informados por Alejandro Arce y ambos equipos se encuentran operando con normalidad, GPS y estado de red se encuentran en niveles óptimos. Se envía correo con los detalles de la revisión,</t>
  </si>
  <si>
    <t>5/22/2024 8:44 AM</t>
  </si>
  <si>
    <t>5/22/2024 1:44 PM</t>
  </si>
  <si>
    <t>00521911</t>
  </si>
  <si>
    <t>Mantoverde - Revisión de CEKO055</t>
  </si>
  <si>
    <t>Equipo se encuentra sin comunicación, las configuraciones del equipo se encuentran correctas por lo que problema informado por Sebastián González es netamente falta de comunicaciones. Se llama al técnico para que pueda revisar el servicio de red.</t>
  </si>
  <si>
    <t>5/22/2024 11:30 AM</t>
  </si>
  <si>
    <t>5/22/2024 1:46 PM</t>
  </si>
  <si>
    <t>00521948</t>
  </si>
  <si>
    <t>AMCEN - Consulta estado caex 25</t>
  </si>
  <si>
    <t>Se intenta diagnosticar el equipo pero se encuentra sin comunicación. Se informa al cliente.</t>
  </si>
  <si>
    <t>5/22/2024 7:23 PM</t>
  </si>
  <si>
    <t>5/22/2024 8:01 PM</t>
  </si>
  <si>
    <t>00521949</t>
  </si>
  <si>
    <t>AMCEN - Revisar C44</t>
  </si>
  <si>
    <t>Se detecta un error en el jams del equipo por lo que se procede a eliminar la base de datos interna para una creación limpia. Al volver a levantar equipo opera con normalidad.</t>
  </si>
  <si>
    <t>5/22/2024 7:25 PM</t>
  </si>
  <si>
    <t>5/22/2024 8:00 PM</t>
  </si>
  <si>
    <t>00521959</t>
  </si>
  <si>
    <t>AMCEN - Creación de cuentas MineOps y Jview</t>
  </si>
  <si>
    <t>Se crean el usuario tanto para MineOps como para Jview stgpalacios.</t>
  </si>
  <si>
    <t>5/22/2024 8:02 PM</t>
  </si>
  <si>
    <t>5/22/2024 10:08 PM</t>
  </si>
  <si>
    <t>00521989</t>
  </si>
  <si>
    <t>CNRT - Caex 911 no cambia sus estados de manera automática</t>
  </si>
  <si>
    <t>Se revisa el equipo pero se corrompe la base de datos interna provocando que no pueda levantar JAMS. Se deriva a revisión en terreno quien termina cambiando el sar del equipo. Luego de esto levanta sin problemas.</t>
  </si>
  <si>
    <t>5/22/2024 11:58 PM</t>
  </si>
  <si>
    <t>5/23/2024 4:31 AM</t>
  </si>
  <si>
    <t>00522001</t>
  </si>
  <si>
    <t>AMZAL - Recuperar información H39</t>
  </si>
  <si>
    <t>Se buscan todos los eventos del turno del equipo H39 encontrando que efectivamente se accionó el botón emergencia por parte del operador. Se informa al cliente.</t>
  </si>
  <si>
    <t>5/23/2024 3:03 AM</t>
  </si>
  <si>
    <t>5/23/2024 5:02 AM</t>
  </si>
  <si>
    <t>00522004</t>
  </si>
  <si>
    <t>AMCEN - Caex 155 con pantalla en panel en negro</t>
  </si>
  <si>
    <t>Se realizaron acciones como reinicio remoto, a pesar de que VNC funciona correctamente. No se pudo obtener feedback por parte del cliente por lo que se informa a ingeniero residente para conocimiento y revisión.</t>
  </si>
  <si>
    <t>5/23/2024 4:20 AM</t>
  </si>
  <si>
    <t>5/23/2024 5:20 PM</t>
  </si>
  <si>
    <t>Alex Humbert</t>
  </si>
  <si>
    <t>00522030</t>
  </si>
  <si>
    <t>CNN - Conciliación Mina / Mantenimiento - Resumarización jigsaw - Semana 20</t>
  </si>
  <si>
    <t>Se realiza sumarización solicitada. Se informa vía correo al usuario.</t>
  </si>
  <si>
    <t>5/23/2024 9:53 AM</t>
  </si>
  <si>
    <t>5/23/2024 12:36 PM</t>
  </si>
  <si>
    <t>00522067</t>
  </si>
  <si>
    <t>Mantoverde - Revisión de CEKO057 y CEKO055</t>
  </si>
  <si>
    <t xml:space="preserve">
Equipos fueron trasladados a sector con mejor cobertura de red y fue posible realizar la actualización de versión y la carga de paquetes necesarios para el correcto funcionamiento. Se llama a personal de electroram quien confirma con personal de despacho el correcto funcionamiento de ambos equipos.</t>
  </si>
  <si>
    <t>5/23/2024 4:39 PM</t>
  </si>
  <si>
    <t>5/24/2024 3:03 PM</t>
  </si>
  <si>
    <t>00522092</t>
  </si>
  <si>
    <t>AMCEN - Caex 42 pegado en petrolera 2 mapa mina</t>
  </si>
  <si>
    <t>Se intentan realizar acciones en el equipo pero no es posible debido a comunicación con este.</t>
  </si>
  <si>
    <t>5/23/2024 10:19 PM</t>
  </si>
  <si>
    <t>5/23/2024 11:48 PM</t>
  </si>
  <si>
    <t>00522103</t>
  </si>
  <si>
    <t>Se realiza revisión de Jview en el servidor y no se visualiza problemas con la ejecución de reportes ni con la actualización de los datos. Procesos ligados a la reportabilidad se encuentran ejecutándose con normalidad y sin inconvenientes.</t>
  </si>
  <si>
    <t>5/24/2024 4:53 AM</t>
  </si>
  <si>
    <t>5/24/2024 6:30 AM</t>
  </si>
  <si>
    <t>00522112</t>
  </si>
  <si>
    <t>monitoreo acusa procesos de réplica encolados por lo que se realiza reinicio de los servicios del sql, con lo cual reportabilidad queda actualizada y procesos ejecutándose con normalidad.</t>
  </si>
  <si>
    <t>5/24/2024 6:26 AM</t>
  </si>
  <si>
    <t>5/24/2024 8:52 AM</t>
  </si>
  <si>
    <t>00522173</t>
  </si>
  <si>
    <t>AMCEN - Pantalla del CF231 no levanta</t>
  </si>
  <si>
    <t>Equipo no levantaba por comunicación. Una vez se recuperó la comunicación levantó sin problemas y se puede observar que la zona en donde está trabajando tiene mala señal. Se explica al cliente.</t>
  </si>
  <si>
    <t>5/24/2024 7:26 PM</t>
  </si>
  <si>
    <t>5/24/2024 8:40 PM</t>
  </si>
  <si>
    <t>00522175</t>
  </si>
  <si>
    <t>AMZAL - Perforadora con problemas en Pantalla</t>
  </si>
  <si>
    <t>Equipo mantenía pozo sin finalizar y no permitía tomar nuevos pozos. Se realiza finalización del pozo y equipo pudo tomar nuevos pozos y dejo de dar problemas el jspanel.</t>
  </si>
  <si>
    <t>5/24/2024 7:35 PM</t>
  </si>
  <si>
    <t>5/25/2024 11:12 AM</t>
  </si>
  <si>
    <t>Ricardo Tejerina</t>
  </si>
  <si>
    <t>00522178</t>
  </si>
  <si>
    <t>MLCC - Sin reportabilidad</t>
  </si>
  <si>
    <t>Se realiza una limpieza de las conexiones a la base de datos y se reinician los servicios sql en el servidor</t>
  </si>
  <si>
    <t>5/24/2024 9:41 PM</t>
  </si>
  <si>
    <t>5/24/2024 11:29 PM</t>
  </si>
  <si>
    <t>00522181</t>
  </si>
  <si>
    <t>No es posible realizar acciones remotamente por comunicación con el equipo por lo que se recomienda atención en terreno.</t>
  </si>
  <si>
    <t>5/24/2024 11:51 PM</t>
  </si>
  <si>
    <t>5/25/2024 1:27 AM</t>
  </si>
  <si>
    <t>00522185</t>
  </si>
  <si>
    <t>AMCEN - CF232 con problemas de gps</t>
  </si>
  <si>
    <t>Se monitorean los equipos de la zona pudiendo verse operando con normalidad y se le hace ping al CF232 para poder realizar acciones pero no hay, por lo que se recomienda atender en terreno.</t>
  </si>
  <si>
    <t>5/25/2024 1:30 AM</t>
  </si>
  <si>
    <t>5/25/2024 4:14 AM</t>
  </si>
  <si>
    <t>00522199</t>
  </si>
  <si>
    <t>AMZAL - Perforadora no visualiza pozo</t>
  </si>
  <si>
    <t>Pozo 73 de malla PC-ESTE2 se encuentra cerrado, este estado del pozo no permite visualizarlo en el jspanel al dar en inicio de pozo. Se llama al despacho para informar el motivo de la no visualización.</t>
  </si>
  <si>
    <t>5/25/2024 9:00 AM</t>
  </si>
  <si>
    <t>5/25/2024 10:27 AM</t>
  </si>
  <si>
    <t>Hector Angel</t>
  </si>
  <si>
    <t>00522248</t>
  </si>
  <si>
    <t>Monitoreo - MAGSA - Procesos encolados</t>
  </si>
  <si>
    <t>Revisión acusa que replica hacía servidor 179 se encontraba encolada lo que genero la detención del proceso. Se realiza reinicio de los servicios sql permitiendo normalizar la ejecución del proceso para ambos servidores (178 y 179). Proceso corriendo con normalidad y servidores sql actualizados.</t>
  </si>
  <si>
    <t>5/25/2024 12:43 PM</t>
  </si>
  <si>
    <t>5/25/2024 3:29 PM</t>
  </si>
  <si>
    <t>00522258</t>
  </si>
  <si>
    <t>Teck CDA</t>
  </si>
  <si>
    <t>Monitoreo - TECk CDA -Sharperlight y Mine Enterprise con error</t>
  </si>
  <si>
    <t>Durante monitoreo diario de mine enterprise en Teck CDA se detecta que los accesos al mine Enterprise y al servidor de BD junto al funcionamiento de sharperlight se encuentran con problemas. Se solicita ayuda a los especialistas.</t>
  </si>
  <si>
    <t>5/25/2024 3:22 PM</t>
  </si>
  <si>
    <t>00522270</t>
  </si>
  <si>
    <t>CNRT - Cambio de malla perforadora 117</t>
  </si>
  <si>
    <t>Se realiza cambio de malla en vista perforadoras.</t>
  </si>
  <si>
    <t>5/25/2024 5:55 PM</t>
  </si>
  <si>
    <t>5/25/2024 7:17 PM</t>
  </si>
  <si>
    <t>00522283</t>
  </si>
  <si>
    <t>AMCEN - Problemas avance extracción PA11 Mineops</t>
  </si>
  <si>
    <t>Se actualizan los dibujos para que los vuelva a reconocer pala y se reinicia la base de datos interna del equipo igualmente.</t>
  </si>
  <si>
    <t>5/25/2024 11:30 PM</t>
  </si>
  <si>
    <t>5/26/2024 2:02 AM</t>
  </si>
  <si>
    <t>00522289</t>
  </si>
  <si>
    <t>AMCEN - Caex 41 con problemas en pantalla</t>
  </si>
  <si>
    <t>Se monitorea el equip validando que el sistema internamente está funcionando ok. Se comenta por más información ya que parece un problema de hardware. Como no contestan se resuelve ticket.</t>
  </si>
  <si>
    <t>5/26/2024 3:06 AM</t>
  </si>
  <si>
    <t>5/26/2024 4:31 AM</t>
  </si>
  <si>
    <t>00522359</t>
  </si>
  <si>
    <t>CNDMH - Icono de red en gris</t>
  </si>
  <si>
    <t>Se realiza cambio de versión del equipo lo que permite recuperar funcionalidad del icono de red del equipo. Se informa al personal de terreno que equipo se encuentra listo.</t>
  </si>
  <si>
    <t>5/26/2024 7:55 AM</t>
  </si>
  <si>
    <t>5/26/2024 3:19 PM</t>
  </si>
  <si>
    <t>00522360</t>
  </si>
  <si>
    <t>AMANT - jview sin acceso</t>
  </si>
  <si>
    <t>Servicio de sql server se encontraba detenido, una vez iniciado el servicio página de Jview vuelve a estar en línea. Se llama al técnico residente para que informe al personal de despacho</t>
  </si>
  <si>
    <t>5/26/2024 8:13 AM</t>
  </si>
  <si>
    <t>5/26/2024 9:32 AM</t>
  </si>
  <si>
    <t>00522396</t>
  </si>
  <si>
    <t>Monitoreo - CNRT - Respaldo de BD servidor secundario</t>
  </si>
  <si>
    <t>Se realiza respaldo de bd de FMS.</t>
  </si>
  <si>
    <t>5/26/2024 2:05 PM</t>
  </si>
  <si>
    <t>5/26/2024 3:29 PM</t>
  </si>
  <si>
    <t>00522397</t>
  </si>
  <si>
    <t>Monitoreo - CNCHQ - Respaldo de BD servidor secundario</t>
  </si>
  <si>
    <t>5/26/2024 2:16 PM</t>
  </si>
  <si>
    <t>5/26/2024 3:30 PM</t>
  </si>
  <si>
    <t>00522431</t>
  </si>
  <si>
    <t>AMCEN - Caex 39 con problemas de gps</t>
  </si>
  <si>
    <t>Se revisan los sensores del equipo mostrando bad point por lo que se recomienda la revisión en terreno ya que con reinicio no se pudo recuperar buena condición.</t>
  </si>
  <si>
    <t>5/26/2024 7:38 PM</t>
  </si>
  <si>
    <t>5/27/2024 4:02 AM</t>
  </si>
  <si>
    <t>00522432</t>
  </si>
  <si>
    <t>AMCEN - Asignación petroleras</t>
  </si>
  <si>
    <t>Se aumenta la cantidad de cola que aceptan ambas petroleras y se puede ver que se están asignando equipos de manera automática</t>
  </si>
  <si>
    <t>5/26/2024 7:39 PM</t>
  </si>
  <si>
    <t>5/27/2024 4:03 AM</t>
  </si>
  <si>
    <t>00522437</t>
  </si>
  <si>
    <t>AAM - Perdida de vueltas</t>
  </si>
  <si>
    <t>Se envió correo consultando por el estado del frontal ya que se conoce que el CFCA016 trabaja sin comunicación, lo cual no permite revisar el registro de sus cargas durante el turno. Por falta de respuesta se cierra ticket.</t>
  </si>
  <si>
    <t>5/26/2024 10:00 PM</t>
  </si>
  <si>
    <t>5/28/2024 4:24 AM</t>
  </si>
  <si>
    <t>00522459</t>
  </si>
  <si>
    <t>AMZAL - Revisión de GPS</t>
  </si>
  <si>
    <t>Equipo no presenta problemas de comunicación ni con la señal de GPS. Se realiza monitoreo y no se visualizó ningún problema con la pantalla de la pala. Se envía correo al cliente con el detalle de la revisión.</t>
  </si>
  <si>
    <t>5/27/2024 6:09 AM</t>
  </si>
  <si>
    <t>5/27/2024 7:20 AM</t>
  </si>
  <si>
    <t>00522467</t>
  </si>
  <si>
    <t>MLCC - consultas información de JVIEW</t>
  </si>
  <si>
    <t xml:space="preserve">
Se envía correo al usuario con la descripción de las fórmulas de cálculo de los tempos efectivo y disponibles que se utilizan en la query del reporte resumen de producción.</t>
  </si>
  <si>
    <t>5/27/2024 7:34 AM</t>
  </si>
  <si>
    <t>5/28/2024 3:51 PM</t>
  </si>
  <si>
    <t>00522483</t>
  </si>
  <si>
    <t>AMZAL - Resumarizar día 26/05</t>
  </si>
  <si>
    <t>Sumarización finalizada sin inconvenientes.</t>
  </si>
  <si>
    <t>5/27/2024 9:15 AM</t>
  </si>
  <si>
    <t>5/27/2024 10:20 AM</t>
  </si>
  <si>
    <t>00522524</t>
  </si>
  <si>
    <t>CNN - Conciliación Mina / Mantenimiento - Resumarización jigsaw - Semana 21</t>
  </si>
  <si>
    <t>Proceso de sumarización finalizado sin inconvenientes, se informa al cliente vía correo.</t>
  </si>
  <si>
    <t>5/27/2024 1:47 PM</t>
  </si>
  <si>
    <t>5/27/2024 2:44 PM</t>
  </si>
  <si>
    <t>00522546</t>
  </si>
  <si>
    <t>Mantoverde - Revisar resultados de reporte Detalle Mantenimiento sin Cierre</t>
  </si>
  <si>
    <t>5/27/2024 3:35 PM</t>
  </si>
  <si>
    <t>00522572</t>
  </si>
  <si>
    <t>AMCEN - C08 con problemas de sistema</t>
  </si>
  <si>
    <t>Se revisan los sensores y se encuentran en correcto estado, se reinicia el equipo y se mantiene monitoreo de este determinando que opera con normalidad y en los pequeños momentos que puede congelarse el sistema es debido a comunicación.</t>
  </si>
  <si>
    <t>5/27/2024 7:42 PM</t>
  </si>
  <si>
    <t xml:space="preserve">5/27/2024 9:20 PM
</t>
  </si>
  <si>
    <t>00522576</t>
  </si>
  <si>
    <t>CNRT - Validar total de vueltas C911</t>
  </si>
  <si>
    <t>Se consigue a través de base de datos la confirmación del total de vueltas del turno.</t>
  </si>
  <si>
    <t>5/27/2024 10:32 PM</t>
  </si>
  <si>
    <t>5/28/2024 12:53 AM</t>
  </si>
  <si>
    <t>00522577</t>
  </si>
  <si>
    <t>AMZAL - L13 no actualiza línea de diseño</t>
  </si>
  <si>
    <t>Se actualiza el dibujo y se reinicia el equipo para que lo reconozca ok.</t>
  </si>
  <si>
    <t>5/27/2024 10:33 PM</t>
  </si>
  <si>
    <t>5/28/2024 12:52 AM</t>
  </si>
  <si>
    <t>00522587</t>
  </si>
  <si>
    <t>AMCEN - C53 sin sistema</t>
  </si>
  <si>
    <t>Se revisa el equipo y se encuentran en buenas condiciones los sensores. Al momento de revisar el VNC también se logra ver el equipo operando con normalidad</t>
  </si>
  <si>
    <t>5/28/2024 12:54 AM</t>
  </si>
  <si>
    <t>5/28/2024 1:45 AM</t>
  </si>
  <si>
    <t>00522592</t>
  </si>
  <si>
    <t>AMCEN - C36 con problemas de gps</t>
  </si>
  <si>
    <t>Se reinicia remotamente el equipo y se mantiene monitoreo determinando que el equipo opera con normalidad.</t>
  </si>
  <si>
    <t>5/28/2024 1:46 AM</t>
  </si>
  <si>
    <t>5/28/2024 3:26 AM</t>
  </si>
  <si>
    <t>00522599</t>
  </si>
  <si>
    <t>AMCEN - C32 con problemas de sistema</t>
  </si>
  <si>
    <t>Se realiza monitoreo del equipo sin interrupciones por lo que se determina que está operando con normalidad y el problema fue del momento</t>
  </si>
  <si>
    <t>5/28/2024 3:28 AM</t>
  </si>
  <si>
    <t>5/28/2024 4:22 AM</t>
  </si>
  <si>
    <t>00522630</t>
  </si>
  <si>
    <t>Monitoreo - DMH - Respaldo de BD servidor secundario</t>
  </si>
  <si>
    <t>5/28/2024 6:30 AM</t>
  </si>
  <si>
    <t>5/28/2024 12:44 PM</t>
  </si>
  <si>
    <t>00522695</t>
  </si>
  <si>
    <t>Monitoreo - DMH - Respaldo de BD jmineops servidor sql</t>
  </si>
  <si>
    <t>Respaldo de base de datos jmineops de servidor sql listo, el cual quedo guardado en disco externo.</t>
  </si>
  <si>
    <t>5/28/2024 1:11 PM</t>
  </si>
  <si>
    <t>5/28/2024 3:52 PM</t>
  </si>
  <si>
    <t>00522745</t>
  </si>
  <si>
    <t>AMCEN - Caex 23 con problemas de sistema</t>
  </si>
  <si>
    <t>Se detecta que a pesar de tener ping a través del servidor por mineops no existe comunicación por lo que se accede al equipo y se reinicia normalizando la situación.</t>
  </si>
  <si>
    <t>5/29/2024 1:36 AM</t>
  </si>
  <si>
    <t>5/29/2024 4:22 AM</t>
  </si>
  <si>
    <t>00522746</t>
  </si>
  <si>
    <t>Finaliza la sumarización y se informa al cliente.</t>
  </si>
  <si>
    <t>5/29/2024 1:37 AM</t>
  </si>
  <si>
    <t>Hernán Ortega</t>
  </si>
  <si>
    <t>00522754</t>
  </si>
  <si>
    <t>Se reinician los servicios sql recuperando asi el acceso a Jview</t>
  </si>
  <si>
    <t>5/29/2024 8:14 AM</t>
  </si>
  <si>
    <t>5/29/2024 8:18 AM</t>
  </si>
  <si>
    <t>Jorge despacho</t>
  </si>
  <si>
    <t>00522755</t>
  </si>
  <si>
    <t>CNDMH - Pala 601 sin comunicacion</t>
  </si>
  <si>
    <t>Se intenta conectar con el equipo, pero no devuelve ningun dato, se deriva el ticket con Cesar Albornoz quien lo dirige al personal en terreno.</t>
  </si>
  <si>
    <t>5/29/2024 8:07 AM</t>
  </si>
  <si>
    <t>5/29/2024 8:23 AM</t>
  </si>
  <si>
    <t>00522773</t>
  </si>
  <si>
    <t>AMZAL - Reinicio pala S03</t>
  </si>
  <si>
    <t>Se reinicia el equipo según lo solicitado.</t>
  </si>
  <si>
    <t>5/29/2024 10:36 AM</t>
  </si>
  <si>
    <t>5/29/2024 10:52 AM</t>
  </si>
  <si>
    <t>00522778</t>
  </si>
  <si>
    <t xml:space="preserve">Se reinician los servicios sql del servidor 59 </t>
  </si>
  <si>
    <t>5/29/2024 10:48 AM</t>
  </si>
  <si>
    <t>5/29/2024 11:32 AM</t>
  </si>
  <si>
    <t>00522803</t>
  </si>
  <si>
    <t>CNN - Consulta operadores</t>
  </si>
  <si>
    <t>Se le indica a Cristian donde esta el informe que entrega la información que esta buscando, se le indica por teléfono y queda satisfecho con lo indicado.</t>
  </si>
  <si>
    <t>5/29/2024 15:18 PM</t>
  </si>
  <si>
    <t>5/29/2024 15:33 PM</t>
  </si>
  <si>
    <t>00522804</t>
  </si>
  <si>
    <t>CNDMH - Pala 201 sin comunicacion</t>
  </si>
  <si>
    <t>Se logra establecer comunicacion con el equipo, y se le hace un reinicio.</t>
  </si>
  <si>
    <t>5/29/2024 15:24 PM</t>
  </si>
  <si>
    <t>5/29/2024 15:44 PM</t>
  </si>
  <si>
    <t>00522807</t>
  </si>
  <si>
    <t>MLCC - Tronadura no aparece en el mapa</t>
  </si>
  <si>
    <t>Se revisan las ubicaciones y se encuentra que la tronadura correspondiente al día 28, estaba deshabilitada, se deja operativa y esta vuelve a estar visible en el mapa, se llama a Viviana quien nos confirma que ya puede ver la ubicación.</t>
  </si>
  <si>
    <t>5/29/2024 16:38 PM</t>
  </si>
  <si>
    <t>5/29/2024 17:36 PM</t>
  </si>
  <si>
    <t>00522815</t>
  </si>
  <si>
    <t>AMCEN - C13 sin GPS</t>
  </si>
  <si>
    <t>Se revisa el equipo, el cual esta trabajando con su gps de forma correcta</t>
  </si>
  <si>
    <t>5/29/2024 17:39 PM</t>
  </si>
  <si>
    <t>5/29/2024 17:52 PM</t>
  </si>
  <si>
    <t>Rodolfo</t>
  </si>
  <si>
    <t>00522851</t>
  </si>
  <si>
    <t>CN CHQ - C459 No muestra vueltas en su VNC</t>
  </si>
  <si>
    <t>Se modifica un parche el cual no se habia aplicado a los equipos con winsys, se realiza la actualizacion a los 2 equipos que lo tienen instalado, y estos ya ven correctamente las descargas.</t>
  </si>
  <si>
    <t>5/30/2024 20:24 PM</t>
  </si>
  <si>
    <t>00522852</t>
  </si>
  <si>
    <t>AMCEN - Problemas con señal C36, no coincide con su ubicacion real</t>
  </si>
  <si>
    <t>Se revisa el equipo y se encuentra funcionando correctamente.</t>
  </si>
  <si>
    <t>5/30/2024 21:39 PM</t>
  </si>
  <si>
    <t>5/30/2024 22:29 PM</t>
  </si>
  <si>
    <t>00522853</t>
  </si>
  <si>
    <t>AMCEN - Problemas con señal C163, no coincide con su ubicacion real</t>
  </si>
  <si>
    <t>Se revisa el equipo y se encuentra con mala comunicacion y 59% de paquetes perdidos</t>
  </si>
  <si>
    <t>5/30/2024 01:03 AM</t>
  </si>
  <si>
    <t>5/30/2024 01:58 AM</t>
  </si>
  <si>
    <t>00522871</t>
  </si>
  <si>
    <t>AMCEN - Problemas con señal PA10</t>
  </si>
  <si>
    <t>Se intenta revisar el equipo pero no hay conexion con este.</t>
  </si>
  <si>
    <t>5/30/2024 04:17 AM</t>
  </si>
  <si>
    <t>5/30/2024 04:44 PM</t>
  </si>
  <si>
    <t>00522877</t>
  </si>
  <si>
    <t>CNDMH - Procesos SQL encolados</t>
  </si>
  <si>
    <t>Se reinician los procesos SQL server.</t>
  </si>
  <si>
    <t>5/30/2024 22:54 PM</t>
  </si>
  <si>
    <t>5/30/2024 23:50 PM</t>
  </si>
  <si>
    <t>00522880</t>
  </si>
  <si>
    <t>CN CHQ - Servicio CAS detenido</t>
  </si>
  <si>
    <t>Se vuelve a iniciar el servicio HxGN CasApi</t>
  </si>
  <si>
    <t>5/30/2024 04:26 AM</t>
  </si>
  <si>
    <t>5/30/2024 04:56 AM</t>
  </si>
  <si>
    <t xml:space="preserve">Monitoreo </t>
  </si>
  <si>
    <t>00522890</t>
  </si>
  <si>
    <t>MLCC - Diglimits no se cargan</t>
  </si>
  <si>
    <t>Se cargan los diglimits de forma manual, aun no se había ejecutado el importador que funciona cada 10 minutos.</t>
  </si>
  <si>
    <t>5/30/2024 09:59 AM</t>
  </si>
  <si>
    <t>5/30/2024 10:07 AM</t>
  </si>
  <si>
    <t>Karim despacho</t>
  </si>
  <si>
    <t>00522895</t>
  </si>
  <si>
    <t>CNTTE - Error en credenciales Renato Pino</t>
  </si>
  <si>
    <t>Se le reinicia la contraseña para que pueda acceder nuevamente.</t>
  </si>
  <si>
    <t>5/30/2024 10:24 AM</t>
  </si>
  <si>
    <t>5/30/2024 10:52 AM</t>
  </si>
  <si>
    <t>Roberto</t>
  </si>
  <si>
    <t>00522897</t>
  </si>
  <si>
    <t>MLCC - Reiniciar L221</t>
  </si>
  <si>
    <t>Equipo es reiniciado pero sigue con mala señal, se le indica a Viviana que lo revisen en terreno.</t>
  </si>
  <si>
    <t>00522934</t>
  </si>
  <si>
    <t>MLCC - Solicita Baja de Servicios: CHRISTIAN MARCELO FARIAS BECERRA</t>
  </si>
  <si>
    <t>Se revisa el usuario que piden eliminar, pero este no posee cuentas de Jview ni de mineops</t>
  </si>
  <si>
    <t>Mesa ayuda Lunding</t>
  </si>
  <si>
    <t>00522937</t>
  </si>
  <si>
    <t>Se revisa el servidor, encontrando datoas actualizados , se llama de vuelta a Francisco quien confirma que ya tiene informacion</t>
  </si>
  <si>
    <t>5/30/2024 17:55 PM</t>
  </si>
  <si>
    <t>5/30/2024 18:10 PM</t>
  </si>
  <si>
    <t>00522965</t>
  </si>
  <si>
    <t>MLCC - Problema importador</t>
  </si>
  <si>
    <t>Se revisa el importador y se encuentra funcionando correctamente, se vuelve a iniciar y sube los archivos correspondientes.</t>
  </si>
  <si>
    <t>5/30/2024 20:35 PM</t>
  </si>
  <si>
    <t>5/30/2024 21:09 PM</t>
  </si>
  <si>
    <t>00522966</t>
  </si>
  <si>
    <t>AMCEN - Problema importador Poligonos Hazard</t>
  </si>
  <si>
    <t>Se revisa los archivos a subir y nos encontramos con una extensión incorrecta en uno de ellos, se mueve a la carpeta raíz "xFer" y se vuelve a ejecutar el importador, eliminando el proceso que lo encolo, pasa de manera normal luego de estas acciones.</t>
  </si>
  <si>
    <t>5/30/2024 21:20 PM</t>
  </si>
  <si>
    <t>5/30/2024 23:12 PM</t>
  </si>
  <si>
    <t>Jaime GIO</t>
  </si>
  <si>
    <t>00522967</t>
  </si>
  <si>
    <t>Se da el aviso que la señal es intermitente, por lo que si hay algo obstruyendo el sensor del equipo, ya sea algo físico o algún tipo de luz o falta de esta que lo afecta.</t>
  </si>
  <si>
    <t>5/30/2024 22:05 PM</t>
  </si>
  <si>
    <t>5/30/2024 23:13 PM</t>
  </si>
  <si>
    <t>00522968</t>
  </si>
  <si>
    <t xml:space="preserve">CN CHQ - Problemas pantallas Tractores TO570 y TN624 </t>
  </si>
  <si>
    <t>Se revisan los equipos y se observa que el TO570 no tiene conexión con la pantalla, lo cual puede deberse a una falla en la conexión fisca del equipo. Por otro lado el TN624 se encuentra funcionando correctamente.</t>
  </si>
  <si>
    <t>5/30/2024 21:55 PM</t>
  </si>
  <si>
    <t>00522969</t>
  </si>
  <si>
    <t>Problemas con reportes Jview</t>
  </si>
  <si>
    <t>Se reinician los servicios SQL server, lo que soluciona el problema con la visualización de los reportes Jview.</t>
  </si>
  <si>
    <t>5/31/2024 02:12 AM</t>
  </si>
  <si>
    <t>5/31/2024 02:42 AM</t>
  </si>
  <si>
    <t>00522971</t>
  </si>
  <si>
    <t>Sin conexion a los Servidores</t>
  </si>
  <si>
    <t>Nos comunicamos con Luis Rios el cual nos informa que en la faena se cayo la red, por lo cual quedaron sin conexión.</t>
  </si>
  <si>
    <t>5/31/2024 03:34 AM</t>
  </si>
  <si>
    <t>5/31/2024 04:43 AM</t>
  </si>
  <si>
    <t>00522981</t>
  </si>
  <si>
    <t>CNN - FW: Budget Junio</t>
  </si>
  <si>
    <t>5/31/2024 08:05 AM</t>
  </si>
  <si>
    <t>5/31/2024 09:42 AM</t>
  </si>
  <si>
    <t>00523024</t>
  </si>
  <si>
    <t>Monitoreo - AMCEN - replicación de datos tardía</t>
  </si>
  <si>
    <t>Se revisa la replicacion la cual esta siendo mas tardia de lo normal, se detienen los servicios y se comenta la sumarizacion mientras se realizan los trabajos, se ejecuta de forma manual pasando sin ningun problema, posteriormente se realiza una sumarizacion manual , y se vuelve a ejecutar la replicacion, pasando correctamente, finalmente se levantan todos los servicios y se monitorea , estando todo normal y no encolandose nuevamente.</t>
  </si>
  <si>
    <t>5/31/2024 09:12 AM</t>
  </si>
  <si>
    <t>5/31/2024 17:46 PM</t>
  </si>
  <si>
    <t>00523059</t>
  </si>
  <si>
    <t>CNDMH - Fase 8 equipos con lentitud en el sistema</t>
  </si>
  <si>
    <t>Se revisan los equipos del sector, estando todos con buena comunicación , VNC accesible y movimiento fluido en el mapa</t>
  </si>
  <si>
    <t>5/31/2024 18:00 PM</t>
  </si>
  <si>
    <t>5/31/2024 18:46 PM</t>
  </si>
  <si>
    <t>00523066</t>
  </si>
  <si>
    <t>CNRT - Subir Archivo a Poligonos Hazard</t>
  </si>
  <si>
    <t>Se sube el archivo sin ningún problema y es cargado de manera correcta hacia la carpeta save.</t>
  </si>
  <si>
    <t>5/31/2024 20:03 PM</t>
  </si>
  <si>
    <t>5/31/2024 20:57 PM</t>
  </si>
  <si>
    <t>Jean Perrin</t>
  </si>
  <si>
    <t>00523092</t>
  </si>
  <si>
    <t>AMANT - Porblemas reportes Jview</t>
  </si>
  <si>
    <t>Se reinician los servicios SQL y IIS pero no soluciona el problema, se modifica la función dbo.ts_shift la cual hacia referencia a una variable errónea y se soluciona el problema de algunos reportes, también se observa que el proceso del run esta eliminando datos de la enum_tables, lo que provoca que fallen los reportes, se deja excluida esta tabla del run hasta encontrar solución.</t>
  </si>
  <si>
    <t>5/31/2024 23:17 PM</t>
  </si>
  <si>
    <t>00523094</t>
  </si>
  <si>
    <t>AMANT - Encolamiento replica SQL</t>
  </si>
  <si>
    <t>Se pausan el proceso de replica y se ejecuta manualmente hasta que termine y luego se vuelve a reactivar en el crontab. Esto soluciona los problemas de encolamiento.</t>
  </si>
  <si>
    <t>5/31/2024 21:24 PM</t>
  </si>
  <si>
    <t>5/31/2024 22:52 PM</t>
  </si>
  <si>
    <t>00523096</t>
  </si>
  <si>
    <t>Se revisan los archivos y se suben uno por uno hasta que sean ingresados al sistema de manera correcta.</t>
  </si>
  <si>
    <t>00523099</t>
  </si>
  <si>
    <t>AMCEN - replicación de datos tardía</t>
  </si>
  <si>
    <t>Se realiza una sumarizacion manual, y despues se ejecuta la replicacion de datos.</t>
  </si>
  <si>
    <t>00523108</t>
  </si>
  <si>
    <t>Se reinician los servicios sql , eliminando así los procesos encolados</t>
  </si>
  <si>
    <t>00523109</t>
  </si>
  <si>
    <t>CNTTE - Equipos con problema de comunicación</t>
  </si>
  <si>
    <t>Se revisan los carros, encontrando múltiples sectores caídos y algunos AP con bajo nivel de batería, se le indica lo descubierto a Roberto.</t>
  </si>
  <si>
    <t>Adolfo</t>
  </si>
  <si>
    <t>00523114</t>
  </si>
  <si>
    <t>MLCC - Cargador frontal 221 sin GPS</t>
  </si>
  <si>
    <t>Se revisa el equipo el cual tiene problemas con la antena N°2 del GPS</t>
  </si>
  <si>
    <t>00523115</t>
  </si>
  <si>
    <t>MAGSA - Lentitud en mineops</t>
  </si>
  <si>
    <t>Se revisa el servidor, se eliminan las consultas idle encoladas, se reinicia el jams y se normaliza la  carga del servidor.</t>
  </si>
  <si>
    <t>Martin</t>
  </si>
  <si>
    <t>00523116</t>
  </si>
  <si>
    <t>AMCEN - Lentitud en mineops</t>
  </si>
  <si>
    <t>Se revisa el servidor, estando todo dentro de los margenes normales, se eliminan unas cuantas consultas en idle, lo demas funcionando correctamente.</t>
  </si>
  <si>
    <t>00523118</t>
  </si>
  <si>
    <t>Se reinician los servicios sql del servidor 59</t>
  </si>
  <si>
    <t>00523122</t>
  </si>
  <si>
    <t>MLCC - Reportes con hora avanzada al descarga</t>
  </si>
  <si>
    <t>Deniel Godoy</t>
  </si>
  <si>
    <t>00523135</t>
  </si>
  <si>
    <t>CNRT - Subir Archivo Poligono Hazard</t>
  </si>
  <si>
    <t>El archivo inicialmente venia con mal formato, el cual arreglaron y volvieron a subir. Después de esto paso sin ningún problema.</t>
  </si>
  <si>
    <t>6/01/2024  20:11 PM</t>
  </si>
  <si>
    <t>00523136</t>
  </si>
  <si>
    <t>AMZAL - Sumarizacion</t>
  </si>
  <si>
    <t>Se realiza la sumarizacion del mes de mayo.</t>
  </si>
  <si>
    <t>6/01/2024  19:54 PM</t>
  </si>
  <si>
    <t>00523137</t>
  </si>
  <si>
    <t>AMCEN - Problemas reporte Jview</t>
  </si>
  <si>
    <t>Se revisa el reporte y se observa que trabaja con la tabla reasons, la cual no tenia datos porque la replica los estaba borrando, por lo tanto, se excluye la tabla reasons del run.</t>
  </si>
  <si>
    <t>6/01/2024  21:34 PM</t>
  </si>
  <si>
    <t>06-01-2024 23:30 PM</t>
  </si>
  <si>
    <t>00523138</t>
  </si>
  <si>
    <t>MLCC - Problema al importar descarga sumaria</t>
  </si>
  <si>
    <t>Daniel Godoy se comunica por problemas al importar el descarga sumarios a un excel, en el cual se presenta una variación de 4 horas en la columna "Hora Descarga"</t>
  </si>
  <si>
    <t>00523139</t>
  </si>
  <si>
    <t>MLCC - Sumarizar mes de mayo</t>
  </si>
  <si>
    <t>00523140</t>
  </si>
  <si>
    <t>CNRI - Alerta Bloqueo OAS</t>
  </si>
  <si>
    <t>Se comunica John Boyd por alertas de bloqueo en el CAEX101 y CAEX321.</t>
  </si>
  <si>
    <t>6/01/2024 23:53 PM</t>
  </si>
  <si>
    <t>00523141</t>
  </si>
  <si>
    <t xml:space="preserve">AMCEN- CF233 Sin Comunicacion </t>
  </si>
  <si>
    <t>Se revisa el equipo y se encuentra funcionando correctamente, se le da el aviso a Luis Rios y me confirma esta información.</t>
  </si>
  <si>
    <t>00523144</t>
  </si>
  <si>
    <t>AMANT - Problemas en reportes</t>
  </si>
  <si>
    <t>Se replica la información faltante al servidor replica 248 , se habla nuevamente con Fernando, quien nos confirma que ya puede ver la información correctamente.</t>
  </si>
  <si>
    <t>Fernando</t>
  </si>
  <si>
    <t>00523159</t>
  </si>
  <si>
    <t>MLCC - L221 problema de GPS</t>
  </si>
  <si>
    <t>Se intenta revisar el equipo, pero este no tiene conexión con el servidor, se le informa a Jose para que lo revisen en terreno.</t>
  </si>
  <si>
    <t>Jose</t>
  </si>
  <si>
    <t>00523161</t>
  </si>
  <si>
    <t>AMCEN - Solicitud velocidades C122</t>
  </si>
  <si>
    <t>Se rescatan las velocidades del Camión en la hora solicitada por Adolfo</t>
  </si>
  <si>
    <t>Adolfo Tica</t>
  </si>
  <si>
    <t>00523162</t>
  </si>
  <si>
    <t>MLCC - L220 problema con los poligonos</t>
  </si>
  <si>
    <t>Se revisa lo solicitado, pero se ve bien la data , se le solicita a Viviana que reinicie el mineops</t>
  </si>
  <si>
    <t>00523164</t>
  </si>
  <si>
    <t>AMZAL - Moto N°9 sin estados en los informes</t>
  </si>
  <si>
    <t>Se le crean nuevos estados a ambos equipos y se sumariza para que estos se vean reflejados en los informes.</t>
  </si>
  <si>
    <t>00523166</t>
  </si>
  <si>
    <t>CNMS - CF893 no aparece en mineops</t>
  </si>
  <si>
    <t>El problema era que los camiones no figuraban en la pestaña de rutas, el error era que habían 2 palas trabajando sin tener configurado el equipo correctamente, se le llenan las opciones faltantes y los camiones vuelven a aparecer.</t>
  </si>
  <si>
    <t>00523168</t>
  </si>
  <si>
    <t>AMCEN - Resumarización días mayo</t>
  </si>
  <si>
    <t>Se realizan las sumarizaciones solicitadas</t>
  </si>
  <si>
    <t>00523171</t>
  </si>
  <si>
    <t>AMANT - gps to local</t>
  </si>
  <si>
    <t>Se revisa la funcion que no estaba trabajando correctamente, se compara con la funcion de otra mina, siendo la misma, el error era que faltaba la tabla  projection_specs, se recargan los datos y la funcion trabaja nuevamente como corresponde.</t>
  </si>
  <si>
    <t>Javiera</t>
  </si>
  <si>
    <t>00523172</t>
  </si>
  <si>
    <t>MLCC - Importador no se carga</t>
  </si>
  <si>
    <t>Problema se genero porque habían importadores encolados que impedían que se realizara la carga, se eliminan y estos se cargan de forma correcta.</t>
  </si>
  <si>
    <t>00523176</t>
  </si>
  <si>
    <t>00523232</t>
  </si>
  <si>
    <t>CNRI - Cargar poligonos al sistema</t>
  </si>
  <si>
    <t>Se suben todos los poligonos, pero se comunica Daniela Carrillo nuevamente por solo dos que no se les asigno la fase y el material de manera automatica, por lo tanto se les aplica de manera manual.</t>
  </si>
  <si>
    <t>06-02-2024  22:14 PM</t>
  </si>
  <si>
    <t>Daniela Carrillo</t>
  </si>
  <si>
    <t>00523233</t>
  </si>
  <si>
    <t>Se realiza la sumarizacion a partir del día 13 de Mayo hasta la fecha actual.</t>
  </si>
  <si>
    <t>06-02-2024  20:26 PM</t>
  </si>
  <si>
    <t>06-03-2024  22:09 PM</t>
  </si>
  <si>
    <t>00523235</t>
  </si>
  <si>
    <t>CN CHQ - Problema Camion C163</t>
  </si>
  <si>
    <t>Según lo revisado, el equipo posee perdida de paquetes significante, por lo que verifica los problemas de señal comentados. Se da el aviso para ser revisado en terreno.</t>
  </si>
  <si>
    <t>06-02-2024  23:37 PM</t>
  </si>
  <si>
    <t>06-03-2024  23:54 PM</t>
  </si>
  <si>
    <t>00523236</t>
  </si>
  <si>
    <t>AMZAL - Problema equipo D14</t>
  </si>
  <si>
    <t>Se revisa el equipo y presenta señal inestable junto con una perdida de paquetes del 42%, se avisa a Fredy.</t>
  </si>
  <si>
    <t>00523237</t>
  </si>
  <si>
    <t>AMZAL - Problema equipo WD07 y H36</t>
  </si>
  <si>
    <t>Se revisan ambos equipos pero no se pudo establecer conexión con ninguno, se da el aviso correspondiente.</t>
  </si>
  <si>
    <t>00523248</t>
  </si>
  <si>
    <t>AMCEN - Problemas Camion C162</t>
  </si>
  <si>
    <t>Se comunica Luis Rios por el Camion C162 el cual tiene la pantalla en blanco y no cuenta las vueltas, se revisa el equipo pero no hay comunicacion con este.</t>
  </si>
  <si>
    <t>00523256</t>
  </si>
  <si>
    <t>00523259</t>
  </si>
  <si>
    <t>MLCC - Cargador 221 sin gps</t>
  </si>
  <si>
    <t>Se vuelve a revisar el L221, y sigue con el mismo problema en la antena N°2, se le comunica a Cristian, que si ya vieron el cableado tendrían que cambiar la antena para llegar a una solución definitiva.</t>
  </si>
  <si>
    <t>00523338</t>
  </si>
  <si>
    <t>00523356</t>
  </si>
  <si>
    <t>CNN - Conciliación Mina / Mantenimiento</t>
  </si>
  <si>
    <t>00523376</t>
  </si>
  <si>
    <t>AMCEN - Revisión reporte exceso de velocidad</t>
  </si>
  <si>
    <t>Se revisa el informe completamente, y se detecta que faltaba data en una tabla, al recargarla el informe vuelve a mostrar la información correctamente.</t>
  </si>
  <si>
    <t>00523428</t>
  </si>
  <si>
    <t>AMCEN - Pala P03</t>
  </si>
  <si>
    <t>Se reinicia el equipo y se soluciona el problema de pantalla pegada, se observa un 16% de paquetes perdidos en la conexion.</t>
  </si>
  <si>
    <t>06-03-2024  23:38 PM</t>
  </si>
  <si>
    <t>06-03-2024  23:57 PM</t>
  </si>
  <si>
    <t>00523429</t>
  </si>
  <si>
    <t>AMCEN - Problemas Jview</t>
  </si>
  <si>
    <t>Se observa que la información no esta siendo replicada al servidor, por lo tanto se revisa el run y se soluciona el problema, el cual era una mala sintaxis dentro del archivo.</t>
  </si>
  <si>
    <t>06-03-2024  23:42 PM</t>
  </si>
  <si>
    <t>00523430</t>
  </si>
  <si>
    <t>AMCEN - Problema CAS</t>
  </si>
  <si>
    <t>Inicialmente se guia a Camila para que le de permiso de acceso a la pagina, luego tuvo un problema a la hora de cargar un archivo topografico, el cual causo que se quedara pegada esta pagina.Luego Comunicamos a Camila Figueroa Caseres para guiarla a solucionar el problema de inicio de sesión, el cual consistía en darle permiso al navegador de acceder a la pagina.</t>
  </si>
  <si>
    <t>Camila Figueroa Caseres</t>
  </si>
  <si>
    <t>00523431</t>
  </si>
  <si>
    <t>CNRT - Problemas Reportes Jview</t>
  </si>
  <si>
    <t>Se encuentra el problema y se soluciona.</t>
  </si>
  <si>
    <t>06-03-2024  23:47 PM</t>
  </si>
  <si>
    <t>06-04-2024  00:24PM</t>
  </si>
  <si>
    <t>00523432</t>
  </si>
  <si>
    <t>CNCHUQ - Problema Jview</t>
  </si>
  <si>
    <t>Se reinician los servicios SQL y se soluciona los problemas de reportabilidad.</t>
  </si>
  <si>
    <t>06-03-2024  23:33 PM</t>
  </si>
  <si>
    <t>00523433</t>
  </si>
  <si>
    <t>CNDM - Equipos pierden Señal</t>
  </si>
  <si>
    <t>Se revisa y al pasar por una zona especifica todos los equipos pierden señal, se da el aviso para que sea revisada en terreno.</t>
  </si>
  <si>
    <t>Walter</t>
  </si>
  <si>
    <t>00523434</t>
  </si>
  <si>
    <t>MLCC - Planillas Excel Desactualizadas</t>
  </si>
  <si>
    <t>Múltiples procesos sql_back encolados, lo que provoco la desactualización de los informes.</t>
  </si>
  <si>
    <t>00523469</t>
  </si>
  <si>
    <t>AMANT - Reporte Mantencion neumaticos con problemas</t>
  </si>
  <si>
    <t>Se valida con cliente que el reporte está funcionando ok.</t>
  </si>
  <si>
    <t>00523537</t>
  </si>
  <si>
    <t>Monitoreo - AMZAL - Equipos desconectados</t>
  </si>
  <si>
    <t>Se llevó a cabo una revisión del servidor y se confirmó que todo funcionaba correctamente. Posteriormente, nos comunicamos con Isaac Cortés de despacho y le solicitamos que levantara un requerimiento al personal de redes. Este equipo fue el encargado de solucionar el problema, que efectivamente estaba relacionado con la red.</t>
  </si>
  <si>
    <t>00523538</t>
  </si>
  <si>
    <t>AMZAL - Tabla workers sin datos</t>
  </si>
  <si>
    <t>Hemos examinado la tabla en PostgreSQL y hemos notado que el valor más reciente de la secuencia workers_sequence_id es considerablemente mayor que el ID máximo en la tabla workers. Esta discrepancia está causando que la replicación elimine los datos de esta tabla y no los cargue en SQL. Además de abordar esta situación en la tabla de workers, también hemos realizado ajustes en las tablas reasons, languages, rotation y enum_table para prevenir este problema en el futuro.</t>
  </si>
  <si>
    <t>06-04-2024 20:56 PM</t>
  </si>
  <si>
    <t>06-04-2024 21:37 PM</t>
  </si>
  <si>
    <t>00523539</t>
  </si>
  <si>
    <t>MLCC - Problema JMineOPS</t>
  </si>
  <si>
    <t>Se revisa la aplicación JMineOPS, lo que nos indica que todo esta funcionando correctamente. Se le ha informado a Alejandro que es posible que su problema esté relacionado con la conectividad.</t>
  </si>
  <si>
    <t>06-04-2024  20:12 PM</t>
  </si>
  <si>
    <t>06-04-2024  22:28 PM</t>
  </si>
  <si>
    <t>00523540</t>
  </si>
  <si>
    <t>Perforadora PE53 sin señal GPS</t>
  </si>
  <si>
    <t>Tras reiniciar el equipo, se observa que la señal GPS vuelve a la normalidad</t>
  </si>
  <si>
    <t>00523584</t>
  </si>
  <si>
    <t>CNN - CE05 con problemas en cierre de ciclo</t>
  </si>
  <si>
    <t>Se determina en monitoreo que el equipo finaliza bien sus ciclos de manera automática luego de realizar un reinicio de la base de datos interna y el equipo.</t>
  </si>
  <si>
    <t>00523594</t>
  </si>
  <si>
    <t>MLCC - Camiones pierden cargas</t>
  </si>
  <si>
    <t>Se realiza una investigación con el reproductor de gps y los eventos de los equipos en el turno y se entrega un excel con la información rescatada.</t>
  </si>
  <si>
    <t>00523613</t>
  </si>
  <si>
    <t>MLCC - Agregar columna a vista Descargas(Sumario)</t>
  </si>
  <si>
    <t>Se agrega columna a la vista y se valida con cliente.</t>
  </si>
  <si>
    <t>00523627</t>
  </si>
  <si>
    <t>MLCC - Sumarización de mayo</t>
  </si>
  <si>
    <t>00523635</t>
  </si>
  <si>
    <t>MLCC - Query detalle tonelaje por hora por pala</t>
  </si>
  <si>
    <t>Se le explica al cliente que no estamos autorizados para facilitar queries.</t>
  </si>
  <si>
    <t>00523672</t>
  </si>
  <si>
    <t>AMZAL - Vista del jspanel no muestra dibujos en pala 2 y 3</t>
  </si>
  <si>
    <t>Se realiza cambio en el grosor de linea en la vista Dibujos. El nombre borde_3050 y borde_3065 estaban con un grosor de 110 y se cambió a 70 lo que permitió visualizar las líneas en el jspanel. Se llama a Raúl Torres para informar.</t>
  </si>
  <si>
    <t>00523732</t>
  </si>
  <si>
    <t>MLCC - No hay equipos conectados</t>
  </si>
  <si>
    <t>Realizando un analisis de los procesos no se encuentran errores a primera vista sin embargo no existe equipos conectados y la aplicación se congela por lo que se bota el JAMSRouter y se vuelve a levantar normalizando la situación.</t>
  </si>
  <si>
    <t xml:space="preserve">6/6/2024 9:17 AM
</t>
  </si>
  <si>
    <t>00523733</t>
  </si>
  <si>
    <t>AAM - Camión 57 no levanta aplicativo</t>
  </si>
  <si>
    <t>Se cambia la versión en vista Dispositivos y se le pide a personal de terreno que muevan el equipo a zona de mejor comunicación para que pueda descargar los parches.</t>
  </si>
  <si>
    <t>Carlos Acop</t>
  </si>
  <si>
    <t>00523771</t>
  </si>
  <si>
    <t>AMZAL - Reporte JView sin datos antes de Junio</t>
  </si>
  <si>
    <t>Se detecta que el servidor jview sqlserver no tiene la info de los planes antes de junio por lo que se vuelve a replicar la tabla completa.</t>
  </si>
  <si>
    <t>00523782</t>
  </si>
  <si>
    <t>MLCC - Consultas SQL Jigsaw Data IMMT - OPA</t>
  </si>
  <si>
    <t>Se vuelven a replicar los datos provenientes de la tabla sumaria by_custom_dumps_fc y se activa su replicación automática permitiendo que la función retorne datos ok.</t>
  </si>
  <si>
    <t>00523843</t>
  </si>
  <si>
    <t>AMCEN - Exceso de velocidad operadores</t>
  </si>
  <si>
    <t>Se solicita a ingeniero residente información al respecto, quien indica que tiene la query para obtener la información. Será enviada a primera hora por el ingeniero residente.</t>
  </si>
  <si>
    <t>00523884</t>
  </si>
  <si>
    <t>CNDMH - Actualización contraseña usuario jview</t>
  </si>
  <si>
    <t>Se actualiza la contraseña en portal Jview y valida con cliente</t>
  </si>
  <si>
    <t>00523908</t>
  </si>
  <si>
    <t>AMZAL - Perforadoras con problemas</t>
  </si>
  <si>
    <t>Se intenta acceder al D14 pero no es posible debido a problemas de comunicación. Luego se intenta con el D15 el cual tiene comunicación pero de muy mala calidad y con perdidas por lo que se determina que los problemas de la perforadora se deben a esto. Igualmente se logra acceder a revisar los sensores y se encuentran ok.</t>
  </si>
  <si>
    <t>Personal Sandvik</t>
  </si>
  <si>
    <t>00523929</t>
  </si>
  <si>
    <t>CNRI - Recuperar CAEX 116</t>
  </si>
  <si>
    <t>Se recupera por base de datos quitando el deleted_at o eliminación lógica.</t>
  </si>
  <si>
    <t>00523933</t>
  </si>
  <si>
    <t>Monitoreo - MLCC - Importador pegado</t>
  </si>
  <si>
    <t>se mata el proceso que lleva pegado mucho tiempo eliminando la cola</t>
  </si>
  <si>
    <t>00523949</t>
  </si>
  <si>
    <t>AAM - Solicitud de setup PALA004</t>
  </si>
  <si>
    <t>Se valida que esté el equipo nuevo en archivo setup y se le facilita al cliente por correo.</t>
  </si>
  <si>
    <t>00523953</t>
  </si>
  <si>
    <t>AMCEN - Problema señal GPS CA218</t>
  </si>
  <si>
    <t>Se procedió a revisar equipo y realizar un reinicio de este, dado que aparecía pegado en el mapa y sin acceso al VNC. Luego de la intervención el equipo se encuentra actualizando su posición y con el acceso al VNC operativo.</t>
  </si>
  <si>
    <t>00523957</t>
  </si>
  <si>
    <t>AMCEN - configuración estados de CA219</t>
  </si>
  <si>
    <t>La flota de los equipos CA218 y CA219 no estaba incluida en las demoras del sistema, por lo que se procedió a su inclusión en cada una de las descripciones correspondientes. Se envía correo al cliente informando.</t>
  </si>
  <si>
    <t>00523983</t>
  </si>
  <si>
    <t>AAM - Calibración del touch de pantalla</t>
  </si>
  <si>
    <t>Se le comentó al cliente las dos formas de re calibrar pantalla touch y se quedó a la espera de su respuesta para el apoyo. Como no contestó se cierra el ticket</t>
  </si>
  <si>
    <t>00523986</t>
  </si>
  <si>
    <t>AMCEN - Reporte elementos desgaste v2 no muestra datos</t>
  </si>
  <si>
    <t>Se detecta que la tabla enum_attributes, la cual alimenta la sección del filtro que no muestra datos, está vacía en SQL Server. Se revisa en postgresql y si tiene datos ahí, por lo que se intenta replicar manualmente la tabla pero no se ejecuta correctamente. Luego se procede a revisar el enum_attribute_id_seq encontrando que el last_value era enorme en comparación al último id real de la tabla por lo que se modifica para dejarlo acercado y en replica automática se carga correctamente la información en sql server</t>
  </si>
  <si>
    <t>00523988</t>
  </si>
  <si>
    <t>MLCC - Perforadora 104 no visualiza pozos</t>
  </si>
  <si>
    <t>Se realiza revisión del equipo y se aprecia que visualiza los pozos sin problemas.</t>
  </si>
  <si>
    <t>Hernán (Despacho)</t>
  </si>
  <si>
    <t>00523999</t>
  </si>
  <si>
    <t>AMCEN - Carga de archivo en carpeta Hazard</t>
  </si>
  <si>
    <t>Se realiza la carga del archivo solicitado, además de la corrección de otros 2 archivos que se encontraban encolados los cuales tenían sus nombres con caracteres que no son aceptados por el importador. Se informa vía telefónica a Rodrigo Valladares de TICA .</t>
  </si>
  <si>
    <t>00524001</t>
  </si>
  <si>
    <t>CNRT - Activaciónde malla y ubicacón</t>
  </si>
  <si>
    <t>Se realiza la carga de la ubicación y su respectiva malla, según indicaciones del líder técnico de RT Mauro Farias</t>
  </si>
  <si>
    <t>Mauro Farias</t>
  </si>
  <si>
    <t>00524007</t>
  </si>
  <si>
    <t>AMCEN - Cambio actividad caex 156 y 52</t>
  </si>
  <si>
    <t>Ambos equipos no presentaron problemas en los cambios de estado ni en las asignaciones, por lo que se descarta algún problema en el sistema. Además, las revisiones de GPS y Red muestran niveles óptimos de trabajo durante el ciclo. Se informa vía correo al cliente.</t>
  </si>
  <si>
    <t>00524011</t>
  </si>
  <si>
    <t>MLCC - Problemas con apertura de MineOps</t>
  </si>
  <si>
    <t>Se realiza revisión de funcionamiento del servidor primario no encontrando problemas, se revisan; sumarizador, procesos, consumo de recursos del servidor, actualización del postgres, equipos conectados y actualización de los servidores de reportabilidad y todo se encuentra funcionando con normalidad. Se informa al cliente y se sugiere solicitar la revisión del computador de despacho por personal Ti de Caserones.</t>
  </si>
  <si>
    <t>00524015</t>
  </si>
  <si>
    <t>AMCEN - Estados CA219</t>
  </si>
  <si>
    <t>se procedió con la inclusión de los códigos de demora restantes en la flota del equipo CA219, por lo que ahora ya tiene visible la demora de pausa activa. Se informa vía correo al cliente.</t>
  </si>
  <si>
    <t>00524024</t>
  </si>
  <si>
    <t>CNRI - Eventos de Pala 201 turno 08-06</t>
  </si>
  <si>
    <t>Se realiza una investigación de los eventos del equipo en el turno y se encuentra que efectivamente registró producción, sin embargo, en los estados se puede ver que se dejó fuera de servicio a las 11AM. Se entrega la información de los eventos y se deja en manos de ingeniero residente realizar los cambios correspondientes en MineOps</t>
  </si>
  <si>
    <t>00524025</t>
  </si>
  <si>
    <t>CNDMH - Caex 28 y 48 con problemas de sistema</t>
  </si>
  <si>
    <t>Se intenta intervenir ambos equipos, pero no contaban con comunicación por lo que deberán ser revisados en terreno. Se informa de esto a Rodrigo Gomez</t>
  </si>
  <si>
    <t>00524026</t>
  </si>
  <si>
    <t>MLCC - JSPanel en perforadora 101 no levanta</t>
  </si>
  <si>
    <t>Se detecta un error en los logs del JSPanel por lo que se realiza investigación encontrando que una malla de perforación no estaba retornando los valores necesarios para pintarlo en pantalla provocando el fallo en la aplicación y constante reinicio. Se eliminó de manera lógica esta malla y se informó al cliente que revisen para cargarla nuevamente.</t>
  </si>
  <si>
    <t>Alexis Artiigas (tres60)</t>
  </si>
  <si>
    <t>00524037</t>
  </si>
  <si>
    <t>Se revisan los procesos importadores y se puede observar uno que lleva pegado una gran cantidad de tiempo, se mata dicho proceso y se cargan sin problemas todos los archivos encolados.</t>
  </si>
  <si>
    <t>Josehp Anés</t>
  </si>
  <si>
    <t>00524045</t>
  </si>
  <si>
    <t>CNDMH - Pala 206 no reconoce camiones cargando</t>
  </si>
  <si>
    <t>Se realiza intervención del equipo P206 y P202 para lograr que los camiones reconozcan ok e igualmente por parte de despacho se dejó en demora la pala 202 por lo que queda operando ok.</t>
  </si>
  <si>
    <t>Cristian Valenzuela</t>
  </si>
  <si>
    <t>00524063</t>
  </si>
  <si>
    <t>MLCC - Sin reportabilidad en planillas excel</t>
  </si>
  <si>
    <t>Se reinician los servicios SQL Server en el servidor de reportabilidad para excel (.59).</t>
  </si>
  <si>
    <t>00524112</t>
  </si>
  <si>
    <t>CNRT - Activación de malla y ubicación</t>
  </si>
  <si>
    <t>00524132</t>
  </si>
  <si>
    <t>MLCC - Planillas excel tardan demasiado en cargar</t>
  </si>
  <si>
    <t>Se ejecuta el query que mata el exceso de usuarios y se valida monitoreando la replica a servidor espejo.</t>
  </si>
  <si>
    <t>00524165</t>
  </si>
  <si>
    <t>MLCC - Pala 202 no tiene camiones requeridos</t>
  </si>
  <si>
    <t>Se detecta que el destino al que los camiones no se estaban asignando estaba duplicado mas de 10 veces por lo que se eliminan dejando solo uno y luego se reinicia el JAMS para que vuelva a calcular las rutas LP. Se mantiene monitoreo del equipo pudiendo observar que vuelve a asignar camiones y a tener prioridad e incluso aparecer en vista de aplicación JSMTC</t>
  </si>
  <si>
    <t>00524187</t>
  </si>
  <si>
    <t>MLCC - Multiples perforadoras no reconocen mallas</t>
  </si>
  <si>
    <t>Al momento de revisar perforadora D101 y D103 no presentaban aparentes problemas con los pozos de sus mallas. No así con la D104 que no estaba mostrando los pozos correspondientes de su malla, por esta razón se volvieron a cargar manualmente los archivos copiándolos de la carpeta save a una antes /opt/Jigsaw/Clients/client/xfer/Mallas para volverlo a subir manualmente y de esta manera cargaron ok todos los puntos</t>
  </si>
  <si>
    <t>00524192</t>
  </si>
  <si>
    <t>AMZAL - Consulta sobre hardware de perforadoras precorte</t>
  </si>
  <si>
    <t>Se consulta con experto en el caso Carlos Díaz para darle una respuesta al cliente.</t>
  </si>
  <si>
    <t>00524217</t>
  </si>
  <si>
    <t>AMCEN - Revisión de Informe Ejecutivo Centinela Preliminar 3</t>
  </si>
  <si>
    <t>Para agilizar la actualización del servidor sql se dejó la réplica cada 5 minutos y no en 10 como estaba en un principio. Además, para corregir la diferencia de la fase encuentro oxe se realizó un reinicio del JAMSRouter quedando todo alineado y corregido.</t>
  </si>
  <si>
    <t>00524295</t>
  </si>
  <si>
    <t>CNN - Revisar sensores plm CE03,CE05</t>
  </si>
  <si>
    <t>Se analizan los eventos de ambos camiones y se monitorea la salida de los sensores plm internos determinando que ambos deberán ser revisados en terreno ya que no están entregando información de tolva.
Actualización.
Se hizo reinicio remoto y revisión en terreno, recuperando así el sensor de tonelaje para el camión CE05, pero sigue sin funcionar el de tolva.</t>
  </si>
  <si>
    <t xml:space="preserve">6/11/2024 2:00 PM
</t>
  </si>
  <si>
    <t>00524302</t>
  </si>
  <si>
    <t>AMZAL - Query no devuelve coordenadas</t>
  </si>
  <si>
    <t>El problema se presentó en un tabla que guarda un valor que usa la función para la conversión, este problema ya fue controlado.</t>
  </si>
  <si>
    <t>07-19-2024  16:21:00</t>
  </si>
  <si>
    <t>00524303</t>
  </si>
  <si>
    <t>AMZAL - Tabla by_shovel sin datos</t>
  </si>
  <si>
    <t>Posterior a revision, se hace Join a la tabla Workers para obtener la información del operador.
Para una mejor respuesta se crea una tabla temporal en el mismo reporte.</t>
  </si>
  <si>
    <t>00524307</t>
  </si>
  <si>
    <t>Monitoreo - CNMS - Sin conexión a servidores</t>
  </si>
  <si>
    <t>Se mantiene en contacto con ingeniero residente hasta que servidores retoman conexión</t>
  </si>
  <si>
    <t>00524309</t>
  </si>
  <si>
    <t>CRSTEN - Renovación cuenta de acceso hexagon</t>
  </si>
  <si>
    <t>Se actualiza la contraseña y facilita para que usuario pueda acceder y luego cambie a su gusto por una nueva</t>
  </si>
  <si>
    <t>00524343</t>
  </si>
  <si>
    <t>AMCEN - Cargador frontal 2 con pantalla pegada</t>
  </si>
  <si>
    <t>Se revisa el equipo encontrando una de sus antenas gps en mal estado por lo que se realizan acciones para recuperar correcto funcionamiento e igualmente se informa a equipo de terreno para su atención. Se mantendrá monitoreo del equipo</t>
  </si>
  <si>
    <t>Valentina (Despacho)</t>
  </si>
  <si>
    <t>00524348</t>
  </si>
  <si>
    <t>MLCC - Cuenta de JView</t>
  </si>
  <si>
    <t>Se actualiza la contraseña de la cuenta y se informa al cliente para su validación</t>
  </si>
  <si>
    <t>Hiroaki Tanaka</t>
  </si>
  <si>
    <t>00524379</t>
  </si>
  <si>
    <t>AMZAL - Actualizar listado de equipos auxiliares</t>
  </si>
  <si>
    <t>Se realiza la actualización de los equipos solicitados por Miguel Cáceres, borrando y creando los indicados por él . Se envía correo con los detalles del requerimiento al cliente.</t>
  </si>
  <si>
    <t>00524428</t>
  </si>
  <si>
    <t>AMCEN - Problema señal GPS C122</t>
  </si>
  <si>
    <t>Equipo se encuentra sin comunicación por lo que no fue posible realizar alguna revisión. Se informa al personal de terreno para que pueda realizar alguna revisión in situ del equipo. Cliente fue informado a través de correo.</t>
  </si>
  <si>
    <t>00524525</t>
  </si>
  <si>
    <t>MLCC -  Creacion cuentas Jview</t>
  </si>
  <si>
    <t>Carlos Contreras solicita creación de cuentas con los usuarios v-dluque y francisco.rojas las cuales se crean correctamente.</t>
  </si>
  <si>
    <t>00524526</t>
  </si>
  <si>
    <t>CNTTE - Actuzalicacion cuenta SQL</t>
  </si>
  <si>
    <t>Se actualiza la contraseña de la cuenta SQL de manera correcta del usuario JHida030</t>
  </si>
  <si>
    <t xml:space="preserve">Jorge Hidalgo </t>
  </si>
  <si>
    <t>00524531</t>
  </si>
  <si>
    <t>MLCC - Baja de cuenta Jview</t>
  </si>
  <si>
    <t>No se encuentran cuentas relacionadas a Christian Guillermo Martinez Castillo.</t>
  </si>
  <si>
    <t>Mesa de ayuda TI-TO</t>
  </si>
  <si>
    <t>00524532</t>
  </si>
  <si>
    <t>AMZAL - Problemas con señal Perforadora D10</t>
  </si>
  <si>
    <t>Revisamos la perforadora D10 la cual tiene mala señal Wifi, por lo tanto se avisa a Fredy.</t>
  </si>
  <si>
    <t>06-12-2024  14:10 PM</t>
  </si>
  <si>
    <t xml:space="preserve">Fredy </t>
  </si>
  <si>
    <t>00524543</t>
  </si>
  <si>
    <t>CNDMH - Equipos pegados en rampa</t>
  </si>
  <si>
    <t>Se revisan los equipos, los cuales ya no se encontraban encolados en la rampa, se les hace seguimiento a los que iban pasando, y no perdían conexión ni se quedaban pegados nuevamente, se le entrega la evidencia a Alberto</t>
  </si>
  <si>
    <t>00524544</t>
  </si>
  <si>
    <t>MLCC - Pozos eliminados</t>
  </si>
  <si>
    <t>Se revisan las mallas y pozos para ver si el capto deleted_at tiene algún registro de eliminación, la cual no lo tiene. También se revisan la malla 05C4040_106C que tiene las mismas coordenadas en la base de datos en comparativa con el CSV inicialmente cargado, tampoco tienen la misma cantidad de pozos, lo cual nos llevo a revisar el importador el cual no tiene ningún problema y se encontró funcionando correctamente. Se detecta que el problema fue porque subieron mal las mallas y seguirlas subiendo con distintos nombres provoco este problema.</t>
  </si>
  <si>
    <t>6/18/2024 4:59 PM</t>
  </si>
  <si>
    <t>00524546</t>
  </si>
  <si>
    <t>AMCEN - Resumen Ejecutivo 11-06-2024 - ESS</t>
  </si>
  <si>
    <t>Se revisa el informe el cual trae la data correctamente, los valores que aparecen en 0, son solamente de los planes diarios para las flotas CAT 793 y KOM 930.
Se revisa el plan M de Junio , donde figuran muchos registros en 0, se le informa a Alisson quien queda de revisar a que registros corresponde, son 599 en total y el archivo viene sin encabezado por lo que no se tiene certeza de a que hace referencia los registros en 0</t>
  </si>
  <si>
    <t>6/13/2024 5:45 PM</t>
  </si>
  <si>
    <t>00524555</t>
  </si>
  <si>
    <t>MLCC - Jview desactualizado</t>
  </si>
  <si>
    <t>Se reinician los procesos sql , permitiendo que la replicacion de datos inicie nuevamente.</t>
  </si>
  <si>
    <t>00524584</t>
  </si>
  <si>
    <t>00524599</t>
  </si>
  <si>
    <t>Se revisa el equipo, el cual tiene problemas en su antena N°2 se le indica a Juan que deben revisar el equipo en terreno.</t>
  </si>
  <si>
    <t>00524672</t>
  </si>
  <si>
    <t>CNRI - Problemas Cargadores frontales CF1901 y CF1902</t>
  </si>
  <si>
    <t>Se comunica Daniela de CIO por los cargadores frontales CF1901 y CD1902 que fueron creados hace poco, los cuales no se les puede asignar estado, polígonos ni descarga.</t>
  </si>
  <si>
    <t>6-13-2024 17:02 PM</t>
  </si>
  <si>
    <t>00524678</t>
  </si>
  <si>
    <t>CNDMH - Cambio IP B409</t>
  </si>
  <si>
    <t>Se le hace el cambio de IP al equipo en los Devices, la cual estaba apuntando a la IP física del equipo en vez de la flotante, por lo tanto se eliminaron los anteriores certificados y llaves y se volvió a crear un setup nuevo con la configuración correcta.</t>
  </si>
  <si>
    <t>6-13-2024 17:31 PM</t>
  </si>
  <si>
    <t>6-13-2024 19:56 PM</t>
  </si>
  <si>
    <t>00524701</t>
  </si>
  <si>
    <t>AMCEN - Solicitud de revision C218</t>
  </si>
  <si>
    <t>Se revisan las configuraciones y la flota del equipo, no estaba incluida para figurar con las reservas, se le agregan las mismas que a los demás camiones, quedando con todas las opciones disponibles.</t>
  </si>
  <si>
    <t>6-13-2024 23:46 PM</t>
  </si>
  <si>
    <t>6-14-2024 00:34 PM</t>
  </si>
  <si>
    <t>00524706</t>
  </si>
  <si>
    <t>AMCEN - Solicitud de revision C218 - 219 KPI</t>
  </si>
  <si>
    <t>El problema acá era similar, el estado con el cual estuvo fuera de servicio el equipo, no lo tenia asignado, se le asigna, se sumariza y queda listo.</t>
  </si>
  <si>
    <t>6-14-2024 00:47 PM</t>
  </si>
  <si>
    <t>6-14-2024 01:10 PM</t>
  </si>
  <si>
    <t>00524731</t>
  </si>
  <si>
    <t>AMCEN - Solicitud de revision C153</t>
  </si>
  <si>
    <t>Se reinica el equipo, recuperando asi la pantalla.</t>
  </si>
  <si>
    <t>6-14-2024 07:30 PM</t>
  </si>
  <si>
    <t>6-14-2024 07:42 PM</t>
  </si>
  <si>
    <t>00524735</t>
  </si>
  <si>
    <r>
      <t>No se encuentran cuentas relacionadas a </t>
    </r>
    <r>
      <rPr>
        <sz val="10"/>
        <color theme="1"/>
        <rFont val="Aptos"/>
        <family val="2"/>
        <charset val="1"/>
      </rPr>
      <t>CRISTIAN ANDRES TOBAR VERAGUA.</t>
    </r>
  </si>
  <si>
    <t>6-14-2024 08:31 AM</t>
  </si>
  <si>
    <t>6-14-2024 08:44 AM</t>
  </si>
  <si>
    <t>00524758</t>
  </si>
  <si>
    <t>CNRT - Problema GPS CAEX C322</t>
  </si>
  <si>
    <t>Se reinicia el corp del equipo y se visualiza su correcto funcionamiento.</t>
  </si>
  <si>
    <t>6-14-2024 11:50 AM</t>
  </si>
  <si>
    <t>6-14-2024 12:23 PM</t>
  </si>
  <si>
    <t>00524761</t>
  </si>
  <si>
    <t>CNRI - Subir Poligono al sistema.</t>
  </si>
  <si>
    <t>Se sube el poligono a la carpeta correspondiente y se espera que el importador sea ejecutado, el cual sube el archivo correctamente.</t>
  </si>
  <si>
    <t>6-14-2024 12:52 PM</t>
  </si>
  <si>
    <t>6-14-2024 14:57 PM</t>
  </si>
  <si>
    <t>00524780</t>
  </si>
  <si>
    <t>CNMS - Tabla Workers sin datos.</t>
  </si>
  <si>
    <t>Se modifica el last_value de la tabla workers_id_seq la cual tenia un valor muy superior al id de la tabla workers. Con esto se recuperan los datos.</t>
  </si>
  <si>
    <t>6-14-2024 15:59 PM</t>
  </si>
  <si>
    <t>6-14-2024 16:38 PM</t>
  </si>
  <si>
    <t>00524782</t>
  </si>
  <si>
    <t>CNDMH - Problema Vista Detalle por Turno</t>
  </si>
  <si>
    <t>Se revisan las configuraciones y permisos para la vista del usuario cguaj009, el cual se encuentra correctamente configurado. También se prueba la cuenta desde otro equipo, en donde si se le muestra correctamente la vista. Por lo tanto el problema se basa en una actualización de JMineOPS la cual se debe hacer por personal en terreno.</t>
  </si>
  <si>
    <t>6-14-2024 17:32 PM</t>
  </si>
  <si>
    <t>6-14-2024 19:14 PM</t>
  </si>
  <si>
    <t>Carolina Guajardo</t>
  </si>
  <si>
    <t>00524791</t>
  </si>
  <si>
    <t>CNDMH - Problema Perforadora F105</t>
  </si>
  <si>
    <t>No se logra tener conexión con el equipo, el cual se encuentra en mantención.</t>
  </si>
  <si>
    <t>6-14-2024 18:50 PM</t>
  </si>
  <si>
    <t>6-14-2024 19:06 PM</t>
  </si>
  <si>
    <t>00524795</t>
  </si>
  <si>
    <t>CNRI - Equipos no cambian sus estados</t>
  </si>
  <si>
    <t>Se configuran los códigos para que los equipos tengan los estados correspondientes.</t>
  </si>
  <si>
    <t>06-14-2024  20:39:00</t>
  </si>
  <si>
    <t>06-14-2024  21:02:00</t>
  </si>
  <si>
    <t>Guillermo</t>
  </si>
  <si>
    <t>00524796</t>
  </si>
  <si>
    <t>AMANT - L100 no ve su poligono</t>
  </si>
  <si>
    <t>Problema se debe a que era el único polígono dentro de la tronadura, se crea otro y la perforadora ya lo puede visualizar.</t>
  </si>
  <si>
    <t>06-14-2024  21:07:00</t>
  </si>
  <si>
    <t>06-14-2024  21:42:00</t>
  </si>
  <si>
    <t>00524799</t>
  </si>
  <si>
    <t>MLCC - Solicita cargar polígonos tronadura</t>
  </si>
  <si>
    <t>Se cargan los archivos solicitados en el sistema.</t>
  </si>
  <si>
    <t>06-14-2024  21:30:00</t>
  </si>
  <si>
    <t>06-14-2024  22:38:00</t>
  </si>
  <si>
    <t>00524805</t>
  </si>
  <si>
    <t>AMCEN - Solicitud de revision de PE53</t>
  </si>
  <si>
    <t>06-14-2024  22:39:00</t>
  </si>
  <si>
    <t>06-14-2024  23:12:00</t>
  </si>
  <si>
    <t>00524809</t>
  </si>
  <si>
    <t>CNDMH - C302 sin GPS</t>
  </si>
  <si>
    <t>06-15-2024  00:08:00</t>
  </si>
  <si>
    <t>06-15-2024  00:17:00</t>
  </si>
  <si>
    <t>Albaro</t>
  </si>
  <si>
    <t>00524826</t>
  </si>
  <si>
    <t>CNDMH - Pantallas pegadas Camion C328 y Regador R501</t>
  </si>
  <si>
    <t>Se revisan los equipos pero no hay conexión con ninguno de los dos, como observación el CAEX 328 esta Fuera de Servicio</t>
  </si>
  <si>
    <t>06-15-2024  09:39 AM</t>
  </si>
  <si>
    <t>06-15-2024  10:06 AM</t>
  </si>
  <si>
    <t>00524838</t>
  </si>
  <si>
    <t>MLCC - Equipo sin Señal</t>
  </si>
  <si>
    <t>Se revisa el equipo y inicialmente se encuentra con una perdida de paquetes del 40%, luego de esperar un tiempo, este se normaliza y se puede observar su funcionamiento mediante el VNC, no obstante, sigue con una perdida de paquetes considerable (24%).</t>
  </si>
  <si>
    <t>06-15-2024  16:57 PM</t>
  </si>
  <si>
    <t>06-15-2024  18:03 PM</t>
  </si>
  <si>
    <t>Raul Olivares</t>
  </si>
  <si>
    <t>00524839</t>
  </si>
  <si>
    <t>AMZAL - Problemas equipo L13</t>
  </si>
  <si>
    <t>Se revisa la Pala L13, la cual tiene una conexión inestable y se encuentra con una perdida de paquetes que llega hasta al 80%. Se le comunica a Fredy para que este al tanto.</t>
  </si>
  <si>
    <t>06-15-2024  18:10 PM</t>
  </si>
  <si>
    <t>06-15-2024  19:03 PM</t>
  </si>
  <si>
    <t>00524843</t>
  </si>
  <si>
    <t>CNRT - SAR Caex 911</t>
  </si>
  <si>
    <t xml:space="preserve">Se revisa el SAR del equipo, el cual estaba configurado correctamente, con sus puertos correspondientes levantados. </t>
  </si>
  <si>
    <t>06-15-2024  22:05:00</t>
  </si>
  <si>
    <t>06-15-2024  22:26:00</t>
  </si>
  <si>
    <t>00524844</t>
  </si>
  <si>
    <t xml:space="preserve">	
CNDMH - C345 problemas de asignacion</t>
  </si>
  <si>
    <t>Se reinicia el equipo correctamente, pero este sigue reiniciándose de forma constante, ademas no se puede acceder al JAMS del mismo equipo, se sigue intentando de diversos modos poder recuperar el equipo, pero no es posible, se le devuelve el llamado a Albaro. indicando que es necesario reinstalar el sistema en el equipo.</t>
  </si>
  <si>
    <t>06-16-2024  00:01:00</t>
  </si>
  <si>
    <t>06-16-2024  01:16:00</t>
  </si>
  <si>
    <t>00524845</t>
  </si>
  <si>
    <t>Se revisa la petición de Nestor, pero se detecta que la cuenta de usuario indicada no existe, se le devuelve el llamado preguntando hace cuanto no hace uso de su cuenta, nos responde que hace mas de 3 meses, por lo que se le indica que seguramente su cuenta fue borrada, algo común en Codelco, y se le indica que para crear otra  cuenta, nos debe hacer un correo y ser derivado para su posterior aprobación, pero Nestor finalmente no nos hace el correo correspondiente, por lo que la solicitud no es realizada.</t>
  </si>
  <si>
    <t>06-15-2024  23:34:00</t>
  </si>
  <si>
    <t>06-15-2024  23:48:00</t>
  </si>
  <si>
    <t>Nestor</t>
  </si>
  <si>
    <t>00524854</t>
  </si>
  <si>
    <t>CNRT - Perfo 110 ubicación errónea</t>
  </si>
  <si>
    <t>Se realiza el cambio de ubicación, usando la perfo 112 como punto de referencia tal cual nos lo indica Javier.</t>
  </si>
  <si>
    <t>06-16-2024  03:37:00</t>
  </si>
  <si>
    <t>06-16-2024  03:58:00</t>
  </si>
  <si>
    <t>00524869</t>
  </si>
  <si>
    <t>Monitoreo - CNCHUQ - Servicio CAS Detenido</t>
  </si>
  <si>
    <t>Se encuentra el servicio CAS API detenido, se vuelve a iniciar y queda funcionando correctamente.</t>
  </si>
  <si>
    <t xml:space="preserve">06-16-2024 08:06 </t>
  </si>
  <si>
    <t>06-16-2024 08:16</t>
  </si>
  <si>
    <t>00524870</t>
  </si>
  <si>
    <t>MLCC - Alerta Ciber Seguridad</t>
  </si>
  <si>
    <t>Se le comunica a Benjamin que esta IP esta relacionada con el servidor SSH de Hexagon, la cual esta declarada en el Tunel del servidor.</t>
  </si>
  <si>
    <t>06-16-2024 08:19</t>
  </si>
  <si>
    <t>06-16-2024 11:19</t>
  </si>
  <si>
    <t>Benjamin Mixto</t>
  </si>
  <si>
    <t>00524880</t>
  </si>
  <si>
    <t>MAGSA - Problema Importador</t>
  </si>
  <si>
    <t>Revisando el servidor, nos damos cuenta de varios factores que provocan esto, el primero seria que tienen 3 carpetas xFer con distintos nombres, en la cual la xFer original no tiene ninguna carpeta dentro. Por lo visto, también están subiendo los archivos al servidor secundario y no al primario, por lo que tampoco el importador encuentra ningún archivo y por lo tanto no sube nada. La solucion fue crearle una carpeta de Mallas en la xFer y mover los archivos ahí y así el importador los sube sin problemas.</t>
  </si>
  <si>
    <t>06-16-2024 15:20</t>
  </si>
  <si>
    <t>06-17-2024 08:47</t>
  </si>
  <si>
    <t>Ricardo Laya</t>
  </si>
  <si>
    <t>00524888</t>
  </si>
  <si>
    <t>AMCEN - Problema Distribucion de Region</t>
  </si>
  <si>
    <t>Se logra encontrar el problema, el cual consistía en que un equipo eliminado estaba fijado a la region F03 ESPSUR, este equipo eliminado seguía apareciendo en el sistema, mientras que en la base de datos si estaba eliminado, por lo tanto, se volvió a eliminar del sistema y así logrando que la distribucion de region volviera a funcionar correctamente.</t>
  </si>
  <si>
    <t>06-16-2024 12:35</t>
  </si>
  <si>
    <t>06-16-2024 19:58</t>
  </si>
  <si>
    <t>00524889</t>
  </si>
  <si>
    <t>MLCC - Subir Archivo al sistema</t>
  </si>
  <si>
    <t>Se suben los modelos de bloque de manera correcta al sistema.</t>
  </si>
  <si>
    <t>06-16-2024 18:53</t>
  </si>
  <si>
    <t>06-16-2024 19:41</t>
  </si>
  <si>
    <t>Rodrigo Schiller</t>
  </si>
  <si>
    <t>00524898</t>
  </si>
  <si>
    <t>CNRT - Informe KPI no muestra informacion</t>
  </si>
  <si>
    <t>El problema era que en el turno de día se agrego una nueva flota al sistema, se omite esa flota en el informe, entregando información nuevamente.</t>
  </si>
  <si>
    <t>06-16-2024  20:40</t>
  </si>
  <si>
    <t>00524905</t>
  </si>
  <si>
    <t>MLCC - Perfo 101 sin GPS</t>
  </si>
  <si>
    <t>Se revisa el equipo, el cual a primeras parecia estar trabajando bien, pero tenia pequeños pestañeos en la señal del GPS, resultando ser la antena N°2 la cual a ratos entregaba mala señal, se le avisa a Mauricio que la deben revisar en terreno.</t>
  </si>
  <si>
    <t>06-16-2024  21:12</t>
  </si>
  <si>
    <t>06-16-2024  21:58</t>
  </si>
  <si>
    <t>Mauricio despacho</t>
  </si>
  <si>
    <t>00524909</t>
  </si>
  <si>
    <t>AMCEN - Fwd: carpeta hazard no actualiza</t>
  </si>
  <si>
    <t>Se estaban en colando los importadores, porque uno de los archivos que subieron estaba con problemas, el segundo archivo es cargado sin problemas, se les indica el error y posteriormente suben otro archivo el cual se carga correctamente.</t>
  </si>
  <si>
    <t>06-16-2024  22:13</t>
  </si>
  <si>
    <t>06-16-2024  22:55</t>
  </si>
  <si>
    <t>Marcelo Hexagon</t>
  </si>
  <si>
    <t>00524915</t>
  </si>
  <si>
    <t>06-16-2024  22:45</t>
  </si>
  <si>
    <t>06-17-2024  00:22</t>
  </si>
  <si>
    <t>00524919</t>
  </si>
  <si>
    <t>CNRT - Finalizacion de pozo</t>
  </si>
  <si>
    <t>Se finaliza el pozo manualmente, ingresando los metros que nos entrego Javier.</t>
  </si>
  <si>
    <t>06-17-2024  01:39</t>
  </si>
  <si>
    <t>06-17-2024  02:01</t>
  </si>
  <si>
    <t>00524946</t>
  </si>
  <si>
    <t>MLCC - Destinos Rechazados</t>
  </si>
  <si>
    <t>Se revisa el destinos y este se encuentra duplicado, por lo que se eliminan las copias del destino DL_E3.5</t>
  </si>
  <si>
    <t>06-17-2024 09:15</t>
  </si>
  <si>
    <t>06-17-2024 09:30</t>
  </si>
  <si>
    <t>00524956</t>
  </si>
  <si>
    <t>Monitoreo - AMCEN - Multiples procesos sql encolados</t>
  </si>
  <si>
    <t>Se detienen los procesos de replica desde el crontab y se ejecuta manualmente el run, se espera a que pase por completo y se vuelve a descomentar.</t>
  </si>
  <si>
    <t>06-17-2024 10:14</t>
  </si>
  <si>
    <t>06-17-2024 10:43</t>
  </si>
  <si>
    <t>00524966</t>
  </si>
  <si>
    <t>MAGSA - Problema Malla Subida</t>
  </si>
  <si>
    <t>Se vuelve a subir el archivo con el nombre correcto esta vez.</t>
  </si>
  <si>
    <t>06-17-2024 12:16</t>
  </si>
  <si>
    <t>06-17-2024 13:12</t>
  </si>
  <si>
    <t>00524986</t>
  </si>
  <si>
    <t>AMCEN - Problema Jview</t>
  </si>
  <si>
    <t>Se observan los servicios SQL detenidos, los cuales Alisson los vuelve a levantar sin que la pagina volviese. La solución final fue reiniciar el IIS con lo que normalizo el Jview y levanto sin problemas.</t>
  </si>
  <si>
    <t>06-17-2024 08:13</t>
  </si>
  <si>
    <t>06-17-2024 08:30</t>
  </si>
  <si>
    <t>00524987</t>
  </si>
  <si>
    <t>Se detienen las replicas (run y run2) en el crontab para realizarlas de manera manual hasta que pase, tambien se reinician los servicios SQL del servidor 58 el cual era el que estaba ocasionando problemas.</t>
  </si>
  <si>
    <t xml:space="preserve">06-17-2024 14:32 </t>
  </si>
  <si>
    <t>06-17-2024 16:49</t>
  </si>
  <si>
    <t>00524991</t>
  </si>
  <si>
    <t>CAPCNN - Sumarizacion</t>
  </si>
  <si>
    <t>Se sumariza desde el 31/05/2024 hasta la fecha actual, asi completando el mes de junio hasta el momento.</t>
  </si>
  <si>
    <t>06-17-2024 16:39</t>
  </si>
  <si>
    <t>06-17-2024 18:10</t>
  </si>
  <si>
    <t>00525003</t>
  </si>
  <si>
    <t>Se suben las Mallas a la carpeta correspondiente y el importador las carga al sistema sin problemas.</t>
  </si>
  <si>
    <t>06-17-2024 15:12</t>
  </si>
  <si>
    <t>06-17-2024 16:03</t>
  </si>
  <si>
    <t>00525009</t>
  </si>
  <si>
    <t>MLCC - Acceso a carpeta Xfer</t>
  </si>
  <si>
    <t>Se entregan las credenciales para poder agregar la carpeta, y un instructivo de como hacerlo.</t>
  </si>
  <si>
    <t>06-17-2024 20:01</t>
  </si>
  <si>
    <t>06-17-2024 20:2</t>
  </si>
  <si>
    <t>00525011</t>
  </si>
  <si>
    <t>CNRI - Caex 123 y 114 problemas de GPS</t>
  </si>
  <si>
    <t>Se intentan revisar los equipos, pero por desgracia no tenemos acceso al VNC , por lo que solo se puede hacer un reinicio del sistema , no corroborar que el equipo tenga buena calidad del gps o no.</t>
  </si>
  <si>
    <t>06-17-2024 20:55</t>
  </si>
  <si>
    <t>06-17-2024 22:12</t>
  </si>
  <si>
    <t>Nelson</t>
  </si>
  <si>
    <t>00525013</t>
  </si>
  <si>
    <t>CNRT - equipos no cambian sus estados</t>
  </si>
  <si>
    <t>Se les hace seguimiento a ambos equipos, estos cambian correctamente su estado al momento de cargar y de descargar, pero en el destino casi no tienen conexión , por lo que un retraso en su estado es totalmente normal, cosa que no ocurrió mientras fueron monitoreados.</t>
  </si>
  <si>
    <t>06-18-2024 01:39</t>
  </si>
  <si>
    <t>06-18-2024 03:06</t>
  </si>
  <si>
    <t>00525077</t>
  </si>
  <si>
    <t>AMZAL - Reporte exceso de Velocidad</t>
  </si>
  <si>
    <t>Se modifica el reporte de sobre velocidad, que estaba configurado cada media hora, por lo que se cambia cada 12 horas a partir desde las 07:15.</t>
  </si>
  <si>
    <t>06-18-2024 10:45</t>
  </si>
  <si>
    <t>06-18-2024 13:27</t>
  </si>
  <si>
    <t>00525080</t>
  </si>
  <si>
    <t>06-18-2024 08:19</t>
  </si>
  <si>
    <t>06-18-2024 09:12</t>
  </si>
  <si>
    <t>00525081</t>
  </si>
  <si>
    <t>CNDMH - Sistema Caido</t>
  </si>
  <si>
    <t>Se revisa el log del JAMS el cual mostraba un error de que no encontraba la conexión a la base de datos. Se revisa el nombre al cual estaba haciendo la conexión y se cambia en el archivo host, se levanta correctamente después de esto.</t>
  </si>
  <si>
    <t>06-18-2024 10:50</t>
  </si>
  <si>
    <t>06-18-2024 10:57</t>
  </si>
  <si>
    <t>00525082</t>
  </si>
  <si>
    <t xml:space="preserve">CNRT - Problema job CAS </t>
  </si>
  <si>
    <t>El problema se baso en que en la tabla temporal de StageDeviceEquipment tenia un registro que estaba causando problemas, por lo tanto, se le realizo un truncate a la tabla y esto hizo que el JOBS corriera de manera normal.</t>
  </si>
  <si>
    <t>06-18-2024 08:16</t>
  </si>
  <si>
    <t>06-18-2024 16:10</t>
  </si>
  <si>
    <t>Leandro Gonzalez</t>
  </si>
  <si>
    <t>00525119</t>
  </si>
  <si>
    <t>MAGSA - Problema para subir Hazard</t>
  </si>
  <si>
    <t>Se observa que en el servidor primario no tienen dentro de la carpeta xfer la subcarpeta de Hazard, por lo que se crea manualmente, despues se suben los archivos en esa ubicacion y el importador los carga de manera correcta</t>
  </si>
  <si>
    <t>06-18-2024 13:13</t>
  </si>
  <si>
    <t>06-18-2024 14:57</t>
  </si>
  <si>
    <t>00525138</t>
  </si>
  <si>
    <t>AMCEN - Creacion Certificado CA212</t>
  </si>
  <si>
    <t>La creación de certificados para los equipos no esta funcionando en el servidor primario por una incompatibilidad con la versión del ubuntu, por lo tanto, se crean estos en el servidor 10.7.200.6 ya que este servidor tiene la versión 16. Se hace la creación normal del certificado para el equipo CA212 revisando antes que no este creado y luego se copian estos archivos al servidor primario, en donde se sigue con la creación del setup. Para finalizar se copian tambien en el servidor secundario por si se llegase a switchear los servidores.</t>
  </si>
  <si>
    <t>06-18-2024 12:46</t>
  </si>
  <si>
    <t>06-18-2024 16:27</t>
  </si>
  <si>
    <t>00525141</t>
  </si>
  <si>
    <t>CNTTE - Actualizacion cuenta SQL</t>
  </si>
  <si>
    <t>Se le hace un cambio de contraseña a la cuenta JAfan001 ya que esta se encontraba expirada, dejándola así nuevamente con acceso a SQL.</t>
  </si>
  <si>
    <t>06-18-2024 17:01</t>
  </si>
  <si>
    <t>06-18-2024 17:36</t>
  </si>
  <si>
    <t>Ricardo Castillo</t>
  </si>
  <si>
    <t>00525158</t>
  </si>
  <si>
    <t>06-18-2024 20:45</t>
  </si>
  <si>
    <t>06-18-2024 21:56</t>
  </si>
  <si>
    <t>00525190</t>
  </si>
  <si>
    <t>AMCEN - Solicitud de revision de C130</t>
  </si>
  <si>
    <t>Se reinicia el equipo, recuperando así su pantalla.</t>
  </si>
  <si>
    <t>06-19-2024 04:27</t>
  </si>
  <si>
    <t>06-19-2024 04:45</t>
  </si>
  <si>
    <t>00525229</t>
  </si>
  <si>
    <t>AMZAL - Consumo de cpu elevado</t>
  </si>
  <si>
    <t xml:space="preserve">
Se realiza revisión de los procesos encontrando un importador pegado, se realiza un killer del proceso para bajar el consumo de los recursos de la cpu.</t>
  </si>
  <si>
    <t>6/19/2024 6:55 AM</t>
  </si>
  <si>
    <t>6/19/2024 3:05 PM</t>
  </si>
  <si>
    <t>00525235</t>
  </si>
  <si>
    <t>MAGSA - Perdida de comunicación MineOps</t>
  </si>
  <si>
    <t>Posterior a reinicio de JAMSweb2 el servidor principal vuelve a la normalidad, se deja de perder las conexiones con los equipos, y mejora funcionamiento de MineOps.</t>
  </si>
  <si>
    <t>6/19/2024 7:39 AM</t>
  </si>
  <si>
    <t>6/19/2024 9:40 AM</t>
  </si>
  <si>
    <t>00525245</t>
  </si>
  <si>
    <t>CNTTE - Actualización cuenta SQL</t>
  </si>
  <si>
    <t>Se genera cambio de contraseña para el usuario "JAfan001", esta es enviada mediante correo electrónico.</t>
  </si>
  <si>
    <t>6/19/2024 9:32 AM</t>
  </si>
  <si>
    <t>6/19/2024 11:06 AM</t>
  </si>
  <si>
    <t>00525251</t>
  </si>
  <si>
    <t>CNTTE - Revisión Reason de estados y flotas.</t>
  </si>
  <si>
    <t>Se hacer una extracción de los datos referente a los estados que actualmente existente en las diferentes flotas de equipos mina. Luego se hace un ordenamiento de estos y es enviado mediante correo electrónico.</t>
  </si>
  <si>
    <t>6/19/2024 10:11 AM</t>
  </si>
  <si>
    <t>6/21/2024 4:45 PM</t>
  </si>
  <si>
    <t>00525272</t>
  </si>
  <si>
    <t>AMCEN - Integración a setup de Equipos CA220, CA221, PE68</t>
  </si>
  <si>
    <t>Se finaliza la creación de los equipos CA220, CA221 y PE68 y se extrae el Setup actualizado.</t>
  </si>
  <si>
    <t>6/19/2024 2:12 PM</t>
  </si>
  <si>
    <t>6/20/2024 4:00 PM</t>
  </si>
  <si>
    <t>00525292</t>
  </si>
  <si>
    <t>MLCC - Camión C31 se va a reserva teniendo el destino ok</t>
  </si>
  <si>
    <t>Se detectan destinos duplicados y problemas en general con Descargas (DL_E3.5 y BOT_INFERIOR_4265) por lo que se eliminan los duplicados y se realiza monitoreo de estos hasta que se termina normalizando la situación.</t>
  </si>
  <si>
    <t>6/19/2024 5:42 PM</t>
  </si>
  <si>
    <t>6/19/2024 11:17 PM</t>
  </si>
  <si>
    <t>00525295</t>
  </si>
  <si>
    <t>AMZAL - Problema en envío automático de reporte exceso de velocidad</t>
  </si>
  <si>
    <t>6/19/2024 6:38 PM</t>
  </si>
  <si>
    <t>00525322</t>
  </si>
  <si>
    <t>CNDMH - Zona botadero sin conexión</t>
  </si>
  <si>
    <t>Se envía personal a terreno a chequear el Access Point, posterior a revisión, este levanta normalmente y queda operativo.</t>
  </si>
  <si>
    <t>6/19/2024 8:39 PM</t>
  </si>
  <si>
    <t>6/20/2024 8:21 AM</t>
  </si>
  <si>
    <t>00525342</t>
  </si>
  <si>
    <t>AMCEN - Revisar CA212</t>
  </si>
  <si>
    <t>Se realizan acciones al equipo sin embargo se puede observar que el camión está detenido y pronto cambia a mantención. De todos modos se revisan sensores internos y se encuentra todo ok</t>
  </si>
  <si>
    <t>6/20/2024 12:43 AM</t>
  </si>
  <si>
    <t>6/20/2024 4:30 AM</t>
  </si>
  <si>
    <t>00525368</t>
  </si>
  <si>
    <t>MLCC - Operador no visualiza rutas definidas</t>
  </si>
  <si>
    <t>Se revisa y se comprueba que existían configuraciones den palas de tasa de excavación en 0. Se hace el cambio recuperando la visualización en JSRutas.</t>
  </si>
  <si>
    <t>6/20/2024 6:12 AM</t>
  </si>
  <si>
    <t>6/20/2024 8:37 AM</t>
  </si>
  <si>
    <t>00525397</t>
  </si>
  <si>
    <t>CNDRI- Despachador no visualiza la pestaña Polígono desde JmineOps</t>
  </si>
  <si>
    <t>Posterior a revisión y dar los pasos a seguir a Escarlet Conejero, se hace espera de su confirmación. Al día siguiente nos confirma que el usuario ya puede visualizar los polígonos.</t>
  </si>
  <si>
    <t>6/20/2024 9:18 AM</t>
  </si>
  <si>
    <t>6/21/2024 9:01 AM</t>
  </si>
  <si>
    <t>Escarlet Conejera</t>
  </si>
  <si>
    <t>00525407</t>
  </si>
  <si>
    <t>CNDMH - Revision cuenta Jview Luis Peña</t>
  </si>
  <si>
    <t>Se genera cambio de contraseña de del usuario lpena007 en Jview, posteriormente en retorno de Luis Peña desde terreno confirma vía telefónica que puede acceder correctamente a su cuentas.</t>
  </si>
  <si>
    <t>6/20/2024 10:56 AM</t>
  </si>
  <si>
    <t>6/20/2024 3:43 PM</t>
  </si>
  <si>
    <t>00525448</t>
  </si>
  <si>
    <t>AMCEN - Reportabilidad tonelaje por hora en aplicativo</t>
  </si>
  <si>
    <t>Se detecta que el sumarizador por servicio está demorando mucho en actualizar días anteriores lo que genera que no actualice la data del turno. Por esta razón se habilita el sumarizador por cron para actualizar la información del turno actual.</t>
  </si>
  <si>
    <t>6/20/2024 7:29 PM</t>
  </si>
  <si>
    <t>6/20/2024 8:58 PM</t>
  </si>
  <si>
    <t>00525449</t>
  </si>
  <si>
    <t>AMANT - Perforadora D01 no visualiza pozos por perforar</t>
  </si>
  <si>
    <t>Se revisa la malla que tiene aplicada la perforadora y se busca en la carpeta save para volver a subirla y de esta manera se actualicen los pozos</t>
  </si>
  <si>
    <t>6/20/2024 7:30 PM</t>
  </si>
  <si>
    <t>6/20/2024 8:17 PM</t>
  </si>
  <si>
    <t>00525464</t>
  </si>
  <si>
    <t>AMCEN - Revisión C14</t>
  </si>
  <si>
    <t>Se revisa el equipo y se encuentra con todos sus sensores operativos y gps impecables</t>
  </si>
  <si>
    <t>6/20/2024 10:20 PM</t>
  </si>
  <si>
    <t>6/21/2024 3:13 AM</t>
  </si>
  <si>
    <t>00525487</t>
  </si>
  <si>
    <t>CNDMH - Actualizar equipo C711 de UHP a Core</t>
  </si>
  <si>
    <t>Posterior a la revisión del equipos, y varias perdidas de comunicación con el, se comprueba que ya se encuentra actualizado al sistema Core.</t>
  </si>
  <si>
    <t>6/21/2024 8:33 AM</t>
  </si>
  <si>
    <t>6/21/2024 11:09 AM</t>
  </si>
  <si>
    <t>Rogelio Maldonado</t>
  </si>
  <si>
    <t>00525490</t>
  </si>
  <si>
    <t>Manto verde - JMineOPS con lentitud en su apertura de modulos</t>
  </si>
  <si>
    <t>Después de la revisión del sistema, limpieza de ram y servicios postgres en idle, se hace monitoreo del equipo. Claudio Pardo de Electrocam nos da aviso posteriormente que el sistema esta trabajando correctamente.</t>
  </si>
  <si>
    <t>6/21/2024 8:44 AM</t>
  </si>
  <si>
    <t>6/22/2024 12:42 PM</t>
  </si>
  <si>
    <t>00525504</t>
  </si>
  <si>
    <t>CNDMH - Pala P201 con problemas de comunicación y GPS</t>
  </si>
  <si>
    <t>Se hizo revisión del estado del equipo, el cual tenia su pantalla pegada, se efectúa un reinicio desde consola de este y posterior monitoreo. Tanto señal de conexión como GPS quedan funcionando correctamente.</t>
  </si>
  <si>
    <t>6/21/2024 10:33 AM</t>
  </si>
  <si>
    <t>6/21/2024 1:56 PM</t>
  </si>
  <si>
    <t>00525523</t>
  </si>
  <si>
    <t>CNDRT - Problemas de diferencia entre cargas sumario y cargas en equipos de campo</t>
  </si>
  <si>
    <t>6/21/2024 3:11 PM</t>
  </si>
  <si>
    <t>00525546</t>
  </si>
  <si>
    <t>AMCEN - Revisión display caex 12</t>
  </si>
  <si>
    <t>Se intenta revisar de manera remota pero no es posible debido a comunicación. Se informa al cliente.</t>
  </si>
  <si>
    <t>6/21/2024 8:38 PM</t>
  </si>
  <si>
    <t>6/22/2024 1:04 AM</t>
  </si>
  <si>
    <t>00525555</t>
  </si>
  <si>
    <t>AMCEN - Camiones no registran bien descargas</t>
  </si>
  <si>
    <t>Se mantiene monitoreo de cada equipo determinando que se están registrando correctamente las descargas.</t>
  </si>
  <si>
    <t>6/21/2024 11:59 PM</t>
  </si>
  <si>
    <t>6/22/2024 4:18 AM</t>
  </si>
  <si>
    <t>00525557</t>
  </si>
  <si>
    <t>MLCC - Camiones a reserva</t>
  </si>
  <si>
    <t>Se genera nuevamente el destino DL_E3.5 y se elimina la totalidad de duplicados.</t>
  </si>
  <si>
    <t>6/22/2024 12:01 AM</t>
  </si>
  <si>
    <t>00525560</t>
  </si>
  <si>
    <t>AMCEN - Revisar C129</t>
  </si>
  <si>
    <t>Se reinicia remotamente el equipo y se monitorea que levante ok.</t>
  </si>
  <si>
    <t>6/22/2024 4:19 AM</t>
  </si>
  <si>
    <t>6/22/2024 4:24 AM</t>
  </si>
  <si>
    <t>00525566</t>
  </si>
  <si>
    <t>Manto verde - Setup con configuración de PALA006</t>
  </si>
  <si>
    <t>Después de revisar la configuración de este equipo, se procede al envió del archivo Setup vía correo electrónico.</t>
  </si>
  <si>
    <t>6/22/2024 9:11 AM</t>
  </si>
  <si>
    <t>6/22/2024 12:40 PM</t>
  </si>
  <si>
    <t>00525567</t>
  </si>
  <si>
    <t>CNDMH - Pala P601 no se puede visualizar.</t>
  </si>
  <si>
    <t>Se hace actualización de la versión del equipo P601 y posterior reinicio de este. Equipo vuelve a conectarse correctamente.</t>
  </si>
  <si>
    <t>6/22/2024 9:55 AM</t>
  </si>
  <si>
    <t>6/22/2024 12:44 PM</t>
  </si>
  <si>
    <t>00525576</t>
  </si>
  <si>
    <t>MLCC - Despachador informa que no puede definir dump DL_E3.5 como destino</t>
  </si>
  <si>
    <t>Se detecto destino DL_E3.5 borrado alrededor de las 6 de la tarde, se procede a recuperar el destino.</t>
  </si>
  <si>
    <t>6/22/2024 4:03 PM</t>
  </si>
  <si>
    <t>6/22/2024 5:07 PM</t>
  </si>
  <si>
    <t>00525579</t>
  </si>
  <si>
    <t>AMCEN - Revisar C122</t>
  </si>
  <si>
    <t>Se intenta realizar conexión remota pero no es posible. Se prueba haciendo ping al equipo y no existe comunicación.</t>
  </si>
  <si>
    <t>6/22/2024 6:03 PM</t>
  </si>
  <si>
    <t>6/23/2024 2:49 AM</t>
  </si>
  <si>
    <t>00525580</t>
  </si>
  <si>
    <t>AMCEN - Monitorear C12</t>
  </si>
  <si>
    <t>Se realizan acciones en el equipo para mejorar la condición y se mantiene monitoreo logrando ver que el equipo cambia de asignaciones ok.</t>
  </si>
  <si>
    <t>6/22/2024 6:07 PM</t>
  </si>
  <si>
    <t>6/23/2024 2:50 AM</t>
  </si>
  <si>
    <t>00525600</t>
  </si>
  <si>
    <t>MLCC - Importador mallas pegado</t>
  </si>
  <si>
    <t>Se logra cargar la malla al sistema, sin embargo, no pasa de carpeta /Mallas a save. Se comprueba que existe en sistema, base de datos y la perforadora reconoce y puede ver pozos.</t>
  </si>
  <si>
    <t>6/22/2024 8:40 PM</t>
  </si>
  <si>
    <t>00525604</t>
  </si>
  <si>
    <t>AMCEN - Caex 128 con problemas de gps</t>
  </si>
  <si>
    <t>Se detectan los sensores de gps en mal estado por lo que se realiza un borrado de la base de datos interna del equipo y posteriormente un reseteo recuperando el correcto funcionamiento de los gps</t>
  </si>
  <si>
    <t>6/23/2024 2:59 AM</t>
  </si>
  <si>
    <t>6/23/2024 4:04 AM</t>
  </si>
  <si>
    <t>00525605</t>
  </si>
  <si>
    <t>AMCEN - Caex 160 con problemas de sistema</t>
  </si>
  <si>
    <t>Se revisa el equipo y se encuentra con todo ok y operando con normalidad.</t>
  </si>
  <si>
    <t>6/23/2024 3:00 AM</t>
  </si>
  <si>
    <t>00525607</t>
  </si>
  <si>
    <t>CNRT - AP Chancado sulfuro sin conexion.</t>
  </si>
  <si>
    <t>Equipo en terreno de mantenimiento LTE hace levantamiento de AP Chancado Sulfuro, recuperando comunicación con la red.</t>
  </si>
  <si>
    <t>6/23/2024 5:33 AM</t>
  </si>
  <si>
    <t>6/23/2024 10:48 AM</t>
  </si>
  <si>
    <t>00525611</t>
  </si>
  <si>
    <t>MLCC - Perforadora D103 sin comunicación y no aparece como registro. Perforadora 04 con problemas de pantalla.</t>
  </si>
  <si>
    <t>Se hace un recuperación del equipo D103 ya que fue borrado en la mañana, posterior a esto se recupera toda información y enlaza mediante ruby.</t>
  </si>
  <si>
    <t>6/23/2024 8:11 AM</t>
  </si>
  <si>
    <t>6/23/2024 12:12 PM</t>
  </si>
  <si>
    <t>00525622</t>
  </si>
  <si>
    <t>Manto verde - PALA006 problema GPS</t>
  </si>
  <si>
    <t>Después de la revisión del equipo se detecta que solo hace falta la calibración de este, por ese motivo el técnico encontraba diferencias en los datos GPS baseline y sin datos en Plan debido a que no esta en producción.</t>
  </si>
  <si>
    <t>6/23/2024 10:01 AM</t>
  </si>
  <si>
    <t>6/23/2024 10:44 AM</t>
  </si>
  <si>
    <t>Sebastián</t>
  </si>
  <si>
    <t>00525627</t>
  </si>
  <si>
    <t>AMCEN - Atrasos de actualizacion de con ReasonsCube y TruckCycles</t>
  </si>
  <si>
    <t>Durante análisis se encuentra problemas en la tabla drill_hole la cual tenia un dato erróneo en su bottom elevation, finalmente se arregla y se procede a dejar corriendo el servicio de summarizer y por crontab. Finalmente el cliente corrobora que las tablas se estan actualizando correctamente.</t>
  </si>
  <si>
    <t>6/23/2024 10:13 AM</t>
  </si>
  <si>
    <t>6/23/2024 4:27 PM</t>
  </si>
  <si>
    <t>00525636</t>
  </si>
  <si>
    <t>MLCC - Problemas con datos desactualizados base de datos.</t>
  </si>
  <si>
    <t>Se hace revisión del postgres, y envió de datos a servidores jview, se detecta que el encolamiento no esta ene l servidor Jview sino en el jview2021 que es sacado desde BD_TO,se procede a ir a dicho servidor y reiniciar los servicios de SQL server.</t>
  </si>
  <si>
    <t>6/23/2024 12:19 PM</t>
  </si>
  <si>
    <t>6/23/2024 4:13 PM</t>
  </si>
  <si>
    <t>00525651</t>
  </si>
  <si>
    <t>MLCC - Perforadora D103 y D104 con perdida de señal y problemas con stock DL_E3.5</t>
  </si>
  <si>
    <t>6/23/2024 2:14 PM</t>
  </si>
  <si>
    <t>00525658</t>
  </si>
  <si>
    <t>Monitoreo- CNDMH - Encolamiento constante de SQL_server</t>
  </si>
  <si>
    <t>Equipo que se encola constantemente, se le hace reinicio de los servicios de SQL. Se debe analizar a profundidad que esta produciendo estos encolamientos constantes.</t>
  </si>
  <si>
    <t>6/23/2024 3:29 PM</t>
  </si>
  <si>
    <t>6/23/2024 4:10 PM</t>
  </si>
  <si>
    <t>00525676</t>
  </si>
  <si>
    <t>AMCEN - Cargador frontal no levanta panel</t>
  </si>
  <si>
    <t>Se revisan los sensores internos encontrando todo ok por lo que se procede a revisar los logs del JAMS del equipo y del JSPanel encontrando un error en este ulitmo. Debido a esta condición se elimina la base de datos interna del equipo y se reinicia en limpio, logrando que levante vnc sin problemas.</t>
  </si>
  <si>
    <t>6/23/2024 5:43 PM</t>
  </si>
  <si>
    <t>6/23/2024 6:14 PM</t>
  </si>
  <si>
    <t>00525677</t>
  </si>
  <si>
    <t>AMZAL - Cargador frontal no visualiza dibujo</t>
  </si>
  <si>
    <t>Se detecta que el dibujo que no está pudiendo verse en pantalla no ha sido actualizado hace mas de un mes por lo que se vuelve a actualizar a fecha presente y aparece sin problemas.</t>
  </si>
  <si>
    <t>6/23/2024 6:03 PM</t>
  </si>
  <si>
    <t>6/24/2024 1:18 AM</t>
  </si>
  <si>
    <t>00525708</t>
  </si>
  <si>
    <t>MLCC - Perforadora no carga mapa y se reinicia</t>
  </si>
  <si>
    <t>Se detecta en tabla drilling un registro del 2017 y multiples del 2024 cercanos a la fecha actual. Se elimina el del 2017 lo cual soluciona el problema y logra cargar el mapa la D104</t>
  </si>
  <si>
    <t>6/24/2024 12:38 AM</t>
  </si>
  <si>
    <t>Pablo Urrutia</t>
  </si>
  <si>
    <t>00525724</t>
  </si>
  <si>
    <t>Se revisa el equipo y se encuentra operando correctamente.</t>
  </si>
  <si>
    <t>6/24/2024 3:41 AM</t>
  </si>
  <si>
    <t>6/24/2024 4:27 AM</t>
  </si>
  <si>
    <t>00525725</t>
  </si>
  <si>
    <t>AMCEN - Reportes por hora en mineops desactualizados</t>
  </si>
  <si>
    <t>Se detecta el sumarizador encolado por lo que se matan todos y se espera a que comience en limpio y se monitorea que finalice correctamente. Posteriormente se monitorea que la información se replique ok</t>
  </si>
  <si>
    <t>6/24/2024 3:43 AM</t>
  </si>
  <si>
    <t>6/24/2024 4:29 AM</t>
  </si>
  <si>
    <t>00525726</t>
  </si>
  <si>
    <t>AMCEN - Revisar Perforadora con pantalla pegada</t>
  </si>
  <si>
    <t>Se intenta revisar de manera remota pero no es posible debido a problemas de comunicación. Se informa que esta misma debe ser la razón de la condición de pantalla</t>
  </si>
  <si>
    <t>6/24/2024 3:44 AM</t>
  </si>
  <si>
    <t>6/24/2024 4:40 AM</t>
  </si>
  <si>
    <t>00525773</t>
  </si>
  <si>
    <t>Mantoverde - Problemas con procedimiento de almacenado</t>
  </si>
  <si>
    <t>Se realiza modificación del tipo de dato declarado en el proceso de almacenado SP_Integration_MI_Equipment_Validate el cual muestra un error de overflow en la línea 140. La solución aplicada es modificar el tipo de dato de la variable stageId, pasando de int a bigint, luego de esto el job se ejecuta manualmente y este deja de arrojar error y comienza a repoblar la base de datos.</t>
  </si>
  <si>
    <t>6/24/2024 9:50 AM</t>
  </si>
  <si>
    <t>00525802</t>
  </si>
  <si>
    <t>6/24/2024 2:38 PM</t>
  </si>
  <si>
    <t>00525803</t>
  </si>
  <si>
    <t>Se realiza respaldo de bd desde el servidor secundario</t>
  </si>
  <si>
    <t>6/24/2024 2:39 PM</t>
  </si>
  <si>
    <t>6/25/2024 7:49 AM</t>
  </si>
  <si>
    <t>00525804</t>
  </si>
  <si>
    <t>6/25/2024 7:56 AM</t>
  </si>
  <si>
    <t>00525824</t>
  </si>
  <si>
    <t>MLCC - Reportabilidad sin actualizar</t>
  </si>
  <si>
    <t>Se reinician los servicios sql en servidores jview y espejo</t>
  </si>
  <si>
    <t>6/24/2024 7:13 PM</t>
  </si>
  <si>
    <t>6/25/2024 1:46 AM</t>
  </si>
  <si>
    <t>00525850</t>
  </si>
  <si>
    <t>AMCEN - Caex no cambia asignaciones automáticamente</t>
  </si>
  <si>
    <t>Se realiza monitoreo del equipo determinando que las asignaciones se cambian ok automáticamente por lo que se informa que debió ser un problema momentáneo.</t>
  </si>
  <si>
    <t>6/25/2024 1:47 AM</t>
  </si>
  <si>
    <t>6/25/2024 4:01 AM</t>
  </si>
  <si>
    <t>00525851</t>
  </si>
  <si>
    <t>AMCEN - Pala figura cargando y está en Mantenimiento</t>
  </si>
  <si>
    <t>Se elimina la base de datos interna del equipo y se reinicia normalizando la situación.</t>
  </si>
  <si>
    <t>6/25/2024 1:48 AM</t>
  </si>
  <si>
    <t>6/25/2024 4:02 AM</t>
  </si>
  <si>
    <t>00525852</t>
  </si>
  <si>
    <t>AMCEN - Caex sin sistema y pegado</t>
  </si>
  <si>
    <t>Se intenta revisar el equipo de manera remota pero no es posible debido a comunicación. Se informa al cliente.</t>
  </si>
  <si>
    <t>6/25/2024 1:49 AM</t>
  </si>
  <si>
    <t>6/25/2024 4:03 AM</t>
  </si>
  <si>
    <t>00525892</t>
  </si>
  <si>
    <t>MLCC - Problema con reporte diario</t>
  </si>
  <si>
    <t>Se revisa los datos y se resumariza, No se obtiene feedback desde faena pero el informa se ve correctamente.</t>
  </si>
  <si>
    <t>6/25/2024 12:49 PM</t>
  </si>
  <si>
    <t>7/19/2024 4:09 PM</t>
  </si>
  <si>
    <t>00525899</t>
  </si>
  <si>
    <t>MLCC - Problema con cuenta Mineops Ricardo Ramirez</t>
  </si>
  <si>
    <t>Se revisa perfil del usuario en postgres encontrando que el workspace_view tiene demasiados parámetros, se crea nueva cuenta.</t>
  </si>
  <si>
    <t>6/25/2024 11:09 AM</t>
  </si>
  <si>
    <t>6/25/2024 19:52 PM</t>
  </si>
  <si>
    <t>00525907</t>
  </si>
  <si>
    <t>Monitoreo - AMANT - SQL_server encolado</t>
  </si>
  <si>
    <t>Se detecta por monitoreo remoto que servicio SQL estan encolados, se procede a investigar el problemas y dar reinicio de los sevicios.</t>
  </si>
  <si>
    <t>6/25/2024 12:52 PM</t>
  </si>
  <si>
    <t>6/25/2024 13:49 PM</t>
  </si>
  <si>
    <t>00525908</t>
  </si>
  <si>
    <t>CNN - Sumarizacion mes de Junio</t>
  </si>
  <si>
    <t>Se realiza sumarizacion del mes de junio a petición del cliente.</t>
  </si>
  <si>
    <t>6/25/2024 13:00 PM</t>
  </si>
  <si>
    <t>6/25/2024 19:54 PM</t>
  </si>
  <si>
    <t>00525914</t>
  </si>
  <si>
    <t>MLCC - Información gps caex</t>
  </si>
  <si>
    <t>Se envía acceso vía onedrive de los archivos solicitados a Carlos Contreras.</t>
  </si>
  <si>
    <t>6/25/2024 1:31 PM</t>
  </si>
  <si>
    <t>00525918</t>
  </si>
  <si>
    <t>Monitoreo - CNMS - Respaldo de BD servidor secundario</t>
  </si>
  <si>
    <t>6/25/2024 2:03 PM</t>
  </si>
  <si>
    <t>6/25/2024 3:25 PM</t>
  </si>
  <si>
    <t>00525932</t>
  </si>
  <si>
    <t>CNTTE - Matias Pizarro planificador corto plazo solicita aplicacion Jmineops en su PC</t>
  </si>
  <si>
    <t>6/25/2024 15:20 PM</t>
  </si>
  <si>
    <t>00525958</t>
  </si>
  <si>
    <t>AMCEN - PA1 no pasa de cargando a esperando</t>
  </si>
  <si>
    <t>Se realiza un reinicio de la base de datos interna del equipo y se mantiene monitoreo pudiendo observar que realiza cambio de estados de manera automática a pesar de que operador se encuentra cambiando manualmente. Se informa de esto al cliente</t>
  </si>
  <si>
    <t>6/25/2024 7:59 PM</t>
  </si>
  <si>
    <t>6/26/2024 4:17 AM</t>
  </si>
  <si>
    <t>00525971</t>
  </si>
  <si>
    <t>AMCEN - Revisar C18 no levanta</t>
  </si>
  <si>
    <t>Se intenta revisar el equipo de manera remota pero no es posible debido a problemas de comunicación. Se informa al cliente.</t>
  </si>
  <si>
    <t>6/25/2024 10:12 PM</t>
  </si>
  <si>
    <t>6/26/2024 4:20 AM</t>
  </si>
  <si>
    <t>00525973</t>
  </si>
  <si>
    <t>AMCEN - Revisión C160 no levanta pantalla</t>
  </si>
  <si>
    <t>Se revisan sensores internos del equipo y se encuentra ok, se procede a revisar los niveles de conexión del equipo encontrando que no son los mejores y que es debido a eso mismo que funcione lento o incluso no levante bien el panel.</t>
  </si>
  <si>
    <t>6/26/2024 4:21 AM</t>
  </si>
  <si>
    <t>00525978</t>
  </si>
  <si>
    <t>AMCEN - Revisar C154</t>
  </si>
  <si>
    <t>Se realiza un reinicio remoto del equipo y se puede observar que actualiza correctamente su posicionamiento.</t>
  </si>
  <si>
    <t>6/26/2024 12:10 AM</t>
  </si>
  <si>
    <t>6/26/2024 4:23 AM</t>
  </si>
  <si>
    <t>00525981</t>
  </si>
  <si>
    <t>MLCC - Sumarización días 08-06 y 11-06</t>
  </si>
  <si>
    <t>Se realiza la sumarización sin complicaciones. Se informa al cliente.</t>
  </si>
  <si>
    <t>6/26/2024 1:19 AM</t>
  </si>
  <si>
    <t>6/26/2024 4:25 AM</t>
  </si>
  <si>
    <t>00525996</t>
  </si>
  <si>
    <t>Mantoverde - Sin acceso a ME</t>
  </si>
  <si>
    <t>El caso se sigue revisando en el Ticket 00525773 por Nicolas Carrasco.</t>
  </si>
  <si>
    <t>6/26/2024 8:05 AM</t>
  </si>
  <si>
    <t>6/27/2024 8:05 AM</t>
  </si>
  <si>
    <t>00526000</t>
  </si>
  <si>
    <t>MLCC - Solicita Distribución Reporte Diario Jigsaw</t>
  </si>
  <si>
    <t>Se realizan las modificaciones solicitadas</t>
  </si>
  <si>
    <t>6/26/2024 8:20 AM</t>
  </si>
  <si>
    <t>00526003</t>
  </si>
  <si>
    <t>CNRI - Caex 113 alarmas constantes</t>
  </si>
  <si>
    <t>Se revisa el equipo, el cual presenta problemas con su GPS, por lo que este enviara alarmas por distintos motivos, revisando mas a profundidad, se detecta que el sensor esta con problemas, se le indica a Rodrigo Oliva quien derivara el personal a terreno para que revisen el camión.</t>
  </si>
  <si>
    <t>6/26/2024 9:58 AM</t>
  </si>
  <si>
    <t>6/26/2024 10:46 AM</t>
  </si>
  <si>
    <t>00526038</t>
  </si>
  <si>
    <t>Monitoreo - AMZAL - Procesos sql encolados</t>
  </si>
  <si>
    <t>Se reinician los servicios sql</t>
  </si>
  <si>
    <t>6/26/2024 10:21 AM</t>
  </si>
  <si>
    <t>6/26/2024 10:32 AM</t>
  </si>
  <si>
    <t>00526041</t>
  </si>
  <si>
    <t>MLCC - Lista de Usuarios y Pefiles Jigsaw</t>
  </si>
  <si>
    <t>Se envia la informacion solicitada</t>
  </si>
  <si>
    <t>6/26/2024 14:40</t>
  </si>
  <si>
    <t>6/26/2024 15:54</t>
  </si>
  <si>
    <t>00526048</t>
  </si>
  <si>
    <t>CNN - EXTERNO]RE: Campo "comentarios" en Estado de Equipo</t>
  </si>
  <si>
    <t>6/26/2024 14:25</t>
  </si>
  <si>
    <t>6/26/2024 15:56</t>
  </si>
  <si>
    <t>00526072</t>
  </si>
  <si>
    <t>MLCC - Dibujos jigsaw_2024_06_26.dxf</t>
  </si>
  <si>
    <t>Se encuentra cargado correctamente el archivo en la base de datos y en el JSMina se logra visualizar de igual manera.</t>
  </si>
  <si>
    <t>6/26/2024 19:22 PM</t>
  </si>
  <si>
    <t>6/26/2024 20:53 PM</t>
  </si>
  <si>
    <t xml:space="preserve">Daniel Godoy </t>
  </si>
  <si>
    <t>00526082</t>
  </si>
  <si>
    <t>MLCC - Problema Importador Mallas</t>
  </si>
  <si>
    <t>Se observa que el importador esta comentado en el crontab, por lo que se ejecuta manualmente este y se modifica el importador, ya que este hacia el proceso de importación pero no movía el archivo a la carpeta save. Finalmente el archivo es cargado correctamente.</t>
  </si>
  <si>
    <t>6/26/2024 22:00 PM</t>
  </si>
  <si>
    <t>6/26/2024 22:36 PM</t>
  </si>
  <si>
    <t>00526083</t>
  </si>
  <si>
    <t>MLCC - Problema Perforadora D105</t>
  </si>
  <si>
    <t>Se observa que el equipo posee una perdida de paquetes significante, por lo cual al dar finalizar pozo, este con la mala conexión no lo finaliza y se queda pegado en el mismo. Por otro lado también se observa que en la base de datos, la malla tiene una boundaries asignada, por lo cual se le elimina de igual manera y se elimina la bdd del equipo y luego se reinicia, así funcionando correctamente luego.</t>
  </si>
  <si>
    <t>6/26/2024 22:51 PM</t>
  </si>
  <si>
    <t>6/27/2024 00:50 AM</t>
  </si>
  <si>
    <t>00526107</t>
  </si>
  <si>
    <t>AMCEN - Problem GPS CF231</t>
  </si>
  <si>
    <t>Se revisa el equipo y en una primera instancia este se encuentra sin comunicación, se le da el aviso a Luis Rios y luego de una hora se revisa nuevamente y se visualiza al equipo trabajando correctamente.</t>
  </si>
  <si>
    <t>6/27/2024 04:56 AM</t>
  </si>
  <si>
    <t>6/27/2024 06:33 AM</t>
  </si>
  <si>
    <t>00526108</t>
  </si>
  <si>
    <t>6/27/2024 3:11 Am</t>
  </si>
  <si>
    <t>6/26/2024 03:22 AM</t>
  </si>
  <si>
    <t>00526110</t>
  </si>
  <si>
    <t>AMZAL - Sumarizar</t>
  </si>
  <si>
    <t>Se realiza la sumarizacion desde el dia 01-06-2024 hasta la fecha actual</t>
  </si>
  <si>
    <t>6/27/2024 2:05 AM</t>
  </si>
  <si>
    <t>6/27/2024 8:30 AM</t>
  </si>
  <si>
    <t>00526123</t>
  </si>
  <si>
    <t>Se revisa el servidor y se detecta que habia un importador pegado que no dejaba avanzar al resto.</t>
  </si>
  <si>
    <t>6/27/2024 8:50</t>
  </si>
  <si>
    <t>6/27/2024 9:32</t>
  </si>
  <si>
    <t>00526125</t>
  </si>
  <si>
    <t>MLCC - KPI D103</t>
  </si>
  <si>
    <t>Se revisa el equipo, el cual estuvo todo el turno A en fuera de servicio por mantencion no programada, por lo que no estuvo disponible en todo el turno, se contrasta con un reporte de Jview, el cual nos indica lo mismo , se le explica a Karim que el Excel seguramente no hace una validación cuando el equipo no fue utilizado en ningún momento y por eso arroja 100% de disponibilidad cuando debería ser 0.</t>
  </si>
  <si>
    <t>6/27/2024 9:10</t>
  </si>
  <si>
    <t>6/27/2024 9:47</t>
  </si>
  <si>
    <t>00526136</t>
  </si>
  <si>
    <t>MLCC - Falla en alta precisión equipos de carguío.</t>
  </si>
  <si>
    <t xml:space="preserve">El error es que el proceso que valida el polígono con el cual esta trabajando la pala, estaba activo, pero no estaba realizando sus funciones correctamente, lo reinicie y ya comenzó a funcionar nuevamente </t>
  </si>
  <si>
    <t>6/27/2024 9:40</t>
  </si>
  <si>
    <t>6/27/2024 12:01</t>
  </si>
  <si>
    <t>00526142</t>
  </si>
  <si>
    <t>CNCHUQ - Caida servidor secundario</t>
  </si>
  <si>
    <t>Vuelven a fallar los aire acondicionado de la sala de servidores, y este se apaga por las altas temperaturas.</t>
  </si>
  <si>
    <t>6/27/2024 1:30</t>
  </si>
  <si>
    <t>6/27/2024 8:45</t>
  </si>
  <si>
    <t>00526147</t>
  </si>
  <si>
    <t>AMZAL - Perforadora D14 no visualiza información del pozo</t>
  </si>
  <si>
    <t>Se revisa el equipo, el cual ya se encontraba trabajando de forma correcta, el error se genero con el primer pozo que realizo, el cual finalizo de forma adelantada, pero el largo del pozo estaba bien indicado en el sistema.</t>
  </si>
  <si>
    <t>6/27/2024 11:27</t>
  </si>
  <si>
    <t>6/27/2024 13:40</t>
  </si>
  <si>
    <t>00526178</t>
  </si>
  <si>
    <t>Se realiza la sumarizacion solicitada nuevamente</t>
  </si>
  <si>
    <t>6/27/2024 12:34</t>
  </si>
  <si>
    <t>6/27/2024 19:21</t>
  </si>
  <si>
    <t>00526183</t>
  </si>
  <si>
    <t>CNDMH - Pantallas de relevo pegadas</t>
  </si>
  <si>
    <t>Se logran revisar 2 pantallas de las 4 , las cuales estaban trabajado correctamente, se le informa a Alberto que no hay comunicación con las otras 2 pantallas</t>
  </si>
  <si>
    <t>6/27/2024 15:56</t>
  </si>
  <si>
    <t>6/28/2024 13:03</t>
  </si>
  <si>
    <t>00526189</t>
  </si>
  <si>
    <t>6/27/2024 16:05</t>
  </si>
  <si>
    <t>6/27/2024 16:34</t>
  </si>
  <si>
    <t>00526191</t>
  </si>
  <si>
    <t>CNCHUQ - Pantallas pegadas</t>
  </si>
  <si>
    <t>Se revisan ambos equipos, el C154 tiene problemas físicos, porque podemos ver el VNC, pero el operador sigue viendo la pantalla en negro, y el C453, no tiene conexión con el servidor , se le informa a Alberto para que lo puedan revisar en terreno.</t>
  </si>
  <si>
    <t>6/27/2024 16:20</t>
  </si>
  <si>
    <t>6/27/2024 17:01</t>
  </si>
  <si>
    <t>Enrique</t>
  </si>
  <si>
    <t>00526205</t>
  </si>
  <si>
    <t>Mantoverde - Preparación de pendrive de configuración para CAEX80, CAEX91, CAEX93</t>
  </si>
  <si>
    <t>Se entregan los archivos solicitados, para realizar las instalaciones correspondientes.</t>
  </si>
  <si>
    <t>6/27/2024 19:20</t>
  </si>
  <si>
    <t>6/28/2024 13:20</t>
  </si>
  <si>
    <t>00526220</t>
  </si>
  <si>
    <t>AMCEN - Problema Pala P211</t>
  </si>
  <si>
    <t>No se ha podido establecer conexión con el equipo; se le ha informado a Marcelo Oliveria.</t>
  </si>
  <si>
    <t>6/27/2024 19:55 PM</t>
  </si>
  <si>
    <t>6/27/2024 20:30 PM</t>
  </si>
  <si>
    <t>00526225</t>
  </si>
  <si>
    <t>Problema Importador Mallas</t>
  </si>
  <si>
    <t>Se descomenta el importador de mallas del crontab y se observa que carga de manera correcta luego de ejecutarlo de manera manual.</t>
  </si>
  <si>
    <t>6/27/2024 22:44 PM</t>
  </si>
  <si>
    <t>6/27/2024 23:28 PM</t>
  </si>
  <si>
    <t>00526235</t>
  </si>
  <si>
    <t>CNRT - Caida Jview</t>
  </si>
  <si>
    <t>Se revisa la configuración del Internet Informacion Service y se vuelve a modificar las credenciales para la ruta de acceso. Luego se reinicia el IIS y la pagina vuelve a levantar correctamente.</t>
  </si>
  <si>
    <t>6/28/2024 01:06 AM</t>
  </si>
  <si>
    <t>6/28/2024 01:42 AM</t>
  </si>
  <si>
    <t>Jean Pierre</t>
  </si>
  <si>
    <t>00526263</t>
  </si>
  <si>
    <t>CNRT - creacion cuenta mineops</t>
  </si>
  <si>
    <t>Se crea la cuenta solicitada por Carlos Daza y se envían las credenciales por correo.</t>
  </si>
  <si>
    <t>6/28/2024 08:01</t>
  </si>
  <si>
    <t>6/28/2024 08:20</t>
  </si>
  <si>
    <t>Carlos Daza</t>
  </si>
  <si>
    <t>00526271</t>
  </si>
  <si>
    <t>CNCHUQ - Revision de equipos</t>
  </si>
  <si>
    <t>Se revisan ambos equipos, al C154, le habían bajado tanto el brillo, que el operador no podía ver nada , el C153 es reiniciado y se recupera la imagen, se confirma con la gente de despacho que todo esta OK.</t>
  </si>
  <si>
    <t>6/28/2024 09:52</t>
  </si>
  <si>
    <t>6/28/2024 10:46</t>
  </si>
  <si>
    <t>00526274</t>
  </si>
  <si>
    <t>MLCC - P210 sin señal</t>
  </si>
  <si>
    <t>Se revisa el equipo, el cual tiene perdidas considerables de datos, se llama a Cristian para indicar que deben mejorar la señal del serctor.</t>
  </si>
  <si>
    <t>6/28/2024 10:02</t>
  </si>
  <si>
    <t>6/28/2024 10:41</t>
  </si>
  <si>
    <t>00526280</t>
  </si>
  <si>
    <t>MLCC - Reinicio P201</t>
  </si>
  <si>
    <t>Se reinicia la pala según lo solicitado y se recupera la conexión del GPS.</t>
  </si>
  <si>
    <t>6/28/2024 10:10</t>
  </si>
  <si>
    <t>6/28/2024 10:23</t>
  </si>
  <si>
    <t>00526289</t>
  </si>
  <si>
    <t>CNDMH - Datos ericar sin actualizar</t>
  </si>
  <si>
    <t>El problema se origino por un cambio de claves con el usuario con el cual se entra al servidor encargado de replicar la información, por lo que al no estar actualizada la clave, la replicacion no se estaba generando, se corrige y se recuperan los datos de los días faltantes.</t>
  </si>
  <si>
    <t>6/28/2024 09:12</t>
  </si>
  <si>
    <t>6/28/2024 12:19</t>
  </si>
  <si>
    <t>00526310</t>
  </si>
  <si>
    <t>CNN - RV: Budget Forecast</t>
  </si>
  <si>
    <t>Se hace la recarga del plan D y se le informa a Juan por correo.</t>
  </si>
  <si>
    <t>6/28/2024 17:20</t>
  </si>
  <si>
    <t>00526312</t>
  </si>
  <si>
    <t>CNDMH - C377 sin barras de conexion</t>
  </si>
  <si>
    <t>Se revisa el equipo, pero no tenemos llegada por el FMS, los chicos en terreno le hicieron un cambio de sar y nos envían el numero de serie, pero en el archivo de las direcciones IP, dicho código no aparece, se dejara pendiente hasta que nos hagan llegar un listado actualizado de las IP de los sar.</t>
  </si>
  <si>
    <t>6/28/2024 18:01</t>
  </si>
  <si>
    <t>Alex Hexagon</t>
  </si>
  <si>
    <t>00526316</t>
  </si>
  <si>
    <t>CNMS - reportes con suscripción no se están enviando</t>
  </si>
  <si>
    <t>Se revisa el informe y se detecta que todos los reportes que están con una suscripción para ser enviados de forma automática, no se están enviando, se revisa el servidor SMTP, al cual tenemos ping, pero no podemos acceder por el puerto 25 (el que es usado para enviar correos), por lo que se solicita ayuda a Adrian Leiva para corregir la situación, estamos a la espera.
Adrian nos entrega otra IP para un nuevo servidor SMTP, ademas de otros datos para permitir la conexión, realizamos los cambios y los reportes ya se comienzan a enviar correctamente.</t>
  </si>
  <si>
    <t>6/29/2024 10:46</t>
  </si>
  <si>
    <t>Maximiliano Hexagon</t>
  </si>
  <si>
    <t>00526320</t>
  </si>
  <si>
    <t>MLCC - Destinos rechazados</t>
  </si>
  <si>
    <t>Se eliminan los destinos duplicados en la tabla dumping y asi solucionando el problema.</t>
  </si>
  <si>
    <t>6/28/2024 21:44</t>
  </si>
  <si>
    <t>6/28/2024 22:14</t>
  </si>
  <si>
    <t>00526321</t>
  </si>
  <si>
    <t>AMCEN - Sumarizar dia 27 de Junio</t>
  </si>
  <si>
    <t>Se Sumariza el día 27 de Junio de manera correcta.</t>
  </si>
  <si>
    <t>6/28/2024 22:16</t>
  </si>
  <si>
    <t>6/28/2024 22:59</t>
  </si>
  <si>
    <t>00526323</t>
  </si>
  <si>
    <t>AMCEN - Problema GPS Perforadora PE4</t>
  </si>
  <si>
    <t>Se revisa el equipo y se encuentra funcionando correctamente con buena señal GPS, se reinicia el equipo de todas formas y se le da el aviso a Marcelo Oliveria y a Camila Figueroa.</t>
  </si>
  <si>
    <t>6/28/2024 22:52</t>
  </si>
  <si>
    <t>6/28/2024 23:07</t>
  </si>
  <si>
    <t>00526330</t>
  </si>
  <si>
    <t>AMZAL - Problemas pantalla CAS</t>
  </si>
  <si>
    <t>Se reemplazó la pantalla con la que tenía otro equipo y ahora funciona correctamente, lo que indica que el problema residía en la pantalla anterior. Se investigará la razón por la cual la pantalla anterior no enciende.</t>
  </si>
  <si>
    <t>6/29/2024 03:07</t>
  </si>
  <si>
    <t xml:space="preserve">6/29/2024 07:09 </t>
  </si>
  <si>
    <t>00526334</t>
  </si>
  <si>
    <t>CNCHUQ - Problema CAEX C167 pierde vueltas</t>
  </si>
  <si>
    <t>Se observa que el botadero y en donde esta siendo cargado el camion estan muy cerca, por lo que hace el recorrido en menos de 5m.</t>
  </si>
  <si>
    <t>6/29/2024 06:31</t>
  </si>
  <si>
    <t>6/29/20234 07:00</t>
  </si>
  <si>
    <t>Patricio Prieto</t>
  </si>
  <si>
    <t>00526335</t>
  </si>
  <si>
    <t>CNRT - PA205 pantalla apagada</t>
  </si>
  <si>
    <t>Se revisa el equipo apenas nos llama Adrian, pero este no tenia energia (8:13), cuando lo encienden a las 11:30 Adrian nos avisa que esta encendido, reviso el equipo y este estaba funcionando correctamente, señal buena y gps al maximo, a las 12:30 nuevamente nos habla Adrian porque se habria ido a negro la señal, pero fue solo un pestañeo que no duro mas de un minuto, posterior a eso el equipo trabaja sin problemas.</t>
  </si>
  <si>
    <t>6/29/2024 08:13</t>
  </si>
  <si>
    <t>6/29/2024 12:30</t>
  </si>
  <si>
    <t>00526336</t>
  </si>
  <si>
    <t>AMCEN - Revisar PE53</t>
  </si>
  <si>
    <t>6/29/2024 10:11</t>
  </si>
  <si>
    <t>6/29/2024 10:32</t>
  </si>
  <si>
    <t>00526337</t>
  </si>
  <si>
    <t>Monitore - CNRT - Revisión de Mine Enterprise</t>
  </si>
  <si>
    <t>Se monitorea que los equipos estén conectados y entregando alarmas correctamente.</t>
  </si>
  <si>
    <t>6/29/2024 10:56</t>
  </si>
  <si>
    <t>6/29/2024 18:30</t>
  </si>
  <si>
    <t>00526338</t>
  </si>
  <si>
    <t>Monitoreo - CNMS - Revisión de Mine Enterprise</t>
  </si>
  <si>
    <t>Solo posicionamiento, falta recuperar las alarmas</t>
  </si>
  <si>
    <t>00526339</t>
  </si>
  <si>
    <t>Monitoreo - CNCHUQ - Revisión de Mine Enterprise</t>
  </si>
  <si>
    <t>Posicionamiento actualizado, alarmas aun no se terminan de cargar</t>
  </si>
  <si>
    <t>00526340</t>
  </si>
  <si>
    <t>Monitoreo - CNDMH - Revisión de Mine Enterprise</t>
  </si>
  <si>
    <t>6/29/2024 19:10</t>
  </si>
  <si>
    <t>00526341</t>
  </si>
  <si>
    <t>AMCEN - Revisar C43</t>
  </si>
  <si>
    <t>6/29/2024 13:21</t>
  </si>
  <si>
    <t>6/29/2024 13:57</t>
  </si>
  <si>
    <t>00526343</t>
  </si>
  <si>
    <t>CNCHUQ - reportes con suscripción no se están enviando</t>
  </si>
  <si>
    <t>6/29/2024 08:00</t>
  </si>
  <si>
    <t>00526349</t>
  </si>
  <si>
    <t>6/29/2024 14:44</t>
  </si>
  <si>
    <t>6/29/2024 13:05</t>
  </si>
  <si>
    <t>00526350</t>
  </si>
  <si>
    <t>CNRT - Camion 920</t>
  </si>
  <si>
    <t>Se revisa el equipo, el cual no tiene conexión, pero entramos por el sar, saltamos a la pantalla y podemos reiniciarlo , el equipo enciende correctamente, quedando operativo.</t>
  </si>
  <si>
    <t>6/29/2024 16:34</t>
  </si>
  <si>
    <t>6/29/2024 17:44</t>
  </si>
  <si>
    <t>Ricardo Sonda</t>
  </si>
  <si>
    <t>00526353</t>
  </si>
  <si>
    <t>AMCEN - Revisar PE10</t>
  </si>
  <si>
    <t>Se revisa el equipo, pero este no tiene conexión ,por la ip de terreno ni por la ip física, se le indica a Marcelo, al rato nos dice que el equipo se esta moviendo si es posible revisarlo nuevamente, al entrar en un área con mejor cobertura, el equipo se conecta correctamente , tiene su gps funcional y envía datos normalmente.</t>
  </si>
  <si>
    <t>6/29/2024 17:54</t>
  </si>
  <si>
    <t>6/29/2024 18:20</t>
  </si>
  <si>
    <t>00526354</t>
  </si>
  <si>
    <t>MLCC - Reinicio de pala 201 y 202</t>
  </si>
  <si>
    <t>Se reinician los equipos segun lo solicitado, pero la P201 sigue con pequeñas perdidas de datos, se le informa a Viviana que es por el sector, ya que un camion al ir con esa pala, tambien perdio datos al hacerle un ping.</t>
  </si>
  <si>
    <t>6/29/2024 18:03</t>
  </si>
  <si>
    <t>6/29/2024 18:41</t>
  </si>
  <si>
    <t>00526357</t>
  </si>
  <si>
    <t>AMZAL - Revisar pl rutas</t>
  </si>
  <si>
    <t>Se entra al servidor a revisar, pero se ve todo bien, se llama nuevamente a Cristian para corroborar el error , pero este nos dice que ya aparecieron nuevamente los caminos.</t>
  </si>
  <si>
    <t>6/29/2024 19:13</t>
  </si>
  <si>
    <t>6/29/2024 19:20</t>
  </si>
  <si>
    <t>Cristian Despacho</t>
  </si>
  <si>
    <t>00526361</t>
  </si>
  <si>
    <t>AMZAL - H34 no carga las vueltas</t>
  </si>
  <si>
    <t>Se revisan las cargas del camión, solo figura 1 y coincide con la hora en que el equipo comenzó a trabajar, el equipo tiene buena conexión, no se detecta nada extraño.</t>
  </si>
  <si>
    <t>6/29/2024 19:50</t>
  </si>
  <si>
    <t>6/29/2024 20:06</t>
  </si>
  <si>
    <t>Freddy SIM</t>
  </si>
  <si>
    <t>00526363</t>
  </si>
  <si>
    <t>CNDMH - Sistema Jview Caido</t>
  </si>
  <si>
    <t>Se hace una revisión servidor, el cual no estaba replicando al servidor 58, se reinician los servicios SQL de este y se recupera el funcionamiento de Jview.</t>
  </si>
  <si>
    <t>6/29/2024 20:31</t>
  </si>
  <si>
    <t>6/29/2024 21:02</t>
  </si>
  <si>
    <t>00526364</t>
  </si>
  <si>
    <t>AMZAL - Problemas Antena CAS Camion H42</t>
  </si>
  <si>
    <t>Se entrega la información para configurar otra antena en el caso de que necesite cambiarla, pero Freddy logra encontrar el problema de la antena mala, el cual se encontraba en un cable desconectado de esta.</t>
  </si>
  <si>
    <t>6/29/2024 20:26</t>
  </si>
  <si>
    <t>6/29/2024 04:53</t>
  </si>
  <si>
    <t>00526372</t>
  </si>
  <si>
    <t>CNCHUQ - Combustible C155</t>
  </si>
  <si>
    <t>Se revisó el combustible del equipo y se encontró que estaba no cargado. Como medida inicial, reiniciamos el equipo y logramos recuperar el combustible con su nivel correcto. Además, observamos una pérdida significativa de paquetes en el equipo, la cual pudo haber sido la causa de este problema inicial</t>
  </si>
  <si>
    <t>6/30/2024 04:16</t>
  </si>
  <si>
    <t>6/30/2024 04:50</t>
  </si>
  <si>
    <t>Hugo Ilbfonso</t>
  </si>
  <si>
    <t>00526374</t>
  </si>
  <si>
    <t>CNCHUQ - Problema CF882 Cambios de estado</t>
  </si>
  <si>
    <t>Se revisa el equipo y se observa que no esta ingresado en el sistema, solo esta creado como "equipo" sin tener sus devices ni estar en los certificados del setup, se le pregunta a Hugo si el equipo fue recientemente creado, por lo que nos responde que es inicialmente un cargador frontal proveniente de Mina Sur.</t>
  </si>
  <si>
    <t>6/30/2024 04:51</t>
  </si>
  <si>
    <t>6/30/2024 05:34</t>
  </si>
  <si>
    <t>00526385</t>
  </si>
  <si>
    <t>CNCHUQ - Trafico Puerto 25 - 165.182.188.71</t>
  </si>
  <si>
    <t>Se revisan nuevamente nuestros servidores, pero ninguno se esta comunicando con la ip indicada por Adrian, estas fueron modificadas y están apuntando correctamente al nuevo servidor SMTP que están utilizando en Codelco.</t>
  </si>
  <si>
    <t>6/30/2024 08:00</t>
  </si>
  <si>
    <t>6/30/2024 08:29</t>
  </si>
  <si>
    <t>00526386</t>
  </si>
  <si>
    <t>Se reinicia el equipo, recuperando así la pantalla.</t>
  </si>
  <si>
    <t>6/30/2024 08:28</t>
  </si>
  <si>
    <t>6/30/2024 08:58</t>
  </si>
  <si>
    <t>00526388</t>
  </si>
  <si>
    <t>CNRT - Bull 450 señal intermitente</t>
  </si>
  <si>
    <t>Se entrega la información del equipo con personal onsite para revisión.</t>
  </si>
  <si>
    <t>6/30/2024 09:06</t>
  </si>
  <si>
    <t>Norma Vargas</t>
  </si>
  <si>
    <t>6/30/2024 6:44 AM</t>
  </si>
  <si>
    <t>00526389</t>
  </si>
  <si>
    <t>AMCEN - Revisar C34</t>
  </si>
  <si>
    <t>Se reinicia el equipo, recuperando asi su pantalla.</t>
  </si>
  <si>
    <t>6/30/2024 09:20</t>
  </si>
  <si>
    <t>6/30/2024 09:30</t>
  </si>
  <si>
    <t>00526393</t>
  </si>
  <si>
    <t>CNCHUQ - C472 sin GPS</t>
  </si>
  <si>
    <t>Se reinicia el equipo, pero sigue sin GPS , se ingresan comando para ver el estado de la antena, pero esta no nos devuelve información, se le informa a Norma que el problema es físico, cableado seguramente, se deriva a personal de Sonda en terreno.
Nos llama Francisco, y se logra recuperar el GPS del camion.</t>
  </si>
  <si>
    <t>6/30/2024 10:52</t>
  </si>
  <si>
    <t>6/30/2024 12:34</t>
  </si>
  <si>
    <t>Enrique Codelco</t>
  </si>
  <si>
    <t>00526397</t>
  </si>
  <si>
    <t>MLCC - Consulta de reporte Jview</t>
  </si>
  <si>
    <t>Se busca algun reporte que haga lo que busca el cliente, pero no existe, se le indica a Jose que de ser necesario, pueden solicitar una cotización para crear dicho reporte.</t>
  </si>
  <si>
    <t>6/30/2024 11:06</t>
  </si>
  <si>
    <t>6/30/2024 11:38</t>
  </si>
  <si>
    <t>00526399</t>
  </si>
  <si>
    <t>AMCEN - Revisar PA2 y PA10</t>
  </si>
  <si>
    <t>Se reinician ambos equipos, posteriormente se revisa el VNC, estando todo funcionando correctamente.</t>
  </si>
  <si>
    <t>6/30/2024 11:04</t>
  </si>
  <si>
    <t>6/30/2024 11:44</t>
  </si>
  <si>
    <t>00526400</t>
  </si>
  <si>
    <t>AMCEN - Revisar C134</t>
  </si>
  <si>
    <t>Se reinicia el equipo, se revisa su VNC, y se ve todo con normalidad.</t>
  </si>
  <si>
    <t>6/30/2024 11:31</t>
  </si>
  <si>
    <t>6/30/2024 12:02</t>
  </si>
  <si>
    <t>00526401</t>
  </si>
  <si>
    <t>AMCEN - Sumarizacion Junio</t>
  </si>
  <si>
    <t>6/30/2024 11:46</t>
  </si>
  <si>
    <t>6/30/2024 17:44</t>
  </si>
  <si>
    <t>00526406</t>
  </si>
  <si>
    <t>MLCC - Perforadora 101.</t>
  </si>
  <si>
    <t>Se revisa la malla indicada por Viviana, pero esta no existe, se revisa la BD, pero esta la 103, no la 104, se le indica lo encontrado.
Posteriormente vemos que la pala esta trabajando con otra malla de forma normal.</t>
  </si>
  <si>
    <t>6/30/2024 14:10</t>
  </si>
  <si>
    <t>6/30/2024 14:33</t>
  </si>
  <si>
    <t>00526421</t>
  </si>
  <si>
    <t>CNRT - Pala 215 pantalla pegada</t>
  </si>
  <si>
    <t>Se reinicia la pantalla del equipo, se revisa el VNC y se ve como el operador ya puede interactuar con la pantalla.</t>
  </si>
  <si>
    <t>6/30/2024 17:19</t>
  </si>
  <si>
    <t>6/30/2024 17:32</t>
  </si>
  <si>
    <t>00526422</t>
  </si>
  <si>
    <t>6/30/2024 17:22</t>
  </si>
  <si>
    <t>6/30/2024 17:56</t>
  </si>
  <si>
    <t>00526424</t>
  </si>
  <si>
    <t>MLCC - Perforadora 101 sin GPS</t>
  </si>
  <si>
    <t>Se monitorea el equipo, pero este tiene su GPS con toda la señal, pasado 10 minutos llamamos a Mauricio quien nos confirma que ahora ve bien el GPS pero cuando llamo estaba en rojo.</t>
  </si>
  <si>
    <t>6/30/2024 17:30</t>
  </si>
  <si>
    <t>6/30/2024 17:54</t>
  </si>
  <si>
    <t>00526468</t>
  </si>
  <si>
    <t>MLCC - Problema Importador Planes</t>
  </si>
  <si>
    <t>El importador no se ejecuta de manera correcta a la hora de tener mas de un plan para subir al sistema, por lo que se mueven los archivos fuera de la carpeta "Planes" y se suben uno por uno manualmente, como observación este proceso se demora bastante por cada Plan.</t>
  </si>
  <si>
    <t>6/30/2024 20:24</t>
  </si>
  <si>
    <t>6/30/2024 22:13</t>
  </si>
  <si>
    <t>00526485</t>
  </si>
  <si>
    <t>CNRT - Problema CAS Pala P215</t>
  </si>
  <si>
    <t>Se revisa el equipo mediante el ME, el cual tiene correcto actualizado su posicionamiento, se le deriva la solicitud a Nelson Vergaras, especialista CAS por posible problema de hardware.</t>
  </si>
  <si>
    <t>6/30/2024 22:23</t>
  </si>
  <si>
    <t>00526486</t>
  </si>
  <si>
    <t>Se reinician los servicios SQL del servidor 58, el cual era el causante del encolamiento. Después de esto queda funcionando correctamente la replicación de datos.</t>
  </si>
  <si>
    <t>00526511</t>
  </si>
  <si>
    <t>AMCEN - Problema Pala PA26</t>
  </si>
  <si>
    <t>Se revisa en una primera instancia y no tenemos conexión con el equipo, por lo que se le comunica a Luis Rios la situación.</t>
  </si>
  <si>
    <t>00526518</t>
  </si>
  <si>
    <t>CNRT - Pala 710 sin GPS</t>
  </si>
  <si>
    <t>Se revisa el equipo, pero no tenemos llegada , por el sar tampoco, se habla con Ricardo de sonda para que revise el equipo en terreno.
Ricardo nos cuenta que personal de Hexagon cambio el core, pero sigue con problemas en la antena.
Elmer nos indica que se entrego el equipo por tronadura pero quedaron comprometidos con cambiar la antena el dia martes 02-07.</t>
  </si>
  <si>
    <t>00526532</t>
  </si>
  <si>
    <t>AMCEN - Desfase resumen ejecutivo</t>
  </si>
  <si>
    <t>Se revisa el reporte indicado, pero este se encuentra bien cuadrado</t>
  </si>
  <si>
    <t>Hugo Hexagon</t>
  </si>
  <si>
    <t>00526561</t>
  </si>
  <si>
    <t>Monitoreo - AMCEN - Reinicios de JAMS</t>
  </si>
  <si>
    <t>Se revisa el problema, y se detecta un reinicio manual al sistema, se consulta con Hugo , quien nos indica que fue Alex quien realizo el reinicio , ademas se eliminan procesos idle que estaban consumiendo muchos recursos del servidor, se sigue revisando pero todo se ve normal.</t>
  </si>
  <si>
    <t>00526569</t>
  </si>
  <si>
    <t>AMANT - diferencia by_detail_dumps</t>
  </si>
  <si>
    <t>Se revisa la diferencia, y se encuentra que las cargas perdidas, corresponden a los dias 2 y 4 de Junio, se sumarizan dichos dias, pero solo se recupera la data en el servidor replica 248, se recarga la data para el servidor Jview y este queda cuadrado con la misma cantidad de cargas indicadas en el postgres.</t>
  </si>
  <si>
    <t>00526573</t>
  </si>
  <si>
    <t>00526582</t>
  </si>
  <si>
    <t>AMZAL - Sumarizacion 24 al 30</t>
  </si>
  <si>
    <t>00526610</t>
  </si>
  <si>
    <t>MLCC - Tráficos de datos</t>
  </si>
  <si>
    <t>Se le entrega a Benjamín la información solicitada mediante un correo.</t>
  </si>
  <si>
    <t>Benjamin</t>
  </si>
  <si>
    <t>00526623</t>
  </si>
  <si>
    <t>Monitoreo - Sumarizacion 1 de Julio</t>
  </si>
  <si>
    <t>00526628</t>
  </si>
  <si>
    <t>00526629</t>
  </si>
  <si>
    <t>AMZAL - Pala N°2 no carga la malla</t>
  </si>
  <si>
    <t>Se revisa la pala , pero el polígono que le asignaron no esta donde se encuentra la pala trabajando, se le avisa a Freddy que seguramente asignaron mal el polígono.</t>
  </si>
  <si>
    <t xml:space="preserve">Freddy </t>
  </si>
  <si>
    <t>00526636</t>
  </si>
  <si>
    <t>AMZAL - Problema D11 GPS</t>
  </si>
  <si>
    <t>Se revisa el equipo y se encuentra con problemas de señal GPS, se reinicia sin lograr recuperar esta, también se revisan los sensors del equipo y el gps presenta error, se da el aviso a Freddy que el problema puede deberse a una falla en el hardware.</t>
  </si>
  <si>
    <t>Freddy Quispe</t>
  </si>
  <si>
    <t>00526653</t>
  </si>
  <si>
    <t>MLCC - Problema Descarga y Descarga Sumario</t>
  </si>
  <si>
    <t>Como se cerró el mes tomando en consideración la vista Descargas se tomarán esos datos en consideración.</t>
  </si>
  <si>
    <t>00526658</t>
  </si>
  <si>
    <t>AMCEN - Problema Pala PA11</t>
  </si>
  <si>
    <t>Se revisa la Pala PA11 y esta se encuentra funcionando correctamente.</t>
  </si>
  <si>
    <t>00526659</t>
  </si>
  <si>
    <t>AMCEN - Factor de Carga Julio</t>
  </si>
  <si>
    <t>Marcelo Oliveira se encargó de este requerimiento, el cual implicó cargar nuevamente el factor de carga en el sistema utilizando los datos correctos.</t>
  </si>
  <si>
    <t>00526660</t>
  </si>
  <si>
    <t>AMANT - Problemas Camiones H28 y H18</t>
  </si>
  <si>
    <t>Se revisaron los equipos y se identificó un reinicio en su registro. Posteriormente, se mantuvieron bajo monitoreo en donde no se observo otro reinicio. Se consultó a Alejandro para confirmar si los operadores tampoco experimentaron reinicios, con el fin de descartar problemas de hardware. Equipos quedan funcionando correctamente</t>
  </si>
  <si>
    <t>Alejandro Calasis</t>
  </si>
  <si>
    <t>00526661</t>
  </si>
  <si>
    <t>CNRT - Problema Señal Pala P205</t>
  </si>
  <si>
    <t>No se logra tener comunicación con el equipo, por lo que se le da el aviso a Sebastian con las indicaciones de que el problema se puede deber a la ubicación del equipo junto con la cobertura de las antenas.</t>
  </si>
  <si>
    <t>Sebastian Sonda</t>
  </si>
  <si>
    <t>00526665</t>
  </si>
  <si>
    <t>MLCC - Recuperar Botadero</t>
  </si>
  <si>
    <t>Se recupera el botadero desde la base de datos, también se le realiza un create children y se revisa quien fue el que elimino el botadero en primero lugar.</t>
  </si>
  <si>
    <t>00526669</t>
  </si>
  <si>
    <t>CNRI - Problema CAEX CE115</t>
  </si>
  <si>
    <t>Se revisa el equipo el cual se encuentra sin conexión, se le da el aviso a Daniela.</t>
  </si>
  <si>
    <t>00526680</t>
  </si>
  <si>
    <t>CNCHUQ - 624 sin GPS</t>
  </si>
  <si>
    <t>Se revisa el equipo, pero no tenemos conexión con la pantalla , se le indica a Francisco de Sonda quien va a ver el equipo a terreno , se revisan las conexiones y ya tenemos acceso a la pantalla, el GPS esta con su conexión correcta.</t>
  </si>
  <si>
    <t>Francisco Sonda</t>
  </si>
  <si>
    <t>00526681</t>
  </si>
  <si>
    <t>00526682</t>
  </si>
  <si>
    <t>MLCC - Halo de tronadura no se carga</t>
  </si>
  <si>
    <t>Se revisa el servidor, encontrado un proceso encolado, se elimina y después se carga de forma manual el importador, llamamos a despacho y Viviana nos confirma que ya lo pueden visualizar.</t>
  </si>
  <si>
    <t>Mauricio</t>
  </si>
  <si>
    <t>00526683</t>
  </si>
  <si>
    <t>AMCEN - Error en transporte</t>
  </si>
  <si>
    <t>Se generó un nuevo usuario para próximo personal que requiera y se devolvió la contraseña del usuario ya existente para evitar conflictos y se validó que rescata la información ok.</t>
  </si>
  <si>
    <t>Camila Figueroa</t>
  </si>
  <si>
    <t>00526693</t>
  </si>
  <si>
    <t>MLCC - Sumarizacion cierre de mes junio 2024</t>
  </si>
  <si>
    <t>00526708</t>
  </si>
  <si>
    <t>CNTTE - Cambio de clave mineops y Jview</t>
  </si>
  <si>
    <t>Se reinician las claves de mineops y Jview</t>
  </si>
  <si>
    <t>00526710</t>
  </si>
  <si>
    <t>MLCC - Halo de tronadura no se carga 2</t>
  </si>
  <si>
    <t>Se le carga manualmente el halo de tronadura, porque le hicieron unas modificaciones.</t>
  </si>
  <si>
    <t>00526724</t>
  </si>
  <si>
    <t>CNRT - sumarizar 01 al 20 de junio 2024</t>
  </si>
  <si>
    <t>00526726</t>
  </si>
  <si>
    <t>MAGSA - Modelos y flota de equipos Veladero</t>
  </si>
  <si>
    <t>Se entrega la información solicitada.</t>
  </si>
  <si>
    <t>Alex Vergara</t>
  </si>
  <si>
    <t>00526728</t>
  </si>
  <si>
    <t>CNN - Conciliación Mina / Mantenimiento - Resumarización jigsaw - Semana 26</t>
  </si>
  <si>
    <t>00526735</t>
  </si>
  <si>
    <t>00526742</t>
  </si>
  <si>
    <t>CNMS - Archivos de planes</t>
  </si>
  <si>
    <t>Se realiza la carga de los planes</t>
  </si>
  <si>
    <t>00526783</t>
  </si>
  <si>
    <t>CNRT - Problema CAEX C950</t>
  </si>
  <si>
    <t>Se intenta conectarse al equipo pero no se tiene éxito, se le da el aviso a Sebastian de que puede ser problemas de cobertura por el sector.</t>
  </si>
  <si>
    <t>00526784</t>
  </si>
  <si>
    <t>AAM - Problemas Equipos MineOPS</t>
  </si>
  <si>
    <t>Se revisan los equipos en el JSMina y efectivamente varios equipos se encuentran sin señal, sin embargo, esto se debe al sector, ya que al moverse a otra zona los equipos vuelven a retomar su comunicación.</t>
  </si>
  <si>
    <t>00526785</t>
  </si>
  <si>
    <t>AAM - Cambio de Contraseña MineOPS</t>
  </si>
  <si>
    <t>Se cambia de manera correcta la contraseña para su cuenta de MineOPS.</t>
  </si>
  <si>
    <t>00526786</t>
  </si>
  <si>
    <t>AAM - Problemas Reportes Jview</t>
  </si>
  <si>
    <t>Armando Pompa nos comunica que no tenemos conexión con el servidor 252, lo que produce que no se pueda replicar los datos en el Jview.</t>
  </si>
  <si>
    <t>Nicolas Vega</t>
  </si>
  <si>
    <t>00526787</t>
  </si>
  <si>
    <t>CNCHUQ - Problemas PA894 y PA230</t>
  </si>
  <si>
    <t>Se revisa el equipo PA894 pero este se encuentra con baja señal GPS y también perdida de paquetes en su conexión. Relacionado a esto se revisa un equipo cercano a la PA894 el cual también perdió señal a la hora de acercarse al sector. Por otro lado, el equipo PA230 se encuentra funcionando correctamente.</t>
  </si>
  <si>
    <t>00526788</t>
  </si>
  <si>
    <t>Monitoreo - MLCC - Procesos encolados SQL</t>
  </si>
  <si>
    <t>Se reinician los servicios SQL del servidor 58, el cual era el que estaba provocando el encolamiento. Con esto queda replicando de manera correcta los datos.</t>
  </si>
  <si>
    <t>00526796</t>
  </si>
  <si>
    <t>AMCEN - Problema CF3</t>
  </si>
  <si>
    <t>Se revisa en una primera instancia el equipo CF3 y este se encuentra sin comunicación, se le comunica a Luis Rios. Luego de un reinicio en terreno, esta vuelve a retomar la señal y se visualiza su correcto funcionamiento.</t>
  </si>
  <si>
    <t>00526827</t>
  </si>
  <si>
    <t>CNRT - Problema RT5</t>
  </si>
  <si>
    <t>El equipo no tiene conexión, se le comunica a Sebastian Sonda que se debe a una zona sin cobertura.</t>
  </si>
  <si>
    <t>00526829</t>
  </si>
  <si>
    <t>Monitoreo - CNDMH - Procesos encolados SQL</t>
  </si>
  <si>
    <t>Se reinician los servicios SQL del servidor 58, el cual estaba provocando el encolamiento.</t>
  </si>
  <si>
    <t>00526848</t>
  </si>
  <si>
    <t>AMZAL - Modificar destinatario reporte automático</t>
  </si>
  <si>
    <t>Se modifica la suscripción del reporte como fue solicitado y se informa a cliente.</t>
  </si>
  <si>
    <t>00526849</t>
  </si>
  <si>
    <t>CNRT - Sumarización días con diferencia</t>
  </si>
  <si>
    <t>Se utilizó la información brindada de los logs de las sumarizaciones para corregir los problemas en descuadre y finalmente se coordinó con ingeniero residente quedando todo cuadrado.</t>
  </si>
  <si>
    <t>00526851</t>
  </si>
  <si>
    <t>Monitoreo - AMANT - Sumarizador detenido</t>
  </si>
  <si>
    <t>Se vuelve a levantar servicio y mantiene monitoreo. Todo ok</t>
  </si>
  <si>
    <t xml:space="preserve">
7/3/2024 9:26 AM</t>
  </si>
  <si>
    <t>00526858</t>
  </si>
  <si>
    <t>AMCEN - Sin acceso a aplicativo jview</t>
  </si>
  <si>
    <t>Se detecta el disco donde se guardan los logs de la base de datos jmineops está completamente lleno por lo que se realiza procedimiento para liberar espacio disminuyendo el log normalizando el funcionamiento de la aplicación jview.</t>
  </si>
  <si>
    <t>00526872</t>
  </si>
  <si>
    <t>CNDMH - Revisión de caex</t>
  </si>
  <si>
    <t>Se revisan configuraciones de los camiones que presentan problemas y estas estan correctas. despues de varias pruebas y revisiones se eleva a nivel de configuracion de SAR, donde existen diferencias de configuracion entre los equipos que presentan el problema y equipos operativos. </t>
  </si>
  <si>
    <t>00526877</t>
  </si>
  <si>
    <t>CNDMH - Revisión de moto</t>
  </si>
  <si>
    <t>Equipo de terreno revisa en un camion operativo y reinstala el C716, para descartar configuracion. pruebas son exitosas.</t>
  </si>
  <si>
    <t>00526898</t>
  </si>
  <si>
    <t>CNN - Cambio de factor de carga</t>
  </si>
  <si>
    <t>Personal de redes revisa y reconfigura los SAR, que era la causa del problema.</t>
  </si>
  <si>
    <t>00526903</t>
  </si>
  <si>
    <t>CNRT - Revisar C322</t>
  </si>
  <si>
    <t>Con un borrado de la base de datos interna del equipo y reinicio remoto se logra recuperar el gps del equipo.</t>
  </si>
  <si>
    <t>Sebastian Cortes Sonda</t>
  </si>
  <si>
    <t>00526905</t>
  </si>
  <si>
    <t>MLCC - Planes budget encolados</t>
  </si>
  <si>
    <t>Se detecta en uno de los archivos una fila de comas sin valores generando problemas. Al corregir esto pasan sin problemas.</t>
  </si>
  <si>
    <t>00526920</t>
  </si>
  <si>
    <t>AMCEN - Replica no finaliza correctamente</t>
  </si>
  <si>
    <t>Se omitió la tabla shift_states para una ejecución limpia de replica normal y correcta. Posteriormente se volvió a considerar permitiendo que se replique correctamente, luego se mantiene monitoreo determinando que están ejecutándose todos los procesos de manera ok</t>
  </si>
  <si>
    <t>Marcelo Oliveira/Internal</t>
  </si>
  <si>
    <t>00526922</t>
  </si>
  <si>
    <t>Se reinician los servicios SQL Server en el servidor jview normalizando la replica</t>
  </si>
  <si>
    <t>00526923</t>
  </si>
  <si>
    <t>CNDRT - Crear usuario jmineops</t>
  </si>
  <si>
    <t>Se genera el usuario y se proporcionan las credenciales vía llamada de teléfono</t>
  </si>
  <si>
    <t>Alberto Gallardo / Juan Gomez</t>
  </si>
  <si>
    <t>00526939</t>
  </si>
  <si>
    <t>Monitoreo - CNDMH - Equipos de red LTE desconectados</t>
  </si>
  <si>
    <t>Se mantiene monitoreo y se detecta que todos los nodos informados se encuentran arriba posterior a respuesta por parte de equipo de redes</t>
  </si>
  <si>
    <t>00526965</t>
  </si>
  <si>
    <t>Monitoreo - CNDMH - Servicios SQL server encolados reiteradamente.</t>
  </si>
  <si>
    <t>Una vez revisado los procesos encolados (run2) se procede a matarlos para posteriormente reiniciar servicios de SQL</t>
  </si>
  <si>
    <t>00526981</t>
  </si>
  <si>
    <t>CNDRT - Revisión caex 914</t>
  </si>
  <si>
    <t>Se intenta revisar de manera remota pero no es posible por falta de comunicación. Se informa a personal de terreno para su atención.</t>
  </si>
  <si>
    <t>Ricardo Godoy</t>
  </si>
  <si>
    <t>00526985</t>
  </si>
  <si>
    <t>CNRI - Pala 204 no aparece en sistema</t>
  </si>
  <si>
    <t>Se deriva a ingeniero residente Gonzalo Araya para su gestión. Posteriormente informa que se solucionó.</t>
  </si>
  <si>
    <t>Sergio</t>
  </si>
  <si>
    <t>00526986</t>
  </si>
  <si>
    <t>TQB - Problema para acceder a la aplicación</t>
  </si>
  <si>
    <t>Se reinician los servicios Sharperlight, Web MineEnterprise y Hxgn Gateway recuperando el acceso a la web y adicionalmente se detecta que el posicionamiento estaba detenido desde el día 03-07 por lo que se reintegra la información quedando actualizado.</t>
  </si>
  <si>
    <t>Angeles Bautista</t>
  </si>
  <si>
    <t>00526999</t>
  </si>
  <si>
    <t>CNDRT - Revisión caex 322</t>
  </si>
  <si>
    <t>Se revisa el equipo de manera remota realizando un reinicio se logra recuperar funcionamiento del gps del equipo.</t>
  </si>
  <si>
    <t>Juan Jara</t>
  </si>
  <si>
    <t>00527000</t>
  </si>
  <si>
    <t>CNDRT - Revisión caex 328</t>
  </si>
  <si>
    <t>Se realiza intervención de manera remota reiniciando el equipo recuperando así el correcto funcionamiento de su gps y sistema.</t>
  </si>
  <si>
    <t>00527001</t>
  </si>
  <si>
    <t>Se genera el usuario según documento y se entregan las credenciales al cliente.</t>
  </si>
  <si>
    <t>00527017</t>
  </si>
  <si>
    <t>CNDRT - revisión pala 214 problema con CAS</t>
  </si>
  <si>
    <t>00527018</t>
  </si>
  <si>
    <t>CNDRT - Pala 205 con pantalla pegada</t>
  </si>
  <si>
    <t>Se intenta revisar de manera de remota pero no existe comunicación con el equipo. Se informa de esto al cliente para su atención en terreno.</t>
  </si>
  <si>
    <t>00527039</t>
  </si>
  <si>
    <t>CNCHUQ - Ubicación de CR67</t>
  </si>
  <si>
    <t>Se considera que el problema es general para la faena, se esta trabajando por parte de ingeniero de CAS para solucionar esto. No fue posible volver a contactar con Enrique, pero su solicitud era solo si se podía encontrar la ubicación, de no poderse mandaría gente a buscar el equipo a terreno.</t>
  </si>
  <si>
    <t>Alberto Rene Gallardo Rojas</t>
  </si>
  <si>
    <t>00527058</t>
  </si>
  <si>
    <t>Personal en terreno logra levantar las conexiones de los dos AP desconectados.</t>
  </si>
  <si>
    <t>00527060</t>
  </si>
  <si>
    <t>AAM - Descargas en destino desconocido</t>
  </si>
  <si>
    <t>Después de realizar pruebas de dumps en postgres y revisar Jview se corrobora que no aparecen los botaderos que menciana Pedro, Se siguen haciendo consultas durante el dia y la noche y estos nombres (Norte de BOFRANKo y BOMBERO) no vuelven a aparecer. Se confirma con Pedro que los reportes están correctos.</t>
  </si>
  <si>
    <t>00527089</t>
  </si>
  <si>
    <t>CNRT - C825 sin GPS</t>
  </si>
  <si>
    <t>Se hace revisión de conectividad, y señal GPS. Posterior a reinicio del equipo este recupera su posición actual GPS.</t>
  </si>
  <si>
    <t>00527103</t>
  </si>
  <si>
    <t>AMZAL - cambiar forma de representación correo automático de reporte</t>
  </si>
  <si>
    <t>Se actualiza la forma de representación de PDF a MHTML que es la que visualiza directo en el correo el contenido del reporte.</t>
  </si>
  <si>
    <t>00527139</t>
  </si>
  <si>
    <t>MLCC - No actualizan planillas excel</t>
  </si>
  <si>
    <t>Se reinician los servicios SQL del servidor .59 desencolando el run2 y luego se mantiene monitoreo comprobando que pasa ok</t>
  </si>
  <si>
    <t>Sofia Martinez CIO</t>
  </si>
  <si>
    <t>00527141</t>
  </si>
  <si>
    <t>AMANT - Revisión de Bull 3</t>
  </si>
  <si>
    <t>Se valida que los problemas no sean debido a certificados del equipo y luego se mantiene apoyo con monitoreo del equipo. Se pudo observar que el core del equipo si levantaba y era directamente la pantalla la que tenía problemas, se informó de esto a Daniel para tener mas precisión de que revisar.</t>
  </si>
  <si>
    <t>00527169</t>
  </si>
  <si>
    <t>Monitoreo - MAGSA - Encolamiento SQL_server</t>
  </si>
  <si>
    <t>Se da seguimiento, encontrando que run_sql estaba encolando durante la noche, este vuelve a la normalidad en unos minutos, se seguirá monitoreando.</t>
  </si>
  <si>
    <t>00527170</t>
  </si>
  <si>
    <t>AMANT - Pala 04 SH02 sin comunicación.</t>
  </si>
  <si>
    <t>Dentro del monitoreo se detecta que el equipo vuelve a tomar cobertura, se le da seguimiento por 30 min sin perdida de señal de este, posteriormente se le revisa sensores, y GPS los cuales funcionan sin inconvenientes y con buena cantidad de satélites. VNC muestra equipo trabajando en su polígono definido. Se habla con despachador quien corrobora correcto funcionamiento del equipo.</t>
  </si>
  <si>
    <t>00527184</t>
  </si>
  <si>
    <t>MLCC - D104 no muestra KPIs</t>
  </si>
  <si>
    <t>Se mantiene monitoreo en el equipo pudiendo observar que si está generando valores de KPI en medida que opera</t>
  </si>
  <si>
    <t>00527189</t>
  </si>
  <si>
    <t>CNDMH - Caex 716 no levanta panel</t>
  </si>
  <si>
    <t>Mergeado con ticket 00526872</t>
  </si>
  <si>
    <t>00527191</t>
  </si>
  <si>
    <t>CNDMH - Instalar aplicativo mineops</t>
  </si>
  <si>
    <t>Se responde a Juan Gomez que es posible realizar la instalación del aplicativo desde soporte remoto pero requiere de permisos de administrador y acceso al computador de la persona.</t>
  </si>
  <si>
    <t>Juan Gomez</t>
  </si>
  <si>
    <t>00527194</t>
  </si>
  <si>
    <t>Se reinician los servicios SQL Server en servidor .59</t>
  </si>
  <si>
    <t>Sofía Martinez</t>
  </si>
  <si>
    <t>00527195</t>
  </si>
  <si>
    <t>CNRI - Camionesnuevos no se les puede asignar vueltas</t>
  </si>
  <si>
    <t>Una vez logrando entrar a escritorio remoto se hacen chequeos de tabla device y equipment, encontrando a los caex 349 y 353 sin parametros definidos, esto se comprueba igualmente en la pestaña equipos de jmineop. Se procede a cargar a definir la flota y otros parametros.</t>
  </si>
  <si>
    <t>00527199</t>
  </si>
  <si>
    <t>Monitoreo - CNRT - AP E Ripios B y MRT sur A sin conexion.</t>
  </si>
  <si>
    <t>Personal en terreno chequea los equipos y levanta los enlaces.</t>
  </si>
  <si>
    <t>00527205</t>
  </si>
  <si>
    <t>Monitoreo - CNDMH - SQL server encolado</t>
  </si>
  <si>
    <t>Se procede a revisar el motivo del encolamiento, limpiar el encolado y reiniciar SQL en el servidor Jview.</t>
  </si>
  <si>
    <t>00527210</t>
  </si>
  <si>
    <t>AMZAL - Baja cobertura de red en Stocks Baja Ley y Stocks 8 y 9</t>
  </si>
  <si>
    <t>00527220</t>
  </si>
  <si>
    <t>CNDMH - Pantalla de C377 no levanta</t>
  </si>
  <si>
    <t>00527286</t>
  </si>
  <si>
    <t>Manto verde - Equipo 2CF9203, Regadores 2CAM7303 y REKO004 sin posicionamiento actual.</t>
  </si>
  <si>
    <t>Son problemas de red, tendremos que esperar hasta que levanten el tema en terreno por RED.</t>
  </si>
  <si>
    <t>00527374</t>
  </si>
  <si>
    <t>AMZAL - Punto descargas con "descarga" errónea</t>
  </si>
  <si>
    <t>Estos puntos de descargas que fueron efectuados en STO-CH9 y figuran en CHANCADO son ocasionados por estar fijos a este ultimo, lo cual hace que cualquier descarga, aunque haya sido realizada en otro lugar, sea contabilizada en CHANCADO.</t>
  </si>
  <si>
    <t>00527391</t>
  </si>
  <si>
    <t>AMCEN - problemas vista Produccion Fase</t>
  </si>
  <si>
    <t>00527399</t>
  </si>
  <si>
    <t>AAM - Equipos de carguío pala006 y frontal CFCA016 no muestran ubicación real</t>
  </si>
  <si>
    <t>Se intenta revisar los equipos pero no es posible debido a problemas de comunicación. Se recomienda la atención en terreno de los equipos.</t>
  </si>
  <si>
    <t>00527444</t>
  </si>
  <si>
    <t>CNRT - Pala 211 con desviación de 21 metros en cota</t>
  </si>
  <si>
    <t>Se hace revisión de los GPS de la pala, estos marcan correctamente, se sigue revisando la tronada definida la cual presenta una diferencia de 20 metros respecto a lo real. Se modifica el valor recuperando la correcta distancia entre cotas. En el caso de la PA206 esta funciona correctamente.</t>
  </si>
  <si>
    <t>00527476</t>
  </si>
  <si>
    <t>AAM - Visualizacion de botaderos en reporte Prod-Desc Turno con errores</t>
  </si>
  <si>
    <t>Después del análisis del caso y sabiendo que las cuentas de jmineop no tiene el problemas y que solo un despachador en un PC especifico ve los reportes así, se concluyo que debe ser analizado con personal de TI de mantos verdes.</t>
  </si>
  <si>
    <t>00527506</t>
  </si>
  <si>
    <t>AAM - Touch de jspanel descalibrado en perforadora</t>
  </si>
  <si>
    <t>Se realiza procedimiento para recalibración de la pantalla en línea con personal de terreno.</t>
  </si>
  <si>
    <t>Juan Carlos Oropeza</t>
  </si>
  <si>
    <t>00527544</t>
  </si>
  <si>
    <t>CRSTEN - Sacar del sistema CAEX 311</t>
  </si>
  <si>
    <t>Se deja deleted_at el equipo en la fecha solicitada, luego se dejan deleted_at los estados posteriores a la fecha estipulada y finalmente se sumarizó desde la fecha hasta la actualidad</t>
  </si>
  <si>
    <t>Juan Peñaloza</t>
  </si>
  <si>
    <t>00527557</t>
  </si>
  <si>
    <t>AAM - Certificados de PALA006</t>
  </si>
  <si>
    <t>Se mueven los certificados desde la pantalla a la ubicación correcta, después de esto, sigue sin levantar la PALA006, por lo que Maikol Salas realiza un makeclient para que el fms creara el archivo con la IP actualizada y luego reiniciar. También se modifica el archivo ya que estaba mal la IP del túnel para el equipo, luego de esto queda funcionando correctamente.</t>
  </si>
  <si>
    <t>00527633</t>
  </si>
  <si>
    <t>Monitoreo - AMANT - Sin Conexión al servidor</t>
  </si>
  <si>
    <t>Rodrigo Montenegro nos comunica que hubo un problema eléctrico en la sala de servidores, específicamente fallaron los ups, por lo que hizo que estos se apagaran y a la hora de levantar estos se switchearan ya que levanto primero el servidor secundario.</t>
  </si>
  <si>
    <t>00527657</t>
  </si>
  <si>
    <t>CNTTE - Problemas Camiones CA307 y CA313</t>
  </si>
  <si>
    <t>Se le informa a Raquel Lopez que el CAEX CA313 tiene apagado el equipo y VNC, por lo que se debe revisar en terreno  para recuperar su funcionamiento y en cuanto al CA307 tiene problemas con los VIMS por lo que no cambia de manera automatica sus actividades provocando que pierda vueltas si no se asignan correctamente las actividades.</t>
  </si>
  <si>
    <t xml:space="preserve">Marcela Cansino </t>
  </si>
  <si>
    <t>00527659</t>
  </si>
  <si>
    <t>CNTTE - Sin Conexión al Jview</t>
  </si>
  <si>
    <t>Se revisa el Jview y este se encuentra funcionando correctamente. Se le intenta comunicar a Matías Pizarro pero no hay respuesta.</t>
  </si>
  <si>
    <t>Matias Pizarro</t>
  </si>
  <si>
    <t>00527680</t>
  </si>
  <si>
    <t>Se reinician los servicios y se revisa que no se sigan encolando.</t>
  </si>
  <si>
    <t>00527682</t>
  </si>
  <si>
    <t>CNRI - Caex 121 intermitencia</t>
  </si>
  <si>
    <t>Se reinicia el equipo y se monitorea estando todo normal, se le devuelve el llamado a Patricio Matus quien nos confirma que el equipo esta OK.</t>
  </si>
  <si>
    <t>Patricio Matus</t>
  </si>
  <si>
    <t>00527685</t>
  </si>
  <si>
    <t>AMCEN - Solicitud de revision Asignación de Caex</t>
  </si>
  <si>
    <t>Se revisan los equipos indicados y de primeras encontramos muchos problemas con el 793, este no esta asignado a nada y no tiene ni un operador trabajando con el equipo, mientras que el 797 ni si quiera existe, se le indica a Juan Ortuño quien queda de averiguar mas información, pero no nos vuelve a llamar por el tema.</t>
  </si>
  <si>
    <t>00527686</t>
  </si>
  <si>
    <t>CNDMH - P211 sin comunicación</t>
  </si>
  <si>
    <t>Se revisa el equipo pero no se puede acceder por ningún medio, se le indica a Albaro que tendrán que revisar el equipo en terreno.</t>
  </si>
  <si>
    <t>Albaro DMH</t>
  </si>
  <si>
    <t>00527688</t>
  </si>
  <si>
    <t>Se realiza el cambio de contraseña y se prueba el usuario estando todo ok, se le devuelve el llamado a Raquel quien nos confirma que también tiene acceso.</t>
  </si>
  <si>
    <t>Raquel</t>
  </si>
  <si>
    <t>00527690</t>
  </si>
  <si>
    <t>AAM - Proceso de sumarización</t>
  </si>
  <si>
    <t>00527693</t>
  </si>
  <si>
    <t>AMANT - Problemas con alta precisión perforadoras</t>
  </si>
  <si>
    <t>Se trabaja en conjunto con Rodrigo, quien luego de muchas pruebas, detecto que el problema era la boquilla del switch donde estaba conectada la estación base, se hace el cambio y ya se tiene conexión nuevamente con la estación</t>
  </si>
  <si>
    <t>Juan Carlos</t>
  </si>
  <si>
    <t>00527694</t>
  </si>
  <si>
    <t>AMZAL - C43 sin GPS</t>
  </si>
  <si>
    <t>Se revisa el equipo el cual tiene su gps trabajando correctamente.</t>
  </si>
  <si>
    <t>00527698</t>
  </si>
  <si>
    <t>AMZAL - RE: Reporte Exceso de velocidad Zaldivar - Turno GCH Turno A se ejecutó a las 10/07/2024 19:15:03</t>
  </si>
  <si>
    <t>Se realizan las modificaciones solicitadas por Miguel.</t>
  </si>
  <si>
    <t>00527700</t>
  </si>
  <si>
    <t>AAM - Sin acceso a las carpetas compartidas</t>
  </si>
  <si>
    <t>Se configura el samba , dando acceso a las carpetas compartidas, se llama a Marcelo quien nos confirma que el personal de despacho tiene acceso nuevamente a las carpetas.</t>
  </si>
  <si>
    <t>00527707</t>
  </si>
  <si>
    <t>CNRI - Camiones sin VNC</t>
  </si>
  <si>
    <t>Se reinician todos los camiones que están trabajando para recuperar sus pantallas.</t>
  </si>
  <si>
    <t>00527710</t>
  </si>
  <si>
    <t>CNRI - CE108 sin acceso a la pantalla</t>
  </si>
  <si>
    <t>Se revisa el equipo, al cual podemos acceder a su core, pero desde ahí no tenemos ping con la pantalla, se le indica a Patricio que lo deben revisar en terreno.</t>
  </si>
  <si>
    <t>00527711</t>
  </si>
  <si>
    <t>AMZAL - Pala 3 lentitud en el sistema</t>
  </si>
  <si>
    <t>00527712</t>
  </si>
  <si>
    <t>CNRI - Caex 347 intermitencia</t>
  </si>
  <si>
    <t>00527717</t>
  </si>
  <si>
    <t>CNRI - RV: Zonificaciones banco 2810</t>
  </si>
  <si>
    <t>Se intenta cargar el archivo, pero este nos da un error, se le informa a Patricio por correo de lo ocurrido para que puedan modificar el archivo.</t>
  </si>
  <si>
    <t>00527722</t>
  </si>
  <si>
    <t>Rodrigo Montenegro nos comunica que hubo otro corte de luz, el cual provoco que los servidores se apagaran y provoque otro switcheo de servidores, se le hace una revisión inicial a los servidores, levantando el reporting services.</t>
  </si>
  <si>
    <t>00527733</t>
  </si>
  <si>
    <t>MLCC - Incongruencia de datos Planilla Excel vs Jview</t>
  </si>
  <si>
    <t>Se hace una revision del equipo y cuanto tiempo paso en mantencion, para luego comparar con el porcentaje reflejado en el reporte Jview, el cual estaba correcto. Se le comunica esto a Karim Campos ya que el problema es de su excel.</t>
  </si>
  <si>
    <t>00527737</t>
  </si>
  <si>
    <t>Mantoverde - Sumarizacion</t>
  </si>
  <si>
    <t>Se realiza la sumarizacion de los días solicitados. Despues de unas horas, se vuelve a pedir otra sumarizacion que tambien fue realizada.</t>
  </si>
  <si>
    <t>00527749</t>
  </si>
  <si>
    <t>AMZAL - Transformación de Coordenadas</t>
  </si>
  <si>
    <t>Se le da el aviso a Edison Lopez sobre como calcular la cota GPS. El calculo consistía en dividir la cota de la base de datos por 100 y luego restar la geo_undulation de la tabla projection_specs.</t>
  </si>
  <si>
    <t>Edison Lopez</t>
  </si>
  <si>
    <t>00527772</t>
  </si>
  <si>
    <t>Monitoreo - CNTTE - Jview Caido</t>
  </si>
  <si>
    <t>Se revisa el servidor y el IIS no se encuentra conectado correctamente, son reingresadas logrando así la conexión correcta pero aun así no funciona la pagina Jview. Por otro lado disco duro se encontraba sin espacio, por lo que se tuvieron que eliminar datos temporales y finalmente reiniciar el servidor con lo que se logra recuperar el sistema.</t>
  </si>
  <si>
    <t>00527793</t>
  </si>
  <si>
    <t>CNTTE - Checklist solo ve su encabezado</t>
  </si>
  <si>
    <t>Se revisa el informe, el cual funciona correctamente con otros equipos, pese a que la PF103 estuvo fuera de servicio un tiempo, no fue tanto como para dejar de aparecer en los informes, se sigue investigando y resulta que se había  agregado un filtro para que este equipo no apareciera en el reporte, se quita el filtro y el equipo vuelve a figurar como corresponde.</t>
  </si>
  <si>
    <t>Renato Pino</t>
  </si>
  <si>
    <t>00527805</t>
  </si>
  <si>
    <t>00527806</t>
  </si>
  <si>
    <t>CNRI - caex 108</t>
  </si>
  <si>
    <t>Se revisa el equipo, el cual efectivamente arroja mas de 30 alarmas, se deja un correo pasado al personal de terreno para que lo puedan revisar.</t>
  </si>
  <si>
    <t>00527809</t>
  </si>
  <si>
    <t>CNCHUQ - Reinicio de camiones</t>
  </si>
  <si>
    <t>Se reinician los 3 equipos solicitados por Alberto.</t>
  </si>
  <si>
    <t>00527812</t>
  </si>
  <si>
    <t>CNRI - caex 347</t>
  </si>
  <si>
    <t>Se reinicia el equipo, recuperando así su acceso al VNC.</t>
  </si>
  <si>
    <t>00527817</t>
  </si>
  <si>
    <t>AMANT - Perforadora D02 pierde pozos</t>
  </si>
  <si>
    <t>Se revisa el equipo, pero este tiene buena comunicación y 11 pozos cuando es revisado, se llama de vuelta a Patricio para preguntar cuantos pozos debiera llevar el equipo, el operador nos comenta que esta haciendo el N°12, lo cual coincide con la información mostrada en el sistema.</t>
  </si>
  <si>
    <t>00527821</t>
  </si>
  <si>
    <t>AMANT - Pala S100</t>
  </si>
  <si>
    <t>Se le asignan los estados usando como referencia otra perforadora, se reinicia el equipo y este ya cuenta con los estados correspondientes.</t>
  </si>
  <si>
    <t>00527825</t>
  </si>
  <si>
    <t>Se revisa el equipo, el cual pese a la mala comunicación, se logra ver su VNC, de todas formas se le hace un reinicio al equipo y se le informa lo encontrado a Juan Ortuño.</t>
  </si>
  <si>
    <t>00527841</t>
  </si>
  <si>
    <t>CNRI - Problema importar Poligono</t>
  </si>
  <si>
    <t>Se revisó el archivo que no se importaba correctamente en el sistema debido a que contenía múltiples separaciones entre líneas con ",,,,,," adicionales. Esto provocaba que intentara insertar una fila después de cada fin de línea donde no había datos disponibles.</t>
  </si>
  <si>
    <t>00527867</t>
  </si>
  <si>
    <t>CNTTE - Reportes automáticos no se envían</t>
  </si>
  <si>
    <t>Se revisa la suscripción de los reportes las cuales estaban con fecha final el 31 de Mayo del 2024, estas fueron modificadas para que su termino de emisión sea el 31 de Agosto del 2024.</t>
  </si>
  <si>
    <t>Jose Herbage</t>
  </si>
  <si>
    <t>00527873</t>
  </si>
  <si>
    <t>MLCC - Problema importador Hazard</t>
  </si>
  <si>
    <t>Se revisa el crontab y se encuentra que la ruta que esta siendo ejecutada no esta funcionando por lo que se le modifica y queda funcionando correctamente.</t>
  </si>
  <si>
    <t>00527874</t>
  </si>
  <si>
    <t>MLCC - Problema importador Malla</t>
  </si>
  <si>
    <t>Se modifica la ruta del crontab que hace referencia al importador de Mallas, el cual no estaba funcionando correctamente. Después de esto el archivo sube de manera normal.</t>
  </si>
  <si>
    <t>00527879</t>
  </si>
  <si>
    <t>CNRI - Factores de carga se cambian</t>
  </si>
  <si>
    <t>Se observan que los nuevos polígonos no tenían asignada una Fase ni estado, por lo que se modifican y quedan funcionando correctamente.</t>
  </si>
  <si>
    <t>00527884</t>
  </si>
  <si>
    <t>CNRI - Problema Caex CE104</t>
  </si>
  <si>
    <t>Se reinicia el equipo recuperando su correcto funcionamiento.</t>
  </si>
  <si>
    <t>00527885</t>
  </si>
  <si>
    <t>MLCC - Problema importador Modelo Bloque</t>
  </si>
  <si>
    <t>Al igual que los demás importadores, se le cambia la ruta que tenía y se ejecuta de manera manual, lo que sube de manera correcta el Modelo Bloque</t>
  </si>
  <si>
    <t>00527887</t>
  </si>
  <si>
    <t>MLCC - Pala N°2 no acepta el destino</t>
  </si>
  <si>
    <t>El error se produjo debido a los destinos duplicados, estos se eliminan y la situación se normaliza.</t>
  </si>
  <si>
    <t>00527889</t>
  </si>
  <si>
    <t>AMCEN - Solicitud de revision C18</t>
  </si>
  <si>
    <t>Se reinicia el equipo, recuperando así su funcionamiento.</t>
  </si>
  <si>
    <t>00527891</t>
  </si>
  <si>
    <t>AMCEN - Solicitud de revision CA219</t>
  </si>
  <si>
    <t>Se le indica a Juan que el error que me enviaron, ocurre cuando el equipo no tiene conexión, espero un momento y me conecto sin problemas al VNC del equipo</t>
  </si>
  <si>
    <t>00527901</t>
  </si>
  <si>
    <t>MAGSA - Problemas con mineops</t>
  </si>
  <si>
    <t>Se revisa el servidor, borrando unas consultas que estaban en idle hace varios dias, mientras estaba en eso, me contactan nuevamente indicando que la situacion mejoro considerablemente, se sigue revisando el servidor, sin encontrar nada extraño, el load average bajo 2 y ninguna otra consulta extraña que no estuviera terminando.</t>
  </si>
  <si>
    <t>00527903</t>
  </si>
  <si>
    <t>MLCC - Pala N°210 problemas de conexión</t>
  </si>
  <si>
    <t xml:space="preserve">Se revisa el equipo el cual a ratos pierde conexión, se detecta que es por el sector, porque los camiones al acercarse a cargar, también sufren la misma condición </t>
  </si>
  <si>
    <t>00527904</t>
  </si>
  <si>
    <t>07-13-2024  00:15</t>
  </si>
  <si>
    <t>07-13-2024  2:58</t>
  </si>
  <si>
    <t>00527907</t>
  </si>
  <si>
    <t>CNRT - CF722 sin comunicación</t>
  </si>
  <si>
    <t>Se revisa el equipo remotamente mientras Javier esta en terreno, le vamos indicando si tenemos o no conexión, hasta que Javier encuentra el problema y le podemos confirmar que ya tenemos conexión con el equipo de manera remota.</t>
  </si>
  <si>
    <t>07-13-2024  00:25</t>
  </si>
  <si>
    <t>07-13-2024  02:59</t>
  </si>
  <si>
    <t>Javier Hxg</t>
  </si>
  <si>
    <t>00527909</t>
  </si>
  <si>
    <t>07-13-2024  01:44</t>
  </si>
  <si>
    <t>07-13-2024  04:21</t>
  </si>
  <si>
    <t>00527914</t>
  </si>
  <si>
    <t>Se revisa el equipo, y pese a tener ping , no es posible conectarse a el de ninguna forma, se le indica a Juan que de ser posible puedan hacer un reinicio manual quitando la corriente del cargador.</t>
  </si>
  <si>
    <t>07-13-2024  05:29</t>
  </si>
  <si>
    <t>07-13-2024  06:39</t>
  </si>
  <si>
    <t>00527928</t>
  </si>
  <si>
    <t>CNTTE - Problemas Jview</t>
  </si>
  <si>
    <t>Inicialmente se observan los servicios SQL detenidos, por lo que se vuelven a iniciar pero aun asi el Jview no levanta, se vuelve a revisar el IIS el cual se encontraba correctamente configurado. Por ultimo se eliminan los archivos de la carpeta %temp% por falta de espacio de disco duro y se reinicia el servidor, lo que hace que vuelva su correcto funcionamiento.</t>
  </si>
  <si>
    <t>07-13-2024  15:17</t>
  </si>
  <si>
    <t>07-13-2024  18:28</t>
  </si>
  <si>
    <t>Cristian Jumenez</t>
  </si>
  <si>
    <t>00527929</t>
  </si>
  <si>
    <t>CNDMH - Problemas de red</t>
  </si>
  <si>
    <t>Se revisan los carros de comunicación Botadero y MH-Sur los cuales se encontraban desconectados, se le avisa a personal de redes LTE médiate correo y vía telefónica. Después de esto se le otorga el numero de Jonathan Carmona a Cristian Alvarado para obtener información de manera directa. Luego de un tiempo los carros de comunicación recuperan su correcto funcionamiento.</t>
  </si>
  <si>
    <t>07-13-2024  17:03</t>
  </si>
  <si>
    <t>07-13-2024  18:03</t>
  </si>
  <si>
    <t>Cristian Alvarado</t>
  </si>
  <si>
    <t>00527931</t>
  </si>
  <si>
    <t>AMZAL - Revisión Perforadora D15</t>
  </si>
  <si>
    <t>Se revisa la Perforadora D15 la cual se encontraba con mala señal, teniendo un 50% de packetloss, también se revisan los sensores del equipo observando que tiene problemas de GPS que deben ser atendidos en terreno. Se le informa a Freddy Quispe esta información.</t>
  </si>
  <si>
    <t>07-13-2024  15:37</t>
  </si>
  <si>
    <t>07-15-2024  13:41</t>
  </si>
  <si>
    <t>00527935</t>
  </si>
  <si>
    <t>CNRI - Problema Cargador Frontal CF1902</t>
  </si>
  <si>
    <t>Se le informa a Gilmer sobre los problemas de los cargadores frontales, por lo que nos comunica que son equipos virtuales por lo tanto no aparecen en el JSMina. También nos comunica que revisara el tema con despacho.</t>
  </si>
  <si>
    <t>07-13-2024 17:08</t>
  </si>
  <si>
    <t>07-16-2024 14:53</t>
  </si>
  <si>
    <t>00527937</t>
  </si>
  <si>
    <t>07-13-2024  18:26</t>
  </si>
  <si>
    <t>07-13-2024  18:52</t>
  </si>
  <si>
    <t>00527939</t>
  </si>
  <si>
    <t>Sigue sin tomar de manera automática la subida de Mallas al sistema, por lo que se ejecuta de manera manual y esta es cargada sin problemas.</t>
  </si>
  <si>
    <t>07-13-2024  18:04</t>
  </si>
  <si>
    <t>07-13-2024  19:15</t>
  </si>
  <si>
    <t>00527950</t>
  </si>
  <si>
    <t>CNRT - Borrar BD TR450</t>
  </si>
  <si>
    <t>Se elimina la BD del equipo apenas este tiene conexión, nos contactamos con Javier y este nos confirma que el equipo quedo correcto.</t>
  </si>
  <si>
    <t>07-13-2024  21:34</t>
  </si>
  <si>
    <t>07-13-2024  22:48</t>
  </si>
  <si>
    <t>00527951</t>
  </si>
  <si>
    <t>AMCEN - Solicitud de revision de Reportabilidad KPI</t>
  </si>
  <si>
    <t>Se revisa el informe y se le explica a Juan el funcionamiento , se levanta el caso con Marcelo para que refuerce la respuesta entregada a Juan</t>
  </si>
  <si>
    <t>07-13-2024  21:50</t>
  </si>
  <si>
    <t>00527955</t>
  </si>
  <si>
    <t>Se revisa el equipo, pero este no ha arrojado ninguna alarma, se deriva con el personal de terreno para que lo puedan verificar de todas formas.</t>
  </si>
  <si>
    <t>07-13-2024  22:41</t>
  </si>
  <si>
    <t>07-13-2024  23:24</t>
  </si>
  <si>
    <t>00527956</t>
  </si>
  <si>
    <t>CNRI - Equipos no cambian su estado</t>
  </si>
  <si>
    <t>Se le hace seguimiento a varios equipos, los cuales cambian su estado de forma correcta.</t>
  </si>
  <si>
    <t>07-13-2024  22:52</t>
  </si>
  <si>
    <t>00527959</t>
  </si>
  <si>
    <t>Se comienza a revisar el caso, pero la malla indicada por Carlos no existe, se le indica esto a Carlos y se le pregunta que perforadora trabajo con esa malla para revisar de esa forma, pero no tiene el dato, quedo de averiguar y nos entregara la información apenas tenga mas detalles.</t>
  </si>
  <si>
    <t>07-14-2024  00:36</t>
  </si>
  <si>
    <t>00527963</t>
  </si>
  <si>
    <t>AMCEN - RE: Solicitud de revision C23 y PE53</t>
  </si>
  <si>
    <t>Se le indica a Juan que el usuario al cual quieren asignar a la perforadora, no existe y en el caso del camión , este esta trabajando con su gps de forma correcta.</t>
  </si>
  <si>
    <t>07-14-2024  01:40</t>
  </si>
  <si>
    <t>07-14-2024  01:55</t>
  </si>
  <si>
    <t>00527970</t>
  </si>
  <si>
    <t>MLCC - Cargador 221 sin cargas</t>
  </si>
  <si>
    <t>Se revisa el cargador, y este tiene sus cargas asociadas de forma correcta y coinciden haciendo la comparación con el reporte descarga sumario.</t>
  </si>
  <si>
    <t>07-14-2024  05:41</t>
  </si>
  <si>
    <t>07-14-2024  06:21</t>
  </si>
  <si>
    <t>00527974</t>
  </si>
  <si>
    <t>CNRI - Error en Valor Movimiento Fase 1</t>
  </si>
  <si>
    <t>Se revisaron tanto la base de datos SQL como PostgreSQL y se encontró que en las cargas (shift_dumps) había una vuelta del vehiculo CE345 asignado a la PL201 del turno C a las 05:21 el cual no tenía asignado el polígono correspondiente. Esto provocó que, al ejecutar el reporte, la consulta del movimiento total no incluyera esta vuelta debido a que el campo del polígono aparecía como nulo. Se notificó a Daniela Carrillo, quien asignó el polígono específico a esa vuelta, y la información volvió a ser correcta.</t>
  </si>
  <si>
    <t>07-14-2024  9:06</t>
  </si>
  <si>
    <t>07-15-2024  10:49</t>
  </si>
  <si>
    <t>00527985</t>
  </si>
  <si>
    <t>CNDMH - Revision CAEX C720</t>
  </si>
  <si>
    <t>Se revisaron los dispositivos del equipo, los cuales estaban utilizando la versión por defecto debido a la pérdida de comunicación al momento de la instalación inicial. Se procedió a actualizarlos a la versión correspondiente y se corrigió internamente su configuración de Versions JAMS, esto debido a que estaban reinstalando equipos antiguos en este Camión entonces paso de ser uhp a ser core . A pesar de estos ajustes, el problema persistió. Se informó a Jonathan Carmona, del equipo de redes LTE, para que realizara una revisión del Sahrm del equipo porque todo indicaba que ese era el problema. Por nuestro lado se eliminaron y recrearon los certificados y las claves del sistema para llevar a cabo una reinstalación con el nuevo setup.sqfs para realizar una reinstalacion y comprobar el sistema.</t>
  </si>
  <si>
    <t>07-14-2024 10:12</t>
  </si>
  <si>
    <t>07-16-2024  16:57</t>
  </si>
  <si>
    <t>00528004</t>
  </si>
  <si>
    <t>AMZAL - Bloques no visibles</t>
  </si>
  <si>
    <t>Se le indica a Sebastian Fernandez el paso a seguir para poder "revivir" un bloque, el cual es mediante el MineOPS &gt; Bloques &gt; Datos &gt; Borrados.</t>
  </si>
  <si>
    <t>07-14-2024  16:27</t>
  </si>
  <si>
    <t>07-14-2024  18:45</t>
  </si>
  <si>
    <t>00528005</t>
  </si>
  <si>
    <t>07-14-2024  16:24</t>
  </si>
  <si>
    <t>07-14-2024  16:49</t>
  </si>
  <si>
    <t>00528012</t>
  </si>
  <si>
    <t>AMZAL - Revisión Perforadora D11</t>
  </si>
  <si>
    <t>Se le avisa a Freddy que la perforadora esta teniendo problemas en su GPS 1, por lo que se debe revisar en terreno.</t>
  </si>
  <si>
    <t>07-14-2024  10:48</t>
  </si>
  <si>
    <t>07-14-2024  18:09</t>
  </si>
  <si>
    <t>Freddy Campos</t>
  </si>
  <si>
    <t>00528028</t>
  </si>
  <si>
    <t>07-14-2024  20:26</t>
  </si>
  <si>
    <t>07-15-2024  05:00</t>
  </si>
  <si>
    <t>00528030</t>
  </si>
  <si>
    <t>AMCEN - Solicitud de revision Jigsaw de PA4</t>
  </si>
  <si>
    <t>07-14-2024  20:44</t>
  </si>
  <si>
    <t>07-14-2024  21:20</t>
  </si>
  <si>
    <t>00528033</t>
  </si>
  <si>
    <t>CNRT - Mover C305</t>
  </si>
  <si>
    <t>Se mueve el equipo a los talleres, tomando el C315 como referencia.</t>
  </si>
  <si>
    <t>07-14-2024  20:57</t>
  </si>
  <si>
    <t>07-14-2024  21:32</t>
  </si>
  <si>
    <t>00528049</t>
  </si>
  <si>
    <t>07-14-2024  22:32</t>
  </si>
  <si>
    <t>07-15-2024  05:15</t>
  </si>
  <si>
    <t>00528055</t>
  </si>
  <si>
    <t>CNRT - Finalizar pozo PE03</t>
  </si>
  <si>
    <t>Se finaliza el pozo y se le agregan los metros indicados por Javier.</t>
  </si>
  <si>
    <t>07-14-2024  23:46</t>
  </si>
  <si>
    <t>07-14-2024  23:52</t>
  </si>
  <si>
    <t>00528074</t>
  </si>
  <si>
    <t>AMCEN - Solicitud de revision PE53</t>
  </si>
  <si>
    <t>Se revisa el equipo, el cual tiene su GPS trabajando correctamente, se le hace monitoreo por casi 30 min y todo sigue normalo.</t>
  </si>
  <si>
    <t>07-15-2024  01:31</t>
  </si>
  <si>
    <t>07-15-2024  01:52</t>
  </si>
  <si>
    <t>00528088</t>
  </si>
  <si>
    <t>CNRI - Stock borrado</t>
  </si>
  <si>
    <t>Se recupera el stock borrado sin mayor inconveniente.</t>
  </si>
  <si>
    <t>07-15-2024  04:41</t>
  </si>
  <si>
    <t>07-15-2024  04:49</t>
  </si>
  <si>
    <t>00528128</t>
  </si>
  <si>
    <t>CNCHUQ - Problemas PA230</t>
  </si>
  <si>
    <t>Se revisó el equipo y se observó que no estaba ubicado en el polígono asignado. Además, la elevación era de -6.30 m con respecto a la elevación de la tronadura. Se solicitó información sobre el polígono donde estaba trabajando la P230 y se informó que estaba operando desfasada respecto a dicho polígono. Se ajustó la elevación de la tronadura para evitar errores en el posicionamiento del sistema. Finalmente se recuperando la ETA del equipo.</t>
  </si>
  <si>
    <t>07-15-2024  14:18</t>
  </si>
  <si>
    <t>07-16-2024  08:12</t>
  </si>
  <si>
    <t>00528145</t>
  </si>
  <si>
    <t>CNDMH - Revision CAEX C718</t>
  </si>
  <si>
    <t>Se revisan los Devices los cuales están con la versión 2.06 que es la que queda por defecto después de perder señal, se modifican por la version correcta pero el VNC queda en Negro, por lo que se sigue investigando.</t>
  </si>
  <si>
    <t>07-15-2024  10:42</t>
  </si>
  <si>
    <t>00528146</t>
  </si>
  <si>
    <t>CNDMH - Revision CAEX C317</t>
  </si>
  <si>
    <t>Se intenta ingresar al core del equipo pero no hay conexión, por lo que se le informa a Francisco Castillo y el nos comenta que personal de Codelco esta revisando el equipo.</t>
  </si>
  <si>
    <t>07-15-2024  12:11</t>
  </si>
  <si>
    <t>07-16-2024  08:14</t>
  </si>
  <si>
    <t>00528147</t>
  </si>
  <si>
    <t>CNRI - Revision Caex CE102</t>
  </si>
  <si>
    <t>Se revisa la comunicación del equipo la cual es buena, se reinicia el equipo así recuperando su correcto funcionamiento.</t>
  </si>
  <si>
    <t>07-15-2024  09:06</t>
  </si>
  <si>
    <t>07-15-2024  09:43</t>
  </si>
  <si>
    <t>Daniela Carrilo</t>
  </si>
  <si>
    <t>00528174</t>
  </si>
  <si>
    <t>Se revisa el importador el cual esta funcionando correctamente, pero el archivo a subir esta con errores, los cuales se corrigen y se logra subir el archivo de manera correcta.</t>
  </si>
  <si>
    <t>07-15-2024  17:14</t>
  </si>
  <si>
    <t>07-15-2024  18:08</t>
  </si>
  <si>
    <t>00528176</t>
  </si>
  <si>
    <t>CNDMH - Revision CAEX C719</t>
  </si>
  <si>
    <t>Se revisan las configuraciones de los devices las cuales se le modifica y se intenta cargar la nueva version, pero se repiten los problemas que tuvo el C720, por lo que se continua investigando.</t>
  </si>
  <si>
    <t>07-15-2024  16:43</t>
  </si>
  <si>
    <t>00528178</t>
  </si>
  <si>
    <t>CNRI - Sumarizar mes de Julio</t>
  </si>
  <si>
    <t>Se sumariza el mes de Julio solucionando los datos modificados.</t>
  </si>
  <si>
    <t>07-15-2024  19:19</t>
  </si>
  <si>
    <t>07-15-2024  19:40</t>
  </si>
  <si>
    <t>00528184</t>
  </si>
  <si>
    <t>CNRI - Camiones cambian de pala al cargar</t>
  </si>
  <si>
    <t>Se revisa la situación y se encuentra que hay 3 palas cargando extremadamente cerca , se le indica a Patricio que puede dejar los camiones fijos a X pala , para así no tener este problema de que se les cambiara antes de comenzar a cargar.</t>
  </si>
  <si>
    <t>07-15-2024  20:52</t>
  </si>
  <si>
    <t>07-15-2024  21:16</t>
  </si>
  <si>
    <t>00528188</t>
  </si>
  <si>
    <t>Se revisa el servidor, encontrando consultas idle de hace un par de días, estas son eliminadas y el load average del servidor baja, se le indica a Gabriel, quien nos indica que mejoro considerablemente la situación</t>
  </si>
  <si>
    <t>07-15-2024  21:52</t>
  </si>
  <si>
    <t>07-15-2024  23:40</t>
  </si>
  <si>
    <t>Gabriel</t>
  </si>
  <si>
    <t>00528225</t>
  </si>
  <si>
    <t>Se reinician los procesos sql y se revisa que no se vuelvan a encolar.</t>
  </si>
  <si>
    <t>07-16-2024  07:11</t>
  </si>
  <si>
    <t>07-16-2024  07:26</t>
  </si>
  <si>
    <t>00528233</t>
  </si>
  <si>
    <t>Monitoreo - CNDMH - Carro de comunicación Desconectado</t>
  </si>
  <si>
    <t>Se le entrega la información a personal de Redes LTE.</t>
  </si>
  <si>
    <t>07-16-2024 08:43</t>
  </si>
  <si>
    <t>07-16-2024  09:00</t>
  </si>
  <si>
    <t>00528248</t>
  </si>
  <si>
    <t>MLCC - Revision C317</t>
  </si>
  <si>
    <t>Se revisa el equipo que en primera el cual no tiene conexion con el GPS. Tambien se le entrega informacion a Naldo Gustamante del porque el core esta con luz roja estatica y como realizar la instalacion con el pendrive flash y el setup. Por otro lado el problema se encontro en el core, por lo que se cambio momentaneamente por uno de alta presicion, asi recuperando el GPS del equipo.</t>
  </si>
  <si>
    <t>07-16-2024 11:05</t>
  </si>
  <si>
    <t>07-16-2024  12:43</t>
  </si>
  <si>
    <t>Naldo Gustamante</t>
  </si>
  <si>
    <t>00528263</t>
  </si>
  <si>
    <t xml:space="preserve">
Mantoverde - Servicio de Suscripciones en servidor JView</t>
  </si>
  <si>
    <t>En primera instancia de revisión, se encuentra el log con un error que puede estar asociado al antivirus según experiencia de otras faenas.</t>
  </si>
  <si>
    <t>07-16-2024  14:03</t>
  </si>
  <si>
    <t>07-16-2024 15:35</t>
  </si>
  <si>
    <t>00528281</t>
  </si>
  <si>
    <t xml:space="preserve">
CNTTE - Problema Perforadora PF103</t>
  </si>
  <si>
    <t>Se le informa a Raquel Lopez que el operador tenia iniciada su sesión en otra perforadora, por lo que no dejaba iniciarse en la actual. Se le comunica esto a Raquel para modificarlo de manera manual en el sistema y así deslogear su otra sesion.</t>
  </si>
  <si>
    <t>07-16-2024  16:08</t>
  </si>
  <si>
    <t>07-16-2024  17:33</t>
  </si>
  <si>
    <t>Raquel Lopez</t>
  </si>
  <si>
    <t>00528291</t>
  </si>
  <si>
    <t>Monitoreo - AMANT - 2 Procesos sumarizador services.</t>
  </si>
  <si>
    <t>Se eliminan ambos procesos de sumarizacion y luego se ejecuta nuevamente. Solucionando asi que estuviesen 2 sumarizaciones por servicio corriendo al mismo tiempo.</t>
  </si>
  <si>
    <t>07-16-2024  18:02</t>
  </si>
  <si>
    <t>07-16-2024  18:18</t>
  </si>
  <si>
    <t>00528297</t>
  </si>
  <si>
    <t>07-16-2024  20:40</t>
  </si>
  <si>
    <t>07-16-2024  23:55</t>
  </si>
  <si>
    <t>00528308</t>
  </si>
  <si>
    <t>MAGSA - Lentitud en el sistema Mineops</t>
  </si>
  <si>
    <t>Se revisa el servidor, y se detecta una inusual cantidad de consultas sql que se están ejecutando en ese momento, eliminamos las que están en idle de días anteriores y esperamos que las demás terminen por cuenta propia, pasado unos 20 minutos, la carga del servidor baja considerablemente.</t>
  </si>
  <si>
    <t>07-16-2024  21:46</t>
  </si>
  <si>
    <t>07-16-2024  22:12</t>
  </si>
  <si>
    <t>Gabriel despacho</t>
  </si>
  <si>
    <t>00528311</t>
  </si>
  <si>
    <t>AMCEN - Sin acceso a Mineops</t>
  </si>
  <si>
    <t>Se revisa el servidor, el cual tiene equipos conectados, no tiene una carga extraña de trabajo , no hay consultas encoladas ni nada extraño, también accedemos por escritorio remoto al servidor windows de Centinela, tenemos acceso a mineops y a Jview, se le indica a Juan Ortuño que deben tener algún problema con las redes , a lo que Juan nos confirma que el problema se debió a un corte que ocurrió en antofagasta.</t>
  </si>
  <si>
    <t>07-16-2024  22:15</t>
  </si>
  <si>
    <t>07-16-2024  22:22</t>
  </si>
  <si>
    <t>00528708</t>
  </si>
  <si>
    <t>CNRT - Perfo 114 no ve la malla de perforacion</t>
  </si>
  <si>
    <t>Se revisa la perforadora , y se le asigna de forma manual la malla, el operador apenas la ve, pone el equipo nuevamente a trabajar seleccionando un pozo.</t>
  </si>
  <si>
    <t>07-17-2024  00:52</t>
  </si>
  <si>
    <t>07-17-2024  01:01</t>
  </si>
  <si>
    <t>Javier Hxgn</t>
  </si>
  <si>
    <t>00528746</t>
  </si>
  <si>
    <t>MLCC - Creación de nuevas cuentas SQL y Jview</t>
  </si>
  <si>
    <t>Se crean cuentas de usuarios solicitados y envían por correo electrónico.</t>
  </si>
  <si>
    <t>07-17-2024  12:22</t>
  </si>
  <si>
    <t>07-17-2024  19:33</t>
  </si>
  <si>
    <t>00528747</t>
  </si>
  <si>
    <t>AAM - Retraso en carga de vueltas en 2CAM8381</t>
  </si>
  <si>
    <t>Durante la jornada se monitorean algunos equipo además del 2CAM8381, se encuentra que estos tiene problemas de comunicación e inconstancia en esta. con perdida de paquetes que puede llegar hasta el 90%. Se comunica luego personal de Electroram y comenta que hará un levantamiento sobre la cobertura de la red mina.</t>
  </si>
  <si>
    <t>07-17-2024  12:27</t>
  </si>
  <si>
    <t>07-17-2024  18:43</t>
  </si>
  <si>
    <t>00528748</t>
  </si>
  <si>
    <t>AMZAL - Cargador L12 y L13 con diferencia de cota respecto a personal de Topografía.</t>
  </si>
  <si>
    <t>Posterior a revisión constante de los dos cargadores frontales y presentar correcto comportamiento, se le solicita a Belén feedback con topografía, estos confirman una diferencia de 30 cm, la cual es aceptable y confirmada por planificación de la faena.</t>
  </si>
  <si>
    <t>07-17-2024  12:36</t>
  </si>
  <si>
    <t>07-19-2024  10:58</t>
  </si>
  <si>
    <t>00528751</t>
  </si>
  <si>
    <t>Monitoreo - CNMS - Se pierde enlace con servidores primario y secundario.</t>
  </si>
  <si>
    <t>Se retoma conexión a Mina Sur, personal de Codelco trabajo durante el día en el Firewall por lo que se perdió la conexión y nos comenta que levantaron una regla detenida hace un mes, pero que seguirán revisando el motivo de la desconexión de hoy.</t>
  </si>
  <si>
    <t>07-17-2024  12:43</t>
  </si>
  <si>
    <t>07-17-2024  18:35</t>
  </si>
  <si>
    <t>00528774</t>
  </si>
  <si>
    <t>CNTTE - Tonelaje de Descargas no reflejadas</t>
  </si>
  <si>
    <t>Se concluye que los equipos tiene problema físicos los que deberán ser revisados en terreno por personal a cargo del mantenimiento MiningTag.</t>
  </si>
  <si>
    <t>07-17-2024  17:00</t>
  </si>
  <si>
    <t>07-20-2024  15:58</t>
  </si>
  <si>
    <t>00528780</t>
  </si>
  <si>
    <t>MLCC - Perforadoras no visualizan correctamente la malla 06C4340_110</t>
  </si>
  <si>
    <t>Posterior a revisión se nota que la malla tiene pozos extra en la visualización del mapa, al revisarla internamente estos puntos no se reflejan en el csv. Personal en faena opera con la malla 110E. Este ticket se cierra y queda abierto uno nuevo donde se revisaran mas mallas juntas, ticket 00529067.</t>
  </si>
  <si>
    <t>07-17-2024 18:18</t>
  </si>
  <si>
    <t>07-20-2024  16:23</t>
  </si>
  <si>
    <t>00528793</t>
  </si>
  <si>
    <t>AMCEN - revisar C19 pegado en sistema</t>
  </si>
  <si>
    <t>Se intenta recuperar el posicionamiento del equipo realizando un reinicio y posteriormente una restauración de la base de datos interna, pero nada dio los resultados esperados. Por esta razón se deriva a revisión en terreno</t>
  </si>
  <si>
    <t>7/17/2024 5:34 PM</t>
  </si>
  <si>
    <t>7/17/2024 6:23 PM</t>
  </si>
  <si>
    <t>00528797</t>
  </si>
  <si>
    <t>AMCEN - Revisar C36 se reinicia panel constantemente</t>
  </si>
  <si>
    <t>Cliente comenta que se realizó corte de chapa por lo que se mantiene monitoreo del equipo y se determina que no sigue con la problemática.</t>
  </si>
  <si>
    <t>7/17/2024 6:24 PM</t>
  </si>
  <si>
    <t>7/17/2024 7:15 PM</t>
  </si>
  <si>
    <t>00528817</t>
  </si>
  <si>
    <t>MLCC - D101 solo visualiza pozos perforados</t>
  </si>
  <si>
    <t>Se vuelve a cargar la malla con la que está trabajando el equipo y logra visualizar los pozos por perforar</t>
  </si>
  <si>
    <t>7/17/2024 7:46 PM</t>
  </si>
  <si>
    <t>7/18/2024 1:41 AM</t>
  </si>
  <si>
    <t>00528823</t>
  </si>
  <si>
    <t>AMCEN - Actualización Cubos</t>
  </si>
  <si>
    <t>Se detecta que el job no termina correctamente por lo que se informa al cliente y se mantiene monitoreo hasta que termina de ejecutarse sin problemas.</t>
  </si>
  <si>
    <t>7/17/2024 8:28 PM</t>
  </si>
  <si>
    <t>7/18/2024 1:40 AM</t>
  </si>
  <si>
    <t>00528846</t>
  </si>
  <si>
    <t>AAM - 2CAM8388 se le adelantan ciclos</t>
  </si>
  <si>
    <t>Se realiza monitoreo constante de los ciclos del equipo, este se comporta de forma correcta cerrando cada ciclo en el lugar definido y no presentándose adelantamientos de estos cierre.</t>
  </si>
  <si>
    <t>7/18/2024 4:05 AM</t>
  </si>
  <si>
    <t>07-17-2024  14:02</t>
  </si>
  <si>
    <t>00528847</t>
  </si>
  <si>
    <t>AMCEN - Revisar CA222</t>
  </si>
  <si>
    <t>Se intenta revisar el equipo de manera remota pero no es posible debido a comunicación. Se informa y se recomienda atención en terreno.</t>
  </si>
  <si>
    <t>7/18/2024 4:06 AM</t>
  </si>
  <si>
    <t>7/18/2024 4:25 AM</t>
  </si>
  <si>
    <t>00528854</t>
  </si>
  <si>
    <t>Monitoreo - AMZAL - Se pierde conexión con servidor primario y secundario.</t>
  </si>
  <si>
    <t>Debido a corte de energía en sector donde se ubican los servidores se produce desconexión hacia ellos, posterior a unos minutos la energía vuelve recuperando los equipo, se sigue monitoreando y no vuelve a producirse desconexiones durante la tarde.</t>
  </si>
  <si>
    <t>07-17-2024 08:43</t>
  </si>
  <si>
    <t>07-17-2024  18:41</t>
  </si>
  <si>
    <t>00528865</t>
  </si>
  <si>
    <t>AAM - Revisión de conexión con equipos mina.</t>
  </si>
  <si>
    <t>Se informa a Pedro Reygadas y se plantea el hecho de seguir monitoreando los equipos para realizar un mapa de calor de la red mina a cargo de personal de redes de Mantos Verdes.</t>
  </si>
  <si>
    <t>07-17-2024 11:33</t>
  </si>
  <si>
    <t>07-17-2024  18:32</t>
  </si>
  <si>
    <t>00528871</t>
  </si>
  <si>
    <t>MLCC - Se solicita habilitar VNC a OMT</t>
  </si>
  <si>
    <t>Posterior a conversación con Pedro Jaime, este se comunicara con personal encargado de redes para que le den los permisos correspondiente y habilitar los puertos necesarios.</t>
  </si>
  <si>
    <t>07-17-2024 12:27</t>
  </si>
  <si>
    <t>07-17-2024  18:34</t>
  </si>
  <si>
    <t>00528877</t>
  </si>
  <si>
    <t>CNRI - Problemas con Jmineops</t>
  </si>
  <si>
    <t>Una vez recuperada la conexión con la red, se nos informa que Jmineops de despachador no funciona en tiempo real. Personal en terreno verifica el comportamiento arreglando esto. Sistema queda trabajando correctamente y comunicando con equipos de campo.</t>
  </si>
  <si>
    <t>07-17-2024 13:47</t>
  </si>
  <si>
    <t>07-17-2024  18:38</t>
  </si>
  <si>
    <t>00528894</t>
  </si>
  <si>
    <t>CNRT - Problema de carga de malla 2615F35204roc6</t>
  </si>
  <si>
    <t>Se detecta que la malla ya tenia registro en location, por esto se hace un cambio de nombre de esta y se vuelve a cargar la malla recuperando una correcta visualización de los pozos.</t>
  </si>
  <si>
    <t>07-17-2024 16:45</t>
  </si>
  <si>
    <t>07-17-2024  19:16</t>
  </si>
  <si>
    <t>00528909</t>
  </si>
  <si>
    <t>CRSTEN - Bulldozer suenan constantemente alertas</t>
  </si>
  <si>
    <t>Realmente se cambió de zona el Bull normalizando las alertas. Igualmente se comentó una posible solución si acaso vuelve a ocurrir el mismo problema. Que sería coordinar con personal de geología una modificación del hazard o eliminación.</t>
  </si>
  <si>
    <t>7/18/2024 6:09 PM</t>
  </si>
  <si>
    <t>7/18/2024 7:47 PM</t>
  </si>
  <si>
    <t>Raquel Despacho</t>
  </si>
  <si>
    <t>00528938</t>
  </si>
  <si>
    <t>Monitoreo - AMCEN - Servicios abajo</t>
  </si>
  <si>
    <t>Se mantiene contacto con Eduardo Maturana quien finalmente logra restablecer funcionamiento de las redes permitiendo que funcione el servidor primario, servidor secundario levanta posterior a revisión de quipo en terreno.</t>
  </si>
  <si>
    <t>7/18/2024 7:48 PM</t>
  </si>
  <si>
    <t>07-17-2024  10:53</t>
  </si>
  <si>
    <t>00528975</t>
  </si>
  <si>
    <t>MLCC - Despachador no visualiza malla 05P4040_105</t>
  </si>
  <si>
    <t>Se reviso las mallas mencionadas y estas tenían registros previos antiguos, se hace cambio de fecha y se vuelve a visualizar la malla 105.</t>
  </si>
  <si>
    <t>07-19-2024 10:26</t>
  </si>
  <si>
    <t>07-19-2024 14:31</t>
  </si>
  <si>
    <t>00528980</t>
  </si>
  <si>
    <t>AAM - Revisión de flota CAEX 785</t>
  </si>
  <si>
    <t>Se hace revisión de toda la flota, encontrando que esta no tiene entrada de datos desde sensores, al comunicarse con personal de electroram nos comentan que en la instalación estos no se conectaron, se le informa al cliente mediante correo electrónico.</t>
  </si>
  <si>
    <t>07-19-2024 11:09</t>
  </si>
  <si>
    <t>07-19-2024 11:24</t>
  </si>
  <si>
    <t>00528989</t>
  </si>
  <si>
    <t>MLCC - Problemas con datos de imput en desgaste de Equipos de carguio</t>
  </si>
  <si>
    <t>Se revisa el run asociado al envió hacia este servidor y se detecta que no esta terminando, se reinician servicios y se hace correr manualmente el run2, se actualiza Sql server y se consulta a Pablo. Este nos confirma que ya están actualizados los datos.</t>
  </si>
  <si>
    <t>07-19-2024 12:37</t>
  </si>
  <si>
    <t>07-19-2024 15:58</t>
  </si>
  <si>
    <t>00529012</t>
  </si>
  <si>
    <t>DMH - Pala 202 y 203 pegadas</t>
  </si>
  <si>
    <t>07-19-2024 18:03</t>
  </si>
  <si>
    <t>00529019</t>
  </si>
  <si>
    <t>CNRI - Caex 103 no envia datos y 116 pegado</t>
  </si>
  <si>
    <t>El presente día 21-07-2024 los técnicos en terreno pudieron revisar los equipos y realizar mantenimiento, posterior a ello se recupera el correcto funcionamiento. Se consulta con despacho quien nos corrobora la información.</t>
  </si>
  <si>
    <t>07-19-2024 18:56</t>
  </si>
  <si>
    <t>07-21-2024 19:32</t>
  </si>
  <si>
    <t>00529020</t>
  </si>
  <si>
    <t>Monitoreo - CNMS - Sin acceso a servidor primario y secundario.</t>
  </si>
  <si>
    <t>Se retoma conexión con servidor principal y Secundario después de apoyo en terreno de equipo técnico.</t>
  </si>
  <si>
    <t>07-19-2024 19:27</t>
  </si>
  <si>
    <t>07-19-2024 19:53</t>
  </si>
  <si>
    <t>00529022</t>
  </si>
  <si>
    <t>Monitoreo - MLCC - Desconexión con servidores primario y secundario.</t>
  </si>
  <si>
    <t>Se recupera el acceso durante turno noche</t>
  </si>
  <si>
    <t>07-19-2024 19:30</t>
  </si>
  <si>
    <t>7/20/2024 4:26 AM</t>
  </si>
  <si>
    <t>00529025</t>
  </si>
  <si>
    <t>AMCEN - Revisión C12 equipo sin sistema</t>
  </si>
  <si>
    <t>Se intenta revisar de manera remota pero no existe comunicación desde el equipo al servidor. Se recomienda atención en terreno.</t>
  </si>
  <si>
    <t>7/19/2024 5:33 PM</t>
  </si>
  <si>
    <t>7/19/2024 6:12 PM</t>
  </si>
  <si>
    <t>00529026</t>
  </si>
  <si>
    <t>AMCEN - Revisar C32 con problemas de touch/Pantalla pegada</t>
  </si>
  <si>
    <t>Se realiza un reinicio remoto del equipo y se consulta si el touch sigue con problemas para realizar una recalibración, como no volvieron a contestar se cierra ticket dando por hecho que quedó ok.</t>
  </si>
  <si>
    <t>7/19/2024 5:47 PM</t>
  </si>
  <si>
    <t>7/20/2024 4:24 AM</t>
  </si>
  <si>
    <t>00529028</t>
  </si>
  <si>
    <t>AMCEN - Revisión C122 pegado sin sistema</t>
  </si>
  <si>
    <t>Se intenta revisar el equipo pero se encuentra sin comunicación. Se informa de esto al cliente y se mantiene monitoreo, pasado 1 hora aproximadamente se recupera conectividad con el equipo y se pueden ver sensores en buen estado, por lo que se atribuye problema a red.</t>
  </si>
  <si>
    <t>7/19/2024 6:13 PM</t>
  </si>
  <si>
    <t>7/20/2024 12:16 AM</t>
  </si>
  <si>
    <t>00529048</t>
  </si>
  <si>
    <t>AMCEN - Revisar C20 no cambia asignaciones correctamente</t>
  </si>
  <si>
    <t>Se realiza monitoreo del equipo pudiendo observar que las asignaciones / actividades cambian correctamente y en conjunto se mantuvo un análisis de la red pudiendo observar que se tenía lentitud del sistema directamente cuando la calidad de red era mala.</t>
  </si>
  <si>
    <t>7/20/2024 12:14 AM</t>
  </si>
  <si>
    <t>7/20/2024 4:23 AM</t>
  </si>
  <si>
    <t>00529053</t>
  </si>
  <si>
    <t>AMCEN - Reportabilidad cubos no actualizada</t>
  </si>
  <si>
    <t>Se actualiza los cubos cada 3 horas y 30 min, esto es reportado por Hugo Carvajal, el que informa a cliente. Desde ese momento el cliente no ha entregado datos de que se repita el problemas.</t>
  </si>
  <si>
    <t>7/20/2024 4:30 AM</t>
  </si>
  <si>
    <t>7/20/2024 11:01 AM</t>
  </si>
  <si>
    <t>00529062</t>
  </si>
  <si>
    <t>CNTTE - Problema al quitar restricción de equipo.</t>
  </si>
  <si>
    <t>Se hace revisión de equipos eliminados que continúan con restricciones al frontal CF501, posteriormente se les elimina la restricción para normalizar la situación. Se hace chequeo de las restricciones en mineops encontrando que se ha solucionado el inconveniente.</t>
  </si>
  <si>
    <t>7/20/2024 12:30 PM</t>
  </si>
  <si>
    <t>7/20/2024 15:29 PM</t>
  </si>
  <si>
    <t>00529064</t>
  </si>
  <si>
    <t>MLCC - Demora en actualización de datos en server .59</t>
  </si>
  <si>
    <t>Se realiza un reinicio de SQL de servidor 59 y se mata los clientes. Se monitorea durante el día y no se vuelve a presentar el desface en la actualización de los datos. Al llamar a Pablo nos confirma que no ha tenido problemas.</t>
  </si>
  <si>
    <t>7/20/2024 12:43 PM</t>
  </si>
  <si>
    <t>7/20/2024 18:40 PM</t>
  </si>
  <si>
    <t>00529067</t>
  </si>
  <si>
    <t>MLCC - Revisión de mallas</t>
  </si>
  <si>
    <t>7/20/2024 13:36 PM</t>
  </si>
  <si>
    <t>00529068</t>
  </si>
  <si>
    <t>DMH - Apoyo remoto a chequeo de C351 en terreno</t>
  </si>
  <si>
    <t>Se da apoyo a personal en terreno, probando que la conexión con el equipo C351 este correcta, se revisan los Sarmh 123 - 215 y 116, además se verifica correcta conexión por VNC y ping constantes.</t>
  </si>
  <si>
    <t>7/20/2024 15:49 PM</t>
  </si>
  <si>
    <t>7/20/2024 18:36 PM</t>
  </si>
  <si>
    <t>00529069</t>
  </si>
  <si>
    <t>AMZAL - Solicitud de horómetro al iniciar sesión en equipos de campo</t>
  </si>
  <si>
    <t>Se comunica Miguel Cáceres solicitando que se revise si al iniciar sesión en los equipos mina estos están configurados para solicitar el horómetro antes de iniciar sus labores</t>
  </si>
  <si>
    <t>7/20/2024 18:05 PM</t>
  </si>
  <si>
    <t>7/20/2024 18:24 PM</t>
  </si>
  <si>
    <t>00529071</t>
  </si>
  <si>
    <t>DMH - Actualizacion de version C714</t>
  </si>
  <si>
    <t>7/20/2024 19:07 PM</t>
  </si>
  <si>
    <t>00529088</t>
  </si>
  <si>
    <t>CNDRT - Chequeo cobertura red</t>
  </si>
  <si>
    <t>Se realiza monitoreo de equipos que transcurren la zona y se entrega la información por correo.</t>
  </si>
  <si>
    <t>7/20/2024 7:46 PM</t>
  </si>
  <si>
    <t>7/21/2024 2:48 AM</t>
  </si>
  <si>
    <t>00529090</t>
  </si>
  <si>
    <t>AMCEN - Agregar operadores nuevos a reporte velocidades</t>
  </si>
  <si>
    <t>7/20/2024 8:34 PM</t>
  </si>
  <si>
    <t>00529094</t>
  </si>
  <si>
    <t>AMCEN - Revisión de caex flota 980</t>
  </si>
  <si>
    <t>Se hace seguimiento completo de la flota, esta desarrolla correctamente sus ciclos, sin embargo es notorio la perdida de comunicación en sectores superando en ocasiones entre el 30 al 50 %. Se envía correo con toda la evidencia al cliente y luego Hugo Carvajal nos confirma que la flota se comporta de forma normal cerrando los ciclos.</t>
  </si>
  <si>
    <t>7/20/2024 10:22 PM</t>
  </si>
  <si>
    <t>7/22/2024 19:05 AM</t>
  </si>
  <si>
    <t>00529095</t>
  </si>
  <si>
    <t>AMCEN - Revisión C46 sistema lento</t>
  </si>
  <si>
    <t>Se reinicia remotamente el equipo lo cual no recupera condición correcta. Se procede a eliminar la base de datos interna del equipo y posteriormente equipo recibe asignaciones correctamente.</t>
  </si>
  <si>
    <t>7/20/2024 10:23 PM</t>
  </si>
  <si>
    <t>7/21/2024 2:47 AM</t>
  </si>
  <si>
    <t>00542510</t>
  </si>
  <si>
    <t>AMCEN - Revisión C12 ubicación pegada</t>
  </si>
  <si>
    <t>Equipo se encontraba normal al momento de revisión, igualmente se realizó un reinicio remoto de manera preventiva</t>
  </si>
  <si>
    <t>7/21/2024 3:53 AM</t>
  </si>
  <si>
    <t>7/21/2024 4:18 AM</t>
  </si>
  <si>
    <t>00545488</t>
  </si>
  <si>
    <t>CNTTE - Equipo CA302 con pantalla apagada</t>
  </si>
  <si>
    <t>Equipo deber ser revisado por MiningTag en terreno por fallas de hardware.</t>
  </si>
  <si>
    <t>07-21-2024  09:54</t>
  </si>
  <si>
    <t>07-21-2024 16:45</t>
  </si>
  <si>
    <t>00545514</t>
  </si>
  <si>
    <t>CNRT - Desconexión con equipos C910</t>
  </si>
  <si>
    <t>Después de la revisión del equipo e informarle a personal en terreno del cambio del sarhm, equipo en terreno corrige esto volviendo a la normalidad el equipo.</t>
  </si>
  <si>
    <t>07-21-2024  13:45</t>
  </si>
  <si>
    <t>07-21-2024 16:18</t>
  </si>
  <si>
    <t>00545517</t>
  </si>
  <si>
    <t>DMH - CAS problemas de conectividad</t>
  </si>
  <si>
    <t>Se le informa a Luis Peña que la actualización del enlace que nos otorgo la hace don Rubén Paco, por ende es el quien debe actualizar la data. Por nuestro lado tenemos actualizados los datos hasta la fecha.</t>
  </si>
  <si>
    <t>07-21-2024  14:56</t>
  </si>
  <si>
    <t>07-21-2024  10:41</t>
  </si>
  <si>
    <t>00545526</t>
  </si>
  <si>
    <t>DMH - Revisión de conectividad de CAEX</t>
  </si>
  <si>
    <t>Se efectúa la trazabilidad de los 6 CAEX solicitados, todos tienen correcta conexión con servidor y hacia mineops. Se informa a Adrian Leiva mediante telefono de esto.</t>
  </si>
  <si>
    <t>07-21-2024  16:22</t>
  </si>
  <si>
    <t>07-21-2024 18:15</t>
  </si>
  <si>
    <t>00545527</t>
  </si>
  <si>
    <t>AAM - Setups para equipo Pala 04 y aljibe 05</t>
  </si>
  <si>
    <t>Se envía Setup y archivos actualizados con los nuevos equipos.</t>
  </si>
  <si>
    <t>07-21-2024  16:46</t>
  </si>
  <si>
    <t>07-21-2024 18:17</t>
  </si>
  <si>
    <t>00545531</t>
  </si>
  <si>
    <t>AMANT - Equipos con Ip cambiadas</t>
  </si>
  <si>
    <t>En revisión de equipos se encuentra las IP cambiadas a las de campo, se consulta y esto fue realizado por personal Hexagon para poder cargar los certificados después del vencimiento anterior. Se hace la carga de la perforadora D04 con éxito, sin embargo hubo varios problemas con la conectividad hacia ella.</t>
  </si>
  <si>
    <t>07-21-2024  19:37</t>
  </si>
  <si>
    <t>07-22-2024 19:37</t>
  </si>
  <si>
    <t>00545547</t>
  </si>
  <si>
    <t>AMCEN - Revisión CA220 problemas de sistema</t>
  </si>
  <si>
    <t>Se reinicia el equipo y se mantiene monitoreo determinando que se solucionó la condición.</t>
  </si>
  <si>
    <t>7/21/2024 7:26 PM</t>
  </si>
  <si>
    <t>7/21/2024 11:20 PM</t>
  </si>
  <si>
    <t>00545560</t>
  </si>
  <si>
    <t>AMCEN - Revisión PA1 problemas de gps</t>
  </si>
  <si>
    <t>Se realiza un reinicio del equipo recuperando el funcionamiento correcto de sus gps</t>
  </si>
  <si>
    <t>7/22/2024 3:10 AM</t>
  </si>
  <si>
    <t>00545561</t>
  </si>
  <si>
    <t>AMCEN - Sin reportabilidad desde comienzo de turno</t>
  </si>
  <si>
    <t>Se encontró la tabla con problemas, se elimina el dato con problema lógico y se logra recuperar el correcto funcionamiento del sumarizador.
La reportabilidad vuelve a funcionar correctamente.</t>
  </si>
  <si>
    <t>7/21/2024 11:22 PM</t>
  </si>
  <si>
    <t>7/21/2024 19: PM</t>
  </si>
  <si>
    <t>00545566</t>
  </si>
  <si>
    <t>AMZAL - Equipo no ve línea de seguridad en panel</t>
  </si>
  <si>
    <t>Se actualiza el registro del dibujo en base de datos a la fecha actual.</t>
  </si>
  <si>
    <t>7/22/2024 12:35 AM</t>
  </si>
  <si>
    <t>7/22/2024 4:26 AM</t>
  </si>
  <si>
    <t>00545577</t>
  </si>
  <si>
    <t>AMCEN - Revisar PA2 que tiene puntos de carga fuera de polígono</t>
  </si>
  <si>
    <t>Se deriva ticket al ingeniero residente Hugo Carvajal. Igualmente se realizó un seguimiento en el reproductor de gps y las cargas registradas en el mapa fuera del polígono la pala estaba bien posicionada por lo que probablemente sea falla del sensor.</t>
  </si>
  <si>
    <t>7/22/2024 3:14 AM</t>
  </si>
  <si>
    <t>7/22/2024 8:14 AM</t>
  </si>
  <si>
    <t>00545610</t>
  </si>
  <si>
    <t>CNTTE - Mapa de calor Cobertura de red interior mina</t>
  </si>
  <si>
    <t>07-22-2024 10:54</t>
  </si>
  <si>
    <t>07-22-2024 12:16</t>
  </si>
  <si>
    <t>00545650</t>
  </si>
  <si>
    <t>CNTTE - Instalación de Jmineops a Iván Inzunza</t>
  </si>
  <si>
    <t>Se realiza instalación del software en el equipo designado encontrando que este ya estaba instalado con anterioridad, se genera la ISO hacia la unida I, y cambio de contraseña al usuario. Posteriormente el cliente hace la prueba y le funciona correctamente, nos avisa por correo.</t>
  </si>
  <si>
    <t>07-22-2024 15:11</t>
  </si>
  <si>
    <t>07-22-2024 19:44</t>
  </si>
  <si>
    <t>00545652</t>
  </si>
  <si>
    <t>Mantoverde - Seleccion de polígonos en vistas Palas /Cargadores</t>
  </si>
  <si>
    <t>merge a 00545656</t>
  </si>
  <si>
    <t>07-22-2024 15:24</t>
  </si>
  <si>
    <t>00545656</t>
  </si>
  <si>
    <t>AAM - No se esta filtrando los polígonos al asignarlos a un equipo de carguío.</t>
  </si>
  <si>
    <t>07-22-2024 15:48</t>
  </si>
  <si>
    <t>00545696</t>
  </si>
  <si>
    <t>AMCEN - Monitorear PA2</t>
  </si>
  <si>
    <t>Se mantiene monitoreo gran parte de la noche pudiendo observar un buen comportamiento de conexión y sensores.</t>
  </si>
  <si>
    <t>7/22/2024 7:38 PM</t>
  </si>
  <si>
    <t>7/23/2024 3:31 AM</t>
  </si>
  <si>
    <t>00545702</t>
  </si>
  <si>
    <t>AMCEN - C46 no registra todas sus vueltas</t>
  </si>
  <si>
    <t>Se reinicia la base de datos interna del equipo y se recupera su replicación de vueltas. Posteriormente se monitorea que termine correctamente ciclo y es así.</t>
  </si>
  <si>
    <t>7/22/2024 7:44 PM</t>
  </si>
  <si>
    <t>7/22/2024 9:47 PM</t>
  </si>
  <si>
    <t>00545708</t>
  </si>
  <si>
    <t>AMZAL - Palas 2 y 3 no marcan salida de caex luego de cargar</t>
  </si>
  <si>
    <t>Pala S02 se deja para terreno ya que no tiene comunicación. Por parte de la pala S03 se realiza una eliminación de su base de datos interna y reinicio del equipo para que comience a operar en limpio y registra cambios de actividades de manera ok.</t>
  </si>
  <si>
    <t>7/22/2024 8:15 PM</t>
  </si>
  <si>
    <t>7/22/2024 9:50 PM</t>
  </si>
  <si>
    <t>00545714</t>
  </si>
  <si>
    <t>CNCHUQ - C164 pegado en sistema</t>
  </si>
  <si>
    <t>Se realiza un reinicio remoto del equipo y recupera comunicación con el servidor/aplicativo</t>
  </si>
  <si>
    <t xml:space="preserve">
7/22/2024 9:42 PM</t>
  </si>
  <si>
    <t>7/22/2024 9:45 PM</t>
  </si>
  <si>
    <t>00545728</t>
  </si>
  <si>
    <t>AMCEN - Revisar CA215 sin sistema</t>
  </si>
  <si>
    <t>Se intenta revisar de manera remota pero no hay comunicación con el equipo, si se mantiene condición se recomienda atención en terreno.</t>
  </si>
  <si>
    <t>7/23/2024 12:04 AM</t>
  </si>
  <si>
    <t>7/23/2024 1:53 AM</t>
  </si>
  <si>
    <t>00545737</t>
  </si>
  <si>
    <t>CNDRT - Ingreso de tricono en perforadora de precorte</t>
  </si>
  <si>
    <t>7/23/2024 1:54 AM</t>
  </si>
  <si>
    <t>00545788</t>
  </si>
  <si>
    <t>CNN - Perforadora PE06 no carga mallas</t>
  </si>
  <si>
    <t>Se borra boundary asignado a malla y se hace monitoreo de perforadora, la cual ya puede visualizar los posos.</t>
  </si>
  <si>
    <t>07-23-2024 09:17</t>
  </si>
  <si>
    <t>07-23-2024 17:27</t>
  </si>
  <si>
    <t>00545792</t>
  </si>
  <si>
    <t>CNTTE - Revisión de APs</t>
  </si>
  <si>
    <t>Se presenta desconexión del RAP Polvorín, se debe revisar en terreno ya que no se presenta conexión al switch.</t>
  </si>
  <si>
    <t>07-23-2024 09:56</t>
  </si>
  <si>
    <t>07-23-2024 11:51</t>
  </si>
  <si>
    <t>00545793</t>
  </si>
  <si>
    <t>MLCC - Revision perfo 01</t>
  </si>
  <si>
    <t>Equipo es revisado en terreno , se hace revisión posterior recuperando comunicación con el equipo y visualización en pantalla del operador.</t>
  </si>
  <si>
    <t>07-23-2024 09:57</t>
  </si>
  <si>
    <t>07-23-2024 17:24</t>
  </si>
  <si>
    <t>00545821</t>
  </si>
  <si>
    <t>MLCC - Problemas con asignacion de equipos a Botadero planta gravilla</t>
  </si>
  <si>
    <t>Se revisan los destinos y se encuentra que estos no tienen materiales asignados, además se encuentra duplicidad de destinos y barios destinos sin nombre, se hace limpieza volvió a recuperar el destino en JS rutas y en las descargas.</t>
  </si>
  <si>
    <t>07-23-2024 14:01</t>
  </si>
  <si>
    <t>07-23-2024 17:13</t>
  </si>
  <si>
    <t>00545864</t>
  </si>
  <si>
    <t>AMCEN - Revisar C14 no toma cargas</t>
  </si>
  <si>
    <t>Se revisan los sensores del equipo encontrando que están operativos. Se monitorea durante una vuelta y se puede observar registrando correctamente cargas.</t>
  </si>
  <si>
    <t>7/23/2024 7:34 PM</t>
  </si>
  <si>
    <t>7/23/2024 8:35 PM</t>
  </si>
  <si>
    <t>00545870</t>
  </si>
  <si>
    <t>AMCEN - Reportabilidad no actualizada desde las 17</t>
  </si>
  <si>
    <t>Se monitorea la ejecución del job SASS encargado de alimentar información de reportes cubos, como falla el procesos automático se ejecuta de manera manual logrando que termine ok y recuperando la información actualizada.</t>
  </si>
  <si>
    <t>7/23/2024 8:38 PM</t>
  </si>
  <si>
    <t>7/24/2024 1:17 AM</t>
  </si>
  <si>
    <t>00545882</t>
  </si>
  <si>
    <t>AMCEN - Revisar C135 pegado en sistema</t>
  </si>
  <si>
    <t>Al momento de revisar equipo se encontraba operativo.</t>
  </si>
  <si>
    <t>7/23/2024 11:08 PM</t>
  </si>
  <si>
    <t>7/23/2024 11:46 PM</t>
  </si>
  <si>
    <t>00545883</t>
  </si>
  <si>
    <t>AMCEN - Revisar C24 sin vnc</t>
  </si>
  <si>
    <t>Al momento de revisar equipo es posible acceder al vnc sin problemas</t>
  </si>
  <si>
    <t>7/23/2024 11:10 PM</t>
  </si>
  <si>
    <t>7/23/2024 11:47 PM</t>
  </si>
  <si>
    <t>00545888</t>
  </si>
  <si>
    <t>AMCEN - Revisar C17 sin comunicación</t>
  </si>
  <si>
    <t>Se revisa el equipo y se encuentra operativo, sensores en buen estado. Igualmente se reinicia de manera preventiva para mejor rendimiento del equipo. Luego de revisión el camión comienza a tener muy mala calidad de red hasta que eventualmente perdió toda comunicación.</t>
  </si>
  <si>
    <t>7/24/2024 12:37 AM</t>
  </si>
  <si>
    <t>7/24/2024 1:14 AM</t>
  </si>
  <si>
    <t>00545890</t>
  </si>
  <si>
    <t>AMCEN - Revisar CA222 JSPanel pegado</t>
  </si>
  <si>
    <t>Se realiza un reinicio del equipo recuperando así el correcto funcionamiento del vnc</t>
  </si>
  <si>
    <t>7/24/2024 12:54 AM</t>
  </si>
  <si>
    <t>7/24/2024 1:15 AM</t>
  </si>
  <si>
    <t>00545912</t>
  </si>
  <si>
    <t>CNRI - CE352 pantalla pegada</t>
  </si>
  <si>
    <t>Se detecta que el core del equipo no tiene comunicación con pantalla. Se realiza un reinicio de la base de datos interna y del equipo recuperando así la conexión y operador confirma que puede utilizar pantalla.</t>
  </si>
  <si>
    <t>7/24/2024 4:38 AM</t>
  </si>
  <si>
    <t>7/24/2024 4:42 AM</t>
  </si>
  <si>
    <t>Daniela Despacho</t>
  </si>
  <si>
    <t>00546014</t>
  </si>
  <si>
    <t>CNRI - Revisión CAEX CE352</t>
  </si>
  <si>
    <t>Se reinicia el equipo recuperando así su correcto funcionamiento, esto se corrobora con Daniela y el operador. Como observacion, el equipo pierde la comunicacion con la pantalla y al reiniciarla vuelve a retomarla.</t>
  </si>
  <si>
    <t>7/24/2024 21:49</t>
  </si>
  <si>
    <t xml:space="preserve">7/24/2024 22:09 </t>
  </si>
  <si>
    <t>00546015</t>
  </si>
  <si>
    <t>CNRT - Revisión Perforadora PE-03</t>
  </si>
  <si>
    <t>Se intenta conectar con la perforadora, pero esta se encuentra sin comunicación, por lo que se le avisa a Elian. Luego de un tiempo, esta vuelve a tener comunicación y recupera su correcto funcionamiento.</t>
  </si>
  <si>
    <t>7/24/2024 22:07</t>
  </si>
  <si>
    <t>7/25/2024 04:19 AM</t>
  </si>
  <si>
    <t>Elian Naranjo</t>
  </si>
  <si>
    <t>00546019</t>
  </si>
  <si>
    <t>CNRT - Revisión CAEX C907</t>
  </si>
  <si>
    <t>Se revisa su versión del JAMS la cual esta correcta, también se visualiza un correcto ping. Se le comunica esto a Elian y el nos comenta que será revisado mañana en terreno. Dejando fuera que el equipo no muestre una correcta señal en el VNC este se encuentra funcionando correctamente.</t>
  </si>
  <si>
    <t>7/24/2024 22:20</t>
  </si>
  <si>
    <t xml:space="preserve">7/25/2024 00:08 </t>
  </si>
  <si>
    <t>00546062</t>
  </si>
  <si>
    <t>CNRT - Revisión CAEX C920</t>
  </si>
  <si>
    <t>Se revisa de manera manual el recorrido del C920 y efectivamente perdió una vuelta, por lo que se reinicia el equipo que se encontraba con baja señal y se vuelve a recuperar. Se visualiza un correcto funcionamiento después de esto con respecto a la contabilización de vueltas.</t>
  </si>
  <si>
    <t xml:space="preserve">7/25/2024 04:20 </t>
  </si>
  <si>
    <t>7/24/2024 05:46 AM</t>
  </si>
  <si>
    <t>00546078</t>
  </si>
  <si>
    <t>Monitoreo - CNRT - Proceso Encolado Sumarizador</t>
  </si>
  <si>
    <t>Se eliminan los procesos encolados y se espera a que pasen las próximas Sumarizaciones de manera correcta.</t>
  </si>
  <si>
    <t xml:space="preserve">7/25/2024 03:06 </t>
  </si>
  <si>
    <t xml:space="preserve">7/25/2024 03:20 </t>
  </si>
  <si>
    <t>00546082</t>
  </si>
  <si>
    <t>7/25/2024 07:04</t>
  </si>
  <si>
    <t xml:space="preserve">7/25/2024 07:16 </t>
  </si>
  <si>
    <t>00546105</t>
  </si>
  <si>
    <t>CNMS - Modificar perfiles Jview</t>
  </si>
  <si>
    <t>Se revisa el problema, y solo ocurre con algunos perfiles lo que nos da un indicio de donde esta el error, al final el problema se origina en los roles que en su nombre tienen un espacio en blanco, se crea otro rol con los mismo privilegios y reportes , pero con otro nombre y ya se puede modificar correctamente.</t>
  </si>
  <si>
    <t>7/25/2024 08:40</t>
  </si>
  <si>
    <t>7/25/2024 13:12</t>
  </si>
  <si>
    <t>00546169</t>
  </si>
  <si>
    <t>CNTTE - Detalle de estados por equipo</t>
  </si>
  <si>
    <t>Se esta rescatando la informacion para ser entregada</t>
  </si>
  <si>
    <t>7/25/2024 12:15</t>
  </si>
  <si>
    <t>7/26/2024 08:10</t>
  </si>
  <si>
    <t>Ivan Inzunza</t>
  </si>
  <si>
    <t>00546173</t>
  </si>
  <si>
    <t>Se eliminan los procesos encolados y se espera a que pase la siguiente replica de manera completa.</t>
  </si>
  <si>
    <t>7/25/2024 20:30</t>
  </si>
  <si>
    <t>7/25/2024 20:40</t>
  </si>
  <si>
    <t>00546190</t>
  </si>
  <si>
    <t>AMCEN - Revisión CAEX CA219</t>
  </si>
  <si>
    <t>Se revisa el equipo el cual se encontraba con mala comunicación, teniendo hasta un 62% de paquetes perdidos, lo que puede provocar la demora y/o no actualización de las actividades. Se le hace un reinicio al CA219 y el equipo queda funcionando correctamente.</t>
  </si>
  <si>
    <t>7/25/2024 23:45</t>
  </si>
  <si>
    <t>7/26/2024 00:10</t>
  </si>
  <si>
    <t>00546191</t>
  </si>
  <si>
    <t>CNRI - Revisión CAEX CE346</t>
  </si>
  <si>
    <t>En primera instancia no pudimos conectarnos con el equipo, ya que es nuevo y esta siendo recién incorporado por lo que me comento Daniela, por lo que no están creados sus devices ni certificados. Por otro lado, el problema con los estados fue un mal entendido de Personal de despacho, ya que entre ellos se estaban cambiando los estados por falta de información.</t>
  </si>
  <si>
    <t>7/25/2024 20:37</t>
  </si>
  <si>
    <t>7/25/2024 21:03</t>
  </si>
  <si>
    <t>00546204</t>
  </si>
  <si>
    <t>AAM - Revisión Cargador CFCA015</t>
  </si>
  <si>
    <t>7/26/2024 04:34</t>
  </si>
  <si>
    <t>00546221</t>
  </si>
  <si>
    <t>AMCEN - Sumarizacion no termina</t>
  </si>
  <si>
    <t>Se detienen todos los procesos de sumarizacion y replicacion de datos, para ejecutar una sumarizacion manual, cuando esta termina, la ingeniera on site sigue con las revisiones posteriores.</t>
  </si>
  <si>
    <t>7/26/2024 08:48</t>
  </si>
  <si>
    <t>7/26/2024 09:22</t>
  </si>
  <si>
    <t>00546225</t>
  </si>
  <si>
    <t>7/26/2024 09:58</t>
  </si>
  <si>
    <t>7/26/2024 11:21</t>
  </si>
  <si>
    <t>00546241</t>
  </si>
  <si>
    <t>CNDMH - P203 sin comunicacion</t>
  </si>
  <si>
    <t>Se logra reiniciar el equipo, al volver este tiene mejor conexión , se revisa su vnc estando todo ok.</t>
  </si>
  <si>
    <t>7/26/2024 11:30</t>
  </si>
  <si>
    <t>7/26/2024 11:58</t>
  </si>
  <si>
    <t>00546255</t>
  </si>
  <si>
    <t>MLCC - Pala N°202 reinicio</t>
  </si>
  <si>
    <t>7/26/2024 14:34</t>
  </si>
  <si>
    <t>7/26/2024 15:12</t>
  </si>
  <si>
    <t>00546266</t>
  </si>
  <si>
    <t>AMANT - Descargas erroneas</t>
  </si>
  <si>
    <t>Se revisan ambos casos, en el cargador L100 no pareciera haber errores, estuvo mucho tiempo sacando nitrato , asignado a otro poligono, en el caso de la pala SH02, se identificaron saltos en el gps que aluden cambio de poligono.</t>
  </si>
  <si>
    <t>7/26/2024 19:10</t>
  </si>
  <si>
    <t>7/27/2024 16:02</t>
  </si>
  <si>
    <t>00546283</t>
  </si>
  <si>
    <t>CNRI - Error Informe Diario - Rajo Inca</t>
  </si>
  <si>
    <t>Se cambia el nombre de la tronada, ya que este no tenia el formato adecuado para que fuera consultado por la Query del Informe</t>
  </si>
  <si>
    <t>7/26/2024 20:24</t>
  </si>
  <si>
    <t>7/26/2024 21:56</t>
  </si>
  <si>
    <t>00546291</t>
  </si>
  <si>
    <t>CNCHUQ - Revision PE316</t>
  </si>
  <si>
    <t>Se revisa el equipo con el cual no hay comunicación con la IP flotante, por lo que se ingresa con la IP de terreno, al entrar no tenemos comunicación con la pantalla, por lo que se le avisa a Miguel que debe ser revisado en terreno. Como información adicional nos comenta que el operador tiene la pantalla apagada.</t>
  </si>
  <si>
    <t>7/27/2024 00:24</t>
  </si>
  <si>
    <t>7/27/2024 00:38</t>
  </si>
  <si>
    <t xml:space="preserve">Miguel </t>
  </si>
  <si>
    <t>00546313</t>
  </si>
  <si>
    <t>MLCC - Jview no se actualiza</t>
  </si>
  <si>
    <t>Se revisa el servidor el cual esta trabajando normalmente, la sumarizacion esta terminando de forma correcta y de igual manera la replicacion de datos al servidor de Jview.</t>
  </si>
  <si>
    <t>7/27/2024 08:32</t>
  </si>
  <si>
    <t>7/27/2024 09:10</t>
  </si>
  <si>
    <t>00546315</t>
  </si>
  <si>
    <t>CNRT - Alarmas ME no se estan actualizando</t>
  </si>
  <si>
    <t>El problema se ocasiono porque el integration production job, no se estaba ejecutando se detiene el job y se intenta ejecutar de forma manual , pero no termina nunca, finalmente se llevan los procedimientos al sql para ejecutarlos uno por uno, ya cuando pasaron todos sin errores, vuelvo a ejecutar el job y este pasa ya sin problemas.</t>
  </si>
  <si>
    <t>7/27/2024 08:24</t>
  </si>
  <si>
    <t>7/27/2024 12:20</t>
  </si>
  <si>
    <t>00546317</t>
  </si>
  <si>
    <t>AMCEN - Solicitud de revision PA11</t>
  </si>
  <si>
    <t>Se intenta establecer conexión con el equipo, pero no tenemos llegada por la ip física ni por la de terreno, se le indica a Alisson que lo tendrán que revisar en terreno.</t>
  </si>
  <si>
    <t>7/27/2024 13:10</t>
  </si>
  <si>
    <t>7/27/2024 13:45</t>
  </si>
  <si>
    <t>00546332</t>
  </si>
  <si>
    <t>CNRI - Error Ubicación Polígonos</t>
  </si>
  <si>
    <t>Se le modifica la ubicación al Polígono por la creada el día anterior, dejándolos con el nombre correcto.</t>
  </si>
  <si>
    <t>7/27/2024 21:33</t>
  </si>
  <si>
    <t>7/27/2024 21:45</t>
  </si>
  <si>
    <t>00546338</t>
  </si>
  <si>
    <t>7/27/2024 22:04</t>
  </si>
  <si>
    <t>7/27/2024 22:20</t>
  </si>
  <si>
    <t>00546339</t>
  </si>
  <si>
    <t>7/28/2024 00:44</t>
  </si>
  <si>
    <t>7/28/2024 01:03</t>
  </si>
  <si>
    <t>00546341</t>
  </si>
  <si>
    <t>Monitoreo - AMCEN - Proceso SQL Pegado</t>
  </si>
  <si>
    <t>Se elimina el proceso que estaba pegado y se espera que el próximo termine de manera correcta.</t>
  </si>
  <si>
    <t>7/28/2024 05:12</t>
  </si>
  <si>
    <t>7/28/2024 05:26</t>
  </si>
  <si>
    <t>00546343</t>
  </si>
  <si>
    <t>7/28/2024 06:40</t>
  </si>
  <si>
    <t>7/28/2024 06:53</t>
  </si>
  <si>
    <t>00546346</t>
  </si>
  <si>
    <t>CNDMH - Revision Regador R504</t>
  </si>
  <si>
    <t>En una primera instancia se revisa el equipo encontrándose con comunicación, se le realiza un reinicio y este no volvió a tener conexión. Se le da el aviso correspondiente a Francisco Castillo para ser revisado en terreno.</t>
  </si>
  <si>
    <t>7/28/2024 07:37</t>
  </si>
  <si>
    <t>7/28/2024 20:36</t>
  </si>
  <si>
    <t>00546354</t>
  </si>
  <si>
    <t>Se reinician los servicios SQL del servidor 58</t>
  </si>
  <si>
    <t>7/28/2024 08:42</t>
  </si>
  <si>
    <t>7/28/2024 17:56</t>
  </si>
  <si>
    <t>00546359</t>
  </si>
  <si>
    <t>AMCEN - Replicacion de datos no termina</t>
  </si>
  <si>
    <t>Se revisa el log y queda pegado en la misma tabla, se deja comentado en el crontab y se ejecuta de forma manual, esperando hasta que termine, cuando lo hace, lo vuelvo a ejecutar, pasando mucho mas rapido que antes, vuelvo a activarlo en el crontab y ya termina la replicacion de datos de forma correcta.</t>
  </si>
  <si>
    <t>7/28/2024 12:24</t>
  </si>
  <si>
    <t>7/28/2024 13:54</t>
  </si>
  <si>
    <t>00546364</t>
  </si>
  <si>
    <t>CNTTE - Sin reportabilidad Jview</t>
  </si>
  <si>
    <t>Se reinician los servicios sql y el IIS , posteriormente se pueden volver a visualizar los reportes de Jview, se le avisa a Enrique, quien nos confirma que ya le esta cargando la pagina.</t>
  </si>
  <si>
    <t>7/28/2024 14:00</t>
  </si>
  <si>
    <t>7/28/2024 14:07</t>
  </si>
  <si>
    <t>00546378</t>
  </si>
  <si>
    <t>MLCC - Cargador 221 con problemas de GPS</t>
  </si>
  <si>
    <t>Se revisa el equipo y se identifica que tiene problemas con la antena del gps N°1, se le informa a Cristian , para que puedan revisar el equipo en terreno.</t>
  </si>
  <si>
    <t>7/28/2024 15:13</t>
  </si>
  <si>
    <t>7/28/2024 15:25</t>
  </si>
  <si>
    <t>00546382</t>
  </si>
  <si>
    <t>Se reinician los servicios y se revisa que no se sigan encolando. (Servidor 59)</t>
  </si>
  <si>
    <t>7/28/2024 16:44</t>
  </si>
  <si>
    <t>7/28/2024 18:32</t>
  </si>
  <si>
    <t>00546383</t>
  </si>
  <si>
    <t>AMCEN - Sumarizacion</t>
  </si>
  <si>
    <t>7/28/2024 18:15</t>
  </si>
  <si>
    <t>7/28/2024 18:30</t>
  </si>
  <si>
    <t>00546399</t>
  </si>
  <si>
    <t>CNRI - Error Ubicación Polígono</t>
  </si>
  <si>
    <t>Se le modifica la ubicación al Polígono asignándolo a una creada anteriormente., dejándolos con el nombre correcto.</t>
  </si>
  <si>
    <t>7/28/2024 21:17</t>
  </si>
  <si>
    <t>00546412</t>
  </si>
  <si>
    <t>MLCC - Revisión importador Malla</t>
  </si>
  <si>
    <t>Se revisó el crontab y se observó que el importador de mallas estaba comentado. Se ha descomentado para que vuelva a ejecutarse correctamente y así el archivo fue subido de manera correcta al sistema.</t>
  </si>
  <si>
    <t>7/28/2024 22:42</t>
  </si>
  <si>
    <t>00546415</t>
  </si>
  <si>
    <t>MLCC - Revisión Perforadora D103</t>
  </si>
  <si>
    <t>Se revisó la comunicación con la perforadora D103 y se comprobó que es prácticamente inexistente. Se notificó nuevamente al despacho, quienes informaron que la perforadora está encajonada, lo que probablemente está causando estos problemas de comunicación. Se revisa nuevamente en la madrugada y la conexion sigue siendo intermitente, pero se pudo conectar al VNC del equipo en donde se ve trabajando de manera correcta.</t>
  </si>
  <si>
    <t>00546419</t>
  </si>
  <si>
    <t>Monitoreo - CNMS - Sin conexión Servidores</t>
  </si>
  <si>
    <t>El problema fue a raíz de un corte de energía, lo que provoco que se perdiera la comunicación con los servidores de manera remota. El servidor tiene "pestañeos"  de comunicacion por lo que se sigue observando.</t>
  </si>
  <si>
    <t>7/28/2024 19:26</t>
  </si>
  <si>
    <t>7/29/2024 07:11</t>
  </si>
  <si>
    <t>00546422</t>
  </si>
  <si>
    <t>Monitoreo - MAGSA - Procesos SQL</t>
  </si>
  <si>
    <t>Se deja comentado el proceso de replica en el crontab y se espera a que pase completamente antes de volver a ejecutarlo.</t>
  </si>
  <si>
    <t>7/28/2024 23:23</t>
  </si>
  <si>
    <t>7/28/2024 23:56</t>
  </si>
  <si>
    <t>00546428</t>
  </si>
  <si>
    <t>Monitoreo - MLCC - Importador Pegado</t>
  </si>
  <si>
    <t>Se revisa la carpeta Polígono_carga para ver si hay un archivo que no se ha subido al sistema y este provocando que el proceso este pegado pero no se encuentra ningún archivo en la carpeta, se le pregunta a Alejandro Larenas por si han intentado subir algún polígono en esta carpeta recientemente y nos comenta que por su lado no, por lo que no se puede encontrar a que archivo correspondía este proceso, este se elimina para que no provoque problemas a futuro.</t>
  </si>
  <si>
    <t>7/29/2024 00:40</t>
  </si>
  <si>
    <t>7/29/2024 01:04</t>
  </si>
  <si>
    <t>00546429</t>
  </si>
  <si>
    <t>CNRI - Revision CAEX CE352</t>
  </si>
  <si>
    <t>Al conectarse con el equipo se observa que no tiene conexión con la pantalla (master) por lo que luego de reiniciar, vuelve la comunicación con este de manera correcta, recuperando así su funcionamiento.</t>
  </si>
  <si>
    <t>7/29/2024 01:21</t>
  </si>
  <si>
    <t>7/28/2024 06:17</t>
  </si>
  <si>
    <t>00546446</t>
  </si>
  <si>
    <t>AMCEN - Revisión Pala PA02</t>
  </si>
  <si>
    <t>Al ingresar al equipo observamos que esta trabajando correctamente, por lo que se le da el aviso a Luis Rios y nos comenta que volvió a estar bien.</t>
  </si>
  <si>
    <t>7/29/2024 05:09</t>
  </si>
  <si>
    <t>7/29/2024 05:28</t>
  </si>
  <si>
    <t>00546447</t>
  </si>
  <si>
    <t>CNCHUQ - Problema Pala PA890</t>
  </si>
  <si>
    <t>Se revisan las configuraciones de los equipos y del servidor no encontrando ninguna anomalía, se le asignan los camiones correspondientes a la Pala y esta queda funcionando correctamente.</t>
  </si>
  <si>
    <t>7/29/2024 05:56</t>
  </si>
  <si>
    <t>7/29/2024 07:58</t>
  </si>
  <si>
    <t>00546457</t>
  </si>
  <si>
    <t>Monitoreo - AMCEN - Importador Pegado</t>
  </si>
  <si>
    <t>Se revisa la carpeta de Poligonos Hazard donde no se encuentra ningún archivo sin subir, por lo que se elimina el proceso pegado.</t>
  </si>
  <si>
    <t>7/29/2024 06:32</t>
  </si>
  <si>
    <t>7/29/2024 06:45</t>
  </si>
  <si>
    <t>00546466</t>
  </si>
  <si>
    <t>7/29/2024 06:41</t>
  </si>
  <si>
    <t>7/29/2024 06:48</t>
  </si>
  <si>
    <t>00546486</t>
  </si>
  <si>
    <t>CNTTE - C313 no hace los cambios de estado</t>
  </si>
  <si>
    <t>Se revisa el equipo, el cual estaba trabajando sin problemas, tiene buena comunicación, y su gps esta trabajando de forma correcta, no se detecta ningún problema.</t>
  </si>
  <si>
    <t>7/29/2024 10:33</t>
  </si>
  <si>
    <t>7/29/2024 12:21</t>
  </si>
  <si>
    <t>00546491</t>
  </si>
  <si>
    <t>MLCC - Perforadora 103 y Pala 210 con problemas de GPS</t>
  </si>
  <si>
    <t>Se revisan ambos equipos, en el caso de la D103, no habían realizado bien las conexiones , por lo que no teníamos conexión con el equipo y su GPS tambien estaba fallando, cuando lo arreglan, nos podemos conectar brevemente con el equipo, y ya se ve con toda la señal su gps y esta enviando buenas calidades en ambas antenas.
En el caso de la pala, esta siempre estuvo trabajando bien, fue solo un pestañeo de mala señal del GPS.</t>
  </si>
  <si>
    <t>7/29/2024 11:34</t>
  </si>
  <si>
    <t>7/29/2024 15:21</t>
  </si>
  <si>
    <t>00546511</t>
  </si>
  <si>
    <t>AMZAL - Privilegios para usuario sql</t>
  </si>
  <si>
    <t>Se realizan las modificaciones al perfil de Miguel Caceres, para que este tenga mas privilegios , a la espera de la confirmación del cliente para cerrar el  ticket.</t>
  </si>
  <si>
    <t>7/29/2024 15:49</t>
  </si>
  <si>
    <t>00546516</t>
  </si>
  <si>
    <t>CNTTE - C315 no se puede instalar el sistema</t>
  </si>
  <si>
    <t>Se revisa el equipo , primero se deduce que no tiene buena comunicacion por que la instalacion no se puede completar, aparece el CA315 para ser instalado, pero esta no termina nunca de realizarse, pero el técnico le instala el perfil de otro camión, y este lo levanta de inmediato, investigando mas a profundidad, se detecta que la llave del equipo, esta vencida, se le crea nuevamente el certificado y se le entrega el setup nuevo al Rodrigo para que mañana lleve a cabo la instalación</t>
  </si>
  <si>
    <t>7/29/2024 11:30</t>
  </si>
  <si>
    <t>00546517</t>
  </si>
  <si>
    <t>MLCC - Modelo de bloques no visible</t>
  </si>
  <si>
    <t>Se revisan los bloques, los cuales si eran visibles, volvemos a hablar con Viviana quien nos confirma que ya puede verlos.</t>
  </si>
  <si>
    <t>7/29/2024 16:43</t>
  </si>
  <si>
    <t>7/29/2024 16:55</t>
  </si>
  <si>
    <t>00546539</t>
  </si>
  <si>
    <t>AMCEN - Sumarizacion mes de Julio</t>
  </si>
  <si>
    <t>Se visualiza que el proceso de Sumarizacion se quedo pegado desde las 15:14 con la tabla siguiente a hour_detail_alarms por lo que se elimina ese proceso de sumarizacion y se comienza de nuevo con tramos de 5 días hasta completar el mes de Julio.</t>
  </si>
  <si>
    <t>7/29/2024 19:58</t>
  </si>
  <si>
    <t>7/30/2024 06:12</t>
  </si>
  <si>
    <t>00546540</t>
  </si>
  <si>
    <t>Se revisó el servidor y se reiniciaron los servicios de IIS, lo que permitió que la página volviera a funcionar correctamente.</t>
  </si>
  <si>
    <t>7/29/2024 20:13</t>
  </si>
  <si>
    <t>7/29/2024 20:43</t>
  </si>
  <si>
    <t>00546541</t>
  </si>
  <si>
    <t>CNCHUQ - Revisión C456</t>
  </si>
  <si>
    <t>Se revisa el equipo y mediante el VNC no se encuentra nada extraño, se le vuelve a avisar a Miguel sobre esto y nos comenta que el equipo tuvo un pequeño choque con otro y luego de esto la pantalla se comenzó a apagar reiteradas veces. Dado este problema será revisada en terreno.</t>
  </si>
  <si>
    <t>7/29/2024 20:15</t>
  </si>
  <si>
    <t>00546573</t>
  </si>
  <si>
    <t>CAPCNN - Problema Cargador CF05</t>
  </si>
  <si>
    <t>Se le avisa a Cristopher que la ruta no existía, por lo que el procede a crearla y así asignarle correctamente la ruta al Cargador.</t>
  </si>
  <si>
    <t>7/29/2024 20:35</t>
  </si>
  <si>
    <t>7/29/2024 21:57</t>
  </si>
  <si>
    <t>00546574</t>
  </si>
  <si>
    <t>AMZAL - Revisión Pala PA02</t>
  </si>
  <si>
    <t>Se le comunica a Isaac que el problema esta en que los bloques están sobre puestos sobre otros, esto provocando que la Pala al mover el balde a una altura se le cambien los bloques visibles por los otros. Se le informa que la medida para afrontar esto seria borrar los bloques que ya no están siendo utilizados.</t>
  </si>
  <si>
    <t>7/29/2024 23:10</t>
  </si>
  <si>
    <t>Isaac</t>
  </si>
  <si>
    <t>00546575</t>
  </si>
  <si>
    <t>MLCC - Revisión MineOPS Despacho</t>
  </si>
  <si>
    <t>Nicolas Carrasco le realiza una reinstalación del sistema MineOPS al equipo en el cual estaban ocurriendo los reinicios, por lo que queda en observación el comportamiento de este.</t>
  </si>
  <si>
    <t>7/29/2024 22:49</t>
  </si>
  <si>
    <t>00546589</t>
  </si>
  <si>
    <t>CNCHUQ - Revisión C151</t>
  </si>
  <si>
    <t>Se revisa el equipo encontrando que esta trabajando de manera correcta, de igual manera se reinicia así recuperando la vista para el operador.</t>
  </si>
  <si>
    <t>7/29/2024 23:05</t>
  </si>
  <si>
    <t>7/29/2024 23:26</t>
  </si>
  <si>
    <t>00546597</t>
  </si>
  <si>
    <t>Nuevamente el equipo esta teniendo problemas con la pantalla, por lo que se pierde la comuncacion entre el core y el master, se reinicia el CAEX y se recupera su correcto funcionamiento.</t>
  </si>
  <si>
    <t>7/30/2024 05:06</t>
  </si>
  <si>
    <t>7/30/2024 05:12</t>
  </si>
  <si>
    <t>00546600</t>
  </si>
  <si>
    <t>AMCEN - Reportabilidad detenida</t>
  </si>
  <si>
    <t>Se ha revisado la reportabilidad y se ha encontrado que la data está actualizada. Por lo tanto, se solicita una nueva revisión para confirmar información esta correcta. El problema pudo haber sido por una falla de red lo que no les actualizo la informacion o se ejecuto el informe antes del paso de la replica.</t>
  </si>
  <si>
    <t>7/30/2024 06:27</t>
  </si>
  <si>
    <t>7/30/2024 06:57</t>
  </si>
  <si>
    <t>00546624</t>
  </si>
  <si>
    <t>MLCC - Pala 210 problemas de GPS</t>
  </si>
  <si>
    <t>Se revisa el equipo, el cual tiene un correcto funcionamiento del GPS, pero no asi de su cobertura, es muy dificil conectarse para revisarlo, pero por el lado del GPS no hay ningun problema.</t>
  </si>
  <si>
    <t>7/30/2024 09:31</t>
  </si>
  <si>
    <t>7/30/2024 10:45</t>
  </si>
  <si>
    <t>Naldo 360</t>
  </si>
  <si>
    <t>00546652</t>
  </si>
  <si>
    <t>AMZAL - Sumarizacion Julio 18 y 19</t>
  </si>
  <si>
    <t>7/30/2024 14:21</t>
  </si>
  <si>
    <t>7/30/2024 14:56</t>
  </si>
  <si>
    <t>00546660</t>
  </si>
  <si>
    <t>CNN - resumarización conciliación de tiempos - semana 30</t>
  </si>
  <si>
    <t>7/30/2024 14:30</t>
  </si>
  <si>
    <t>7/30/2024 16:18</t>
  </si>
  <si>
    <t>00546666</t>
  </si>
  <si>
    <t>AMZAL - Reporte automático</t>
  </si>
  <si>
    <t>Se crea una copia del informe anterior y se le modifican los parámetros solicitados por Miguel.</t>
  </si>
  <si>
    <t>7/30/2024 14:39</t>
  </si>
  <si>
    <t>00546699</t>
  </si>
  <si>
    <t>Monitoreo - CNCHUQ - Perdida de comunicación Servidores</t>
  </si>
  <si>
    <t>Miguel nos comenta que hubo un corte de energía en el patio 7, lo que provoco la perdida de comunicación con los servidores de manera remota. Cabe recalcar que el servidor no se apago. Como observación, Miguel nos comenta que las UPS tiene baterías malas.</t>
  </si>
  <si>
    <t>7/31/2024 21:51</t>
  </si>
  <si>
    <t>7/31/2024 22:33</t>
  </si>
  <si>
    <t>Miguel Tecnico</t>
  </si>
  <si>
    <t>00546716</t>
  </si>
  <si>
    <t>CNCHUQ - Problema estados PA200</t>
  </si>
  <si>
    <t>Se entrega información a ingeniero residente para su revisión.</t>
  </si>
  <si>
    <t>7/31/2024 23:11</t>
  </si>
  <si>
    <t>7/31/2024 8:15 AM</t>
  </si>
  <si>
    <t>00546737</t>
  </si>
  <si>
    <t>MLCC - Revisar cambio de estado por usuario</t>
  </si>
  <si>
    <t>Se hace revisión en tabla shift_states para encontrar el id del registro que fue modificado, posteriormente se busca con este id en change_logs dando con el usuario que realizó las modificaciones.</t>
  </si>
  <si>
    <t>7/31/2024 5:45 AM</t>
  </si>
  <si>
    <t>7/31/2024 8:21 AM</t>
  </si>
  <si>
    <t>00546779</t>
  </si>
  <si>
    <t>AMZAL - Pasar de dibujos a Hazard en JMineOP</t>
  </si>
  <si>
    <t>Se entrega el instructivo/guía para formato correcto de archivos hazard.</t>
  </si>
  <si>
    <t>7/31/2024 9:37 AM</t>
  </si>
  <si>
    <t>00546830</t>
  </si>
  <si>
    <t>MLCC - Revisar reportabilidad</t>
  </si>
  <si>
    <t>Se reinician los servicios SQL Server en el servidor eliminando la cola y permitiendo que réplica pase ok</t>
  </si>
  <si>
    <t>7/31/2024 2:06 PM</t>
  </si>
  <si>
    <t>7/31/2024 3:03 PM</t>
  </si>
  <si>
    <t>00546857</t>
  </si>
  <si>
    <t>CNRT - Cambio de contraseña Mineops</t>
  </si>
  <si>
    <t>Posterior a petición de Mauro se hace el cambio de la contraseña del usuarios rsegu003. Se envia por correo electrónico al usuario.</t>
  </si>
  <si>
    <t>07-31-2024 20:30</t>
  </si>
  <si>
    <t>07-31-2024 22:12</t>
  </si>
  <si>
    <t>00546860</t>
  </si>
  <si>
    <t>AMZAL - Sin conexion con MineOps</t>
  </si>
  <si>
    <t>Después de revisar que no había conexión con los equipos de campo y que el JAMS estaba funcionando, se detecta varios procesos encolados de los importadores, se debió matar uno a uno, posteriormente se detiene el JAMSRouter y se vuelve a activar, recuperando las conexiones y el correcto funcionamiento de MinOperate.</t>
  </si>
  <si>
    <t>07-31-2024 21:18</t>
  </si>
  <si>
    <t>00546883</t>
  </si>
  <si>
    <t>MLCC - Revisión de importación de planes Agosto</t>
  </si>
  <si>
    <t>Se hace revisión de los archivos csv no encontrando incongruencias, se procede a ejecutar manualmente el servicio, se monitorea pero no se ve que termine, posteriormente se ejecuta el proceso por crontab y este elimina parámetros que encuentra ya creados hasta el día 15-08 y los elimina, posteriormente los vuelve a crear hasta el 31-08. Los archivos se pasan correctamente a la carpeta save.</t>
  </si>
  <si>
    <t>00546902</t>
  </si>
  <si>
    <t>Monitoreo - MAGSA - SQL server encolado</t>
  </si>
  <si>
    <t>Se matan los procesos encolados.</t>
  </si>
  <si>
    <t>00546909</t>
  </si>
  <si>
    <t>Monitoreo - DMH - Encolamiento SQL server</t>
  </si>
  <si>
    <t>Se detecta constantes encolamientos del proceso run2 en una ocasión por 20 min y en otra por casi 40 min en servidor principal DMH, se mata el proceso.</t>
  </si>
  <si>
    <t>00546918</t>
  </si>
  <si>
    <t>AMZAL - Carga de plan</t>
  </si>
  <si>
    <t>Se sube el plan de manera correcta y se le entrega un instructivo de Carga de Planes a Miguel Caceres para un futuro.</t>
  </si>
  <si>
    <t>00546920</t>
  </si>
  <si>
    <t>MLCC - Revisión de C318 gps intermitente</t>
  </si>
  <si>
    <t>Se revisa el equipo y se puede observar gps en buen estado, se mantiene monitoreo determinando que está operando ok</t>
  </si>
  <si>
    <t>Alexis Artias Tres60</t>
  </si>
  <si>
    <t>00546921</t>
  </si>
  <si>
    <t>MLCC - Sumarización Julio</t>
  </si>
  <si>
    <t>Se realiza la sumarización, confirmada correctamente por Daniel Godoy.</t>
  </si>
  <si>
    <t>00546931</t>
  </si>
  <si>
    <t>MLCC - Solicita Baja de Servicios</t>
  </si>
  <si>
    <t>Se busca el usuario para eliminarlo de mineops en tabla users y workers y no se encuentra en ninguna de las dos</t>
  </si>
  <si>
    <t>00546958</t>
  </si>
  <si>
    <t>Monitoreo - CNN - Procesos encolados</t>
  </si>
  <si>
    <t>Se matan los procesos y se monitorea que la replica pase bien.</t>
  </si>
  <si>
    <t>00546996</t>
  </si>
  <si>
    <t>CNDMH - Revisar C723 no muestra barras de comunicación</t>
  </si>
  <si>
    <t>00546997</t>
  </si>
  <si>
    <t>AAM - Revisar zona de tronada CFCA015</t>
  </si>
  <si>
    <t>Revisada la situación se encuentra todo correcto por lo que se cierra ticket.</t>
  </si>
  <si>
    <t>00546998</t>
  </si>
  <si>
    <t>CNN - Revisar Horómetros camiones</t>
  </si>
  <si>
    <t>Se revisa la entrada de datos de los sensores de los CAEX en faena y se comprueba que no están entrando datos de este puerto en especifico. Se le informa a Juan Nuñez por correo.</t>
  </si>
  <si>
    <t>00547005</t>
  </si>
  <si>
    <t>CNRI - Problemas con Caex CE121</t>
  </si>
  <si>
    <t>Se reviso el equipo encontrando perdidas de señal GPS mínimas, sin perdidas de comunicación ni sensores asociados al ciclo, Se pide a personal en terreno revisión física del GPS del CAEX CE121.</t>
  </si>
  <si>
    <t>00547018</t>
  </si>
  <si>
    <t>MLCC - Sumarización mes de Julio</t>
  </si>
  <si>
    <t>Se sumariza correctamente el mes de Julio en Caserones.</t>
  </si>
  <si>
    <t>00547047</t>
  </si>
  <si>
    <t>Monitoreo - MLCC - Encolamiento de importadores blockgrade_importer</t>
  </si>
  <si>
    <t>Se espera cerca de 2 horas peor el importador no termina su proceso, se realiza un kill -9 de los sh y rb solucionando el encolamiento, este no se vuelve a repetir durante la madrugada.</t>
  </si>
  <si>
    <t>00547069</t>
  </si>
  <si>
    <t>CNDMH - Revisión C722 no pinta barras de comunicación</t>
  </si>
  <si>
    <t>merge 00547069</t>
  </si>
  <si>
    <t>00547070</t>
  </si>
  <si>
    <t>AMZAL - Información del turno no coincide según plan</t>
  </si>
  <si>
    <t>merge 00546918</t>
  </si>
  <si>
    <t>00547071</t>
  </si>
  <si>
    <t>MLCC - Revisión sensores C301</t>
  </si>
  <si>
    <t>Se revisan los sensores del equipo encontrando que los valores de payload y dipper se generan correctamente</t>
  </si>
  <si>
    <t>00547073</t>
  </si>
  <si>
    <t>AMZAL - Sumarización Julio</t>
  </si>
  <si>
    <t>Se sumariza el periodo solicitado de manera correcta</t>
  </si>
  <si>
    <t>00547074</t>
  </si>
  <si>
    <t>Revisar pala P201</t>
  </si>
  <si>
    <t>En resumen, el problema radica en que la pala se encuentra cerca de una zona donde los camiones deben descender. En las curvas que deben tomar durante el descenso, se sitúa dentro del rango del radio de waiting_distance de la pala. Como resultado, cuando los camiones disminuyen su velocidad a 5 km/h al descender, se cumplen las condiciones para ser asignados a la Pala201.</t>
  </si>
  <si>
    <t>08-13-2024  18:53:00</t>
  </si>
  <si>
    <t>00547121</t>
  </si>
  <si>
    <t>AMZAL - Problema con modelo de bloques.</t>
  </si>
  <si>
    <t>Posterior a revisión del servidor y cierre del router en servidor backup, se espera unos min y se revisa el change por crontab, pasada una hora se monitorea con el despachador comprobando que los equipos ya se encuentran trabajando correctamente.</t>
  </si>
  <si>
    <t>00547124</t>
  </si>
  <si>
    <t>AMZAL - Problemas con actualización Jview</t>
  </si>
  <si>
    <t>En revisión del servidor se detecta que crontab no estaba replicando datos, se activa y espera a que inicie, al comprobar los datos en Jview después de unos min estos ya se encuentran actualizados.</t>
  </si>
  <si>
    <t>00547125</t>
  </si>
  <si>
    <t>Monitoreo - AMZAL - JAMSRouter funcionando en ambos servidores</t>
  </si>
  <si>
    <t>Al detectar que el servicio de JAMSRouter se encuentra activo en ambos servidores se procede a detenerlo en el backup y activan los datos en crontab necesario del servidor principal y deteniéndolos en el backup.</t>
  </si>
  <si>
    <t>00547126</t>
  </si>
  <si>
    <t>CNRI - Problemas con Caex CE345</t>
  </si>
  <si>
    <t>Se encuentra desconexión con el equipo mina CE345, se deriva a personal en terreno para su revisión.</t>
  </si>
  <si>
    <t>00547127</t>
  </si>
  <si>
    <t>Se realiza cambio de servidor activo desde el zalfaejmineop03 al zalfaejmineop04 retomando la conexión del servidor con los equipos de campo, esto permitio que JmineOps trabaje sin problemas durante la noche. Se revisa conexión al finalizar el turno y este sigue conectado sin problemas.</t>
  </si>
  <si>
    <t>00547128</t>
  </si>
  <si>
    <t>AAM - CFCA015 no permite cambiar la zona definida</t>
  </si>
  <si>
    <t>La configuración de la vista de cargadores , estaba trabajando con el método diggin.grade, realmente deberia trabajar con grades de la Clase locations para que muestre la información necesaria. El parche mencionado no era necesario para la solución de este ticket pero si soluciona que la lista de polígonos esté filtrada por la tronada.</t>
  </si>
  <si>
    <t>00547142</t>
  </si>
  <si>
    <t>MLCC - Reportabilidad excel sin actualizar</t>
  </si>
  <si>
    <t>Se reinician los servicios SQL Server en servidores .58 y .59. Posteriormente se monitorea replica hasta que pasa ok</t>
  </si>
  <si>
    <t>00547155</t>
  </si>
  <si>
    <t>CNDMH - revisar configuración CAS pala 213</t>
  </si>
  <si>
    <t>Leandro toma requerimiento comentando que los valores de configuración fueron aceptados al momento de entregar proyecto y para su cambio se requiere una solicitud formal. Contesta la duda igualmente del comportamiento que le llama la atención a operador sobre alertas.</t>
  </si>
  <si>
    <t>00547158</t>
  </si>
  <si>
    <t>AMCEN - Consulta estado de Sumarizador</t>
  </si>
  <si>
    <t>Se hace seguimiento al sumarizador que lanza Hugo de los días solicitados del mes de Julio, posteriormente se activan el sumarizador por servicio y replica en el crontab. La base de datos queda actualizada.</t>
  </si>
  <si>
    <t>00547159</t>
  </si>
  <si>
    <t>AMANT - Tabla shift_gps_local_normalizada se encuentra desactualizada</t>
  </si>
  <si>
    <t>Los datos de la tabla en cuestión tienen origen desde servidor administrado directamente por desarrollo hecho por TICA en el servidor de réplica. En el servidor del Jview no hay ninguna procedure de almacenamiento o Job que alimenta esta tabla.</t>
  </si>
  <si>
    <t>08-03-2024  :18:00</t>
  </si>
  <si>
    <t>00547189</t>
  </si>
  <si>
    <t>CNCHUQ - Pala200 no aparece en rutas</t>
  </si>
  <si>
    <t>Se revisa la vista JSPLRutas y el equipo aparece correctamente por lo que se asume que fue un problema de configuración de usuario que pudieron resolver</t>
  </si>
  <si>
    <t>00547200</t>
  </si>
  <si>
    <t>AMZAL - Exportar excel de reporte tiempos_carguios</t>
  </si>
  <si>
    <t>Se entrega la información por correo</t>
  </si>
  <si>
    <t>00547201</t>
  </si>
  <si>
    <t>CNDMH - Revisar Pala202 no aparece en mapa</t>
  </si>
  <si>
    <t>Se revisa el equipo y en el momento de revisión se puede ver operativo. Se realiza monitoreo de actividades y opera ok</t>
  </si>
  <si>
    <t>00547229</t>
  </si>
  <si>
    <t>AMZAL - Perforadora D10 no carga jspanel</t>
  </si>
  <si>
    <t>Como no se volvieron a comunicar por el equipo se toma como que fue problema de comunicación.</t>
  </si>
  <si>
    <t>00547266</t>
  </si>
  <si>
    <t>CNRT - Caex no muestran ruta definida en sus pantallas.</t>
  </si>
  <si>
    <t>Se hace revisión de equipos, se reinicia el computador de campo de equipo 309 y 931 recuperando correctamente la visualización de las rutas.</t>
  </si>
  <si>
    <t>00547281</t>
  </si>
  <si>
    <t>AAM - Pala003 no muestra todas la zonas de su ubicacion</t>
  </si>
  <si>
    <t>Se realiza una reinstalación y actualización del MineOPS con lo que se soluciona el problema, tener como referencia el ticket 00547128 que es la misma problematica.</t>
  </si>
  <si>
    <t>00547282</t>
  </si>
  <si>
    <t>MLCC - CF L221 no acepta destino bot planta gravilla</t>
  </si>
  <si>
    <t>Después de revisión de la configuración de los equipos se encuentra que el Frontal L221 tiene restringidos casi todos las descargas incluyendo el bot planta gravilla. Se quitan las restricciones recuperando la correcta visualización de las rutas.</t>
  </si>
  <si>
    <t>00547306</t>
  </si>
  <si>
    <t>AAM - CEKO055 sin gps</t>
  </si>
  <si>
    <t>En revisión se encuentra con problemas de cobertura, al momento de entrar al equipo se encuentra que la conexión entre el core y el master (pantalla) es incontinua. Igualmente se revisa GPS y este funciona correctamente. Se envía correo a Pedro Reygadas para que gestione asistencia en terreno.</t>
  </si>
  <si>
    <t>00547395</t>
  </si>
  <si>
    <t>CRSTEN - Mineops no abre</t>
  </si>
  <si>
    <t>Se hace una reunión con el cliente para guiar una instalación limpia del aplicativo, recuperando el funcionamiento.</t>
  </si>
  <si>
    <t>00547452</t>
  </si>
  <si>
    <t>MLCC - Desactualización de datos en reporte de desgaste.</t>
  </si>
  <si>
    <t>Se encuentra encolamiento de la replica, se efectúa el reinicio de los clientes para bajar la saturación y reinicio de servicios, posteriormente se revisa estado de la replica, la cual ya se actualizo, Pablo Jaime nos confirma que la reporte de A2G ya esta actualizada.</t>
  </si>
  <si>
    <t>00547458</t>
  </si>
  <si>
    <t>CNRI - Problemas con Caex CE349 y CE352</t>
  </si>
  <si>
    <t>Se comunica nuevamente despacho en comienzo de turno y se comenta que atiendan en terreno según revisión durante la noche.</t>
  </si>
  <si>
    <t>00547483</t>
  </si>
  <si>
    <t>AMZAL - Palas 3 y 4 pegadas</t>
  </si>
  <si>
    <t>Se hace chequeo completo de los equipos, posterior a esto y encontrando algunos reset del jspanel con respecto al jams, se procede a hacer reinicio de JSPAL, JSRouter y posterior reset completo del equipo, estabilizándose, igualmente se menciona que la cobertura de red era buena con 0 paquetes perdidos pero alta latencia en algunos periodos.</t>
  </si>
  <si>
    <t>00547502</t>
  </si>
  <si>
    <t>Monitoreo - MAGSA - Constantes encolamientos</t>
  </si>
  <si>
    <t>Encolamientos dejan de suceder después de las 5 am.</t>
  </si>
  <si>
    <t>00547581</t>
  </si>
  <si>
    <t>CNN - Sumarización Julio</t>
  </si>
  <si>
    <t>Se realiza la sumarización sin problemas.</t>
  </si>
  <si>
    <t>00547680</t>
  </si>
  <si>
    <t>MLCC - Reporte desgaste desactualizada.</t>
  </si>
  <si>
    <t>Se hace restart de los servicios de sql y al esperar el próximo proceso se actualizan los datos solicitados por el cliente.</t>
  </si>
  <si>
    <t>00547683</t>
  </si>
  <si>
    <t>CNRI - CE119 ubicación no actualiza en tiempo real.</t>
  </si>
  <si>
    <t>Se hace revisión des CAEX encontrando que los GPS están marcando correctamente la ubicación y los sensores funcionan correctamente, pero se sigue visualizando el equipo junto a la pala. Se hace un reinicio del equipo volviendo a regularizar la actualización de ubicación del equipo en tiempo real.</t>
  </si>
  <si>
    <t>00547745</t>
  </si>
  <si>
    <t>MLCC - Revisión Jview</t>
  </si>
  <si>
    <t>Se revisa el reporte Reporte Resumen Mina y este muestra la informacion correcta y actualizada, por lo que se le vuelve a contactar a Karim para ver si el problema persistía o tener mayor informacion, el cual nos comenta que ya puede visualizar el reporte correctamente. Se concluye que el problema fue de red lo que provoco una demora en cargar este.</t>
  </si>
  <si>
    <t>00547783</t>
  </si>
  <si>
    <t>CAPCNN - Revisión Cargador Frontal CF02</t>
  </si>
  <si>
    <t>En primera instancia se revisan las configuraciones del polígono, ubicación y tronada en las cuales se encontró todo bien configurado. Por otro lado el log del JAMS y JSPanel del equipo estaban mostrando errores de gps mientras que los GPS estaban funcionando correctamente por lo que ayudo a encontrar el problema que finalmente era una configuración del jspanel en donde el canvas_layers no estaba creado para el cargador frontal, por lo que se le crea esta y se reinicia la base de datos interna junto con el equipo, así logrando su correcto funcionamiento.</t>
  </si>
  <si>
    <t>00547792</t>
  </si>
  <si>
    <t>AAM - Actualización MineOPS</t>
  </si>
  <si>
    <t>Se realiza la reinstalación del MineOPS del servidor 10.180.101.19 así logrando que se actualice a la versión correcta.</t>
  </si>
  <si>
    <t>00547801</t>
  </si>
  <si>
    <t>Monitoreo - AMANT - Replica de datos no termina</t>
  </si>
  <si>
    <t>Se reinician los servicios del servidor 248 con ayuda de personal de TICA lo cual hace que el siguiente proceso de replica pase correctamente.</t>
  </si>
  <si>
    <t>00547809</t>
  </si>
  <si>
    <t>AMCEN - Solicitud de revision Jigsaw de PA7</t>
  </si>
  <si>
    <t>Se revisa el equipo el cual tiene su gps trabajando de forma correcta, se monitorean los camiones que van a cargar a dicha pala y llegan a la misma ubicación, se le envía un correo a Juan Ortuño indicando la situación, pero no hay respuesta.</t>
  </si>
  <si>
    <t>00547810</t>
  </si>
  <si>
    <t>AMCEN - Solicitud de revision C15 queda pegada la actividad luego de la descarga</t>
  </si>
  <si>
    <t>Se revisa el equipo el cual tenia problemas de conexión, lo reinicio y su comunicación mejora, no se detectan problemas al momento de realizar los cambios de estado.</t>
  </si>
  <si>
    <t>00547812</t>
  </si>
  <si>
    <t>AMCEN - Solicitud de revision PE63</t>
  </si>
  <si>
    <t>Se le consulta a Juan que pozo es el que no puede visualizar el operador, pero no nos responde, se revisa el equipo el cual trabajo normalmente en su turno, se da por cerrado el ticket.</t>
  </si>
  <si>
    <t>00547813</t>
  </si>
  <si>
    <t>MLCC - Pala 1 los camiones se quedan pegados</t>
  </si>
  <si>
    <t>Se monitorean los camiones que van a cargar a la pala, y todos pierden conexión considerablemente, se le indica lo descubierto a Cristian.</t>
  </si>
  <si>
    <t>00547817</t>
  </si>
  <si>
    <t>AMCEN - Solicitud de revision PA2</t>
  </si>
  <si>
    <t>Se reinicia el equipo , y se le solicita a Juan indicarnos si el operador ya puede ocupar su pantalla, pero no tenemos respuesta.</t>
  </si>
  <si>
    <t>00547839</t>
  </si>
  <si>
    <t>AMZAL - Revisión Pala S04</t>
  </si>
  <si>
    <t>Se revisa el equipo en primera instancia sin encontrar ningún problema de configuración. Al revisar los logs del equipo, nos damos cuenta que este creo el dibujo a las 08:26 sin haberlo generado antes, se presume que fue un problema de comunicación el cual cargo tarde el dibujo a la Pala. Luego de la hora dicha esta comienza a visualizar el dibujo de manera correcta.</t>
  </si>
  <si>
    <t>00547844</t>
  </si>
  <si>
    <t>MAGSA - Revisión TK359</t>
  </si>
  <si>
    <t>Se le realiza un reinicio al equipo sin lograr ninguna mejora, por lo que se revisan los sensores dándonos cuenta de que este tiene problemas en su GPS, se le comunica a Kevin Guajardo la revisión del equipo en terreno.</t>
  </si>
  <si>
    <t>Kevin Gajardo</t>
  </si>
  <si>
    <t>00547905</t>
  </si>
  <si>
    <t>AMANT - Revisión Perforadora D03</t>
  </si>
  <si>
    <t>Se revisan los certificados en el servidor y se encuentran actualizados, el problema erradica en que la perforadora no tiene cargado los nuevos, por lo que se pasan desde el servidor al equipo y este levanta el tunel de manera correcta.</t>
  </si>
  <si>
    <t>00547915</t>
  </si>
  <si>
    <t>AMCEN - Solicitud de revision PE5</t>
  </si>
  <si>
    <t>Se revisa el equipo el cual tiene su gps trabajando de forma correcta.</t>
  </si>
  <si>
    <t>00547925</t>
  </si>
  <si>
    <t>CNRI - Caex 119 pantalla pegada</t>
  </si>
  <si>
    <t>Se reinicia la pantalla y el core del equipo, se llama a Stefanie, quien nos confirma que el operador ya puede usar la pantalla.</t>
  </si>
  <si>
    <t>Stefanie</t>
  </si>
  <si>
    <t>00547940</t>
  </si>
  <si>
    <t>CNRI - Caex 104 no actualiza su combustible</t>
  </si>
  <si>
    <t>Se modifica el combustible del camión para que tenga un 99%, se llama a Patricio quien nos confirma que ya vio reflejado el cambio.</t>
  </si>
  <si>
    <t>00547995</t>
  </si>
  <si>
    <t>Al revisar el servidor 179 no tenemos acceso a la carpeta en donde se guardan los Logs, por lo que se le comunica esto a Rodolfo Belli el cual nos presta apoyo para solucionar el problema, después de tener acceso a esta, se reinician los servicios SQL y la replica pasa sin problema.</t>
  </si>
  <si>
    <t>00548005</t>
  </si>
  <si>
    <t>MAGSA - Cambio uhp a core TK396</t>
  </si>
  <si>
    <t>Se realizan los cambios de devices para el cambio de uhp a core, también se realiza el borrado de la base de datos interna del equipo y finalmente un reinicio de los JAMSRouter del servidor, logrando asi que levante el gps y el correcto funcionamiento del equipo.
Tener como referencia el ticket 00547844 que tuvo el mismo problema.</t>
  </si>
  <si>
    <t>Lex Montenegro</t>
  </si>
  <si>
    <t>00548006</t>
  </si>
  <si>
    <t>AMZAL - Consulta Estados</t>
  </si>
  <si>
    <t>Se le mandan los estados de mantención correspondientes al equipo.</t>
  </si>
  <si>
    <t>00548007</t>
  </si>
  <si>
    <t>AMZAL - Revisión H64</t>
  </si>
  <si>
    <t>Se revisa el equipo pero no se tiene conexión, se le da el aviso a Freddy que el problema es de comunicación.</t>
  </si>
  <si>
    <t>00548012</t>
  </si>
  <si>
    <t>CNRI - Descarga sumaria no actualiza</t>
  </si>
  <si>
    <t>Se revisa el descarga sumario pero este si tiene datos actualizados, llamamos y nos responde Patricio quien nos indica que son algunas vueltas que no marcaron, pero no tiene la informacion de los camiones a los que les ocurrio.
Varias horas mas tarde hablamos de nuevo con Stefanie, quien nos indica que ve datos actualizados pero efectivamente que algunos camiones no se contabilizaron las vueltas, se le indica que cuando tengan el dato concreto del o los equipos que perdieron vueltas, las tienen que agregar de forma manual.</t>
  </si>
  <si>
    <t>00548035</t>
  </si>
  <si>
    <t>AMCEN - Solicitud de revision PE42 y CA224</t>
  </si>
  <si>
    <t>Se revisan ambos equipos , la PE42 esta con su gps trabajando de forma correcta, en el caso del CA224, le reiniciamos la pantalla y su vnc se ve correctamente, se le solicita a Juan que nos confirme por parte del operador, pero no hay respuesta.</t>
  </si>
  <si>
    <t>00548037</t>
  </si>
  <si>
    <t>Se revisa el equipo, el cual tiene problemas fisicos, el gps no entrega calidades , se le avisa a Juan que lo tienen que ver en terreno.</t>
  </si>
  <si>
    <t>00548038</t>
  </si>
  <si>
    <t>AMANT - Perforadora D03 pantalla pegada</t>
  </si>
  <si>
    <t>Se reinicia el equipo y mediante el vnc tenemos visión de la pantalla, pero Patricio nos indica que el operador aun no puede usarla porque esta pegada, no se puede seguir revisando el equipo porque lo apagaron, pero nos indico que iba a solicitar una revisión en terreno.</t>
  </si>
  <si>
    <t>00548043</t>
  </si>
  <si>
    <t>CNRI - CE352 no ve las asignaciones</t>
  </si>
  <si>
    <t>Se intenta revisar el equipo, pero no se tiene comunicación con la pantalla, se le indica a Stefanie que lo deben revisar en terreno.</t>
  </si>
  <si>
    <t>00548051</t>
  </si>
  <si>
    <t>AMCEN - Problema Sharperlight</t>
  </si>
  <si>
    <t>Se reestablece la conexión con el servidor .42, se realiza actualización de los position y se comprueba que el sistema funciona correctamente marcando ubicación de equipos y alarmas.</t>
  </si>
  <si>
    <t>00548052</t>
  </si>
  <si>
    <t>AMZAL - Revisión L12</t>
  </si>
  <si>
    <t>Al revisar el equipo se observa una muy mala señal, por lo que Freddy lo va a revisar a terreno y se encuentra con que el equipo esta encajonado, lo que causa que la perdida de paquetes sea demasiada.</t>
  </si>
  <si>
    <t>00548058</t>
  </si>
  <si>
    <t>CNRI - Problema Reporte Cumplimiento Diario</t>
  </si>
  <si>
    <t>Se revisa la query del reporte en donde se observa que a la tabla que hace referencia es a la shift_detail_dump, siendo esta una función y mediante el mineops se determina la descarga que estaba de mas, por lo que se le informa a Daniela y ella nos confirma la eliminación de esta. Solucionando asi el problema de la incongruencia de datos.</t>
  </si>
  <si>
    <t>00548059</t>
  </si>
  <si>
    <t>Se revisa el archivo el cual se ve normal, por lo que se ejecuta manualmente el importador pasando asi la Malla sin problemas.</t>
  </si>
  <si>
    <t>00548060</t>
  </si>
  <si>
    <t>Se le envía el setup con los certificados actualizados, ya que se le estaban cargando los equivocados, luego de esto, el equipo por mala señal no levanta con la versión correcta, por lo que se le fuerza el levantamiento de esta, también se le borra la base de datos interna del equipo y se reinicia, logrando así su correcto funcionamiento.</t>
  </si>
  <si>
    <t>00548062</t>
  </si>
  <si>
    <t>AMZAL - Sin Reportabilidad Jview</t>
  </si>
  <si>
    <t>Se revisan los servidores y se observa un switcheo de estos, por lo que se le configura el crontab de manera correcta al servidor que quedo activo así permitiendo la replica de datos hacia el Servidor productivo, se llama a Sebastian para una confirmación sobre la reportabilidad en lo que nos comenta que esta funcionando correctamente.</t>
  </si>
  <si>
    <t>00548064</t>
  </si>
  <si>
    <t>00548066</t>
  </si>
  <si>
    <t>00548068</t>
  </si>
  <si>
    <t>CNRI - CE104 no cuenta las vueltas</t>
  </si>
  <si>
    <t>Se le hace un seguimiento completo al equipo, en donde el operador manipula correctamente la pantalla, iniciando su estado de cargando , también se compara la pestaña de los estados y su inicio de producción , coincide con la primera descarga que realizo, no se ve que hayan datos perdidos , al terminar de descargar, su pantalla se actualizo de forma inmediata asi mismo la vista de descarga sumario, se le devuelve el llamado a Stefanie explicando lo encontrado e indicando que no se ve ninguna anomalía en el funcionamiento del equipo.</t>
  </si>
  <si>
    <t>00548071</t>
  </si>
  <si>
    <t>AMCEN - Solicitud de revision C128</t>
  </si>
  <si>
    <t>Se intenta revisar el equipo, pero este no tiene conexión, Juan nos indica que lo reiniciaron de forma manual, pero la situación sigue siendo la misma, se deriva a revisión en terreno.</t>
  </si>
  <si>
    <t>00548077</t>
  </si>
  <si>
    <t>AMZAL - Camiones sin asignacion</t>
  </si>
  <si>
    <t>Se revisa el equipo, el cual tenia lentitud en su conexion y grandes perdidas de paquetes, se le indica a Alexis que el equipo tiene mala señal, por lo que es normal que los camiones no siempre se asignen de forma automatica.</t>
  </si>
  <si>
    <t>00548078</t>
  </si>
  <si>
    <t>CNRI - CE119 pantalla en negro</t>
  </si>
  <si>
    <t>00548080</t>
  </si>
  <si>
    <t>AMZAL - S04 no muestra los bloques de los que saca material</t>
  </si>
  <si>
    <t>Se revisa la pala, la cual tiene una diferencia de 10 metros entre el polígono asignado y el balde, se le explica a Alexis el problema y que la pala nunca vera los bloques porque están demasiado lejos.</t>
  </si>
  <si>
    <t>00548081</t>
  </si>
  <si>
    <t>AMCEN - solicitud de revision GPS de C14</t>
  </si>
  <si>
    <t xml:space="preserve">Se revisa nuevamente el equipo, el cual vuelve a tener problemas con su gps, el equipo no lo detecta por ende no envía información de su ubicación </t>
  </si>
  <si>
    <t>00548082</t>
  </si>
  <si>
    <t>AMCEN - Solicitud de revision de PE67</t>
  </si>
  <si>
    <t>Se le solicita mayor información a Juan porque la pedida no queda clara, pero no hay respuesta.</t>
  </si>
  <si>
    <t>00548087</t>
  </si>
  <si>
    <t>CNRI - Tronadura borrada</t>
  </si>
  <si>
    <t>Se recupera la tronadura borrada y se llama a Patricio para que nos confirme que ya la ve nuevamente, estando todo ok.</t>
  </si>
  <si>
    <t>00548093</t>
  </si>
  <si>
    <t>CNDMH - Revisar C723</t>
  </si>
  <si>
    <t>Se le realiza un reinicio en terreno al equipo y este queda funcionando pero esta teniendo problema con los VIMS al igual que el resto de equipos con la nueva pantalla por lo que queda en seguimiento.</t>
  </si>
  <si>
    <t>00548094</t>
  </si>
  <si>
    <t>CNDMH - Revisión C732</t>
  </si>
  <si>
    <t>Se observa que el equipo tiene un problema con los vims, por lo que estuvo toda la noche en la actividad viajando vacío y por esto no contabilizo las vueltas.</t>
  </si>
  <si>
    <t>00548095</t>
  </si>
  <si>
    <t>CNDMH - Revisión C727</t>
  </si>
  <si>
    <t>El equipo no tenia ningún grupo asignado ademas del truck en los devices, por lo que se le asignan los correspondientes y levanta su gps de manera correcta, queda en observación los vims ya que estos no están funcionando.</t>
  </si>
  <si>
    <t>00548096</t>
  </si>
  <si>
    <t>MAGSA - Cambio UHP a Core TK383</t>
  </si>
  <si>
    <t>Posterior a revisión, se les comunica a Lex Montenegro que el punto de toma de los vims es otro, se hace la prueba con el CAEX TK370 y esto toma sin problemas los datos de vims, se hará el cambio de este puerto cuando se pueda revisar el equipo.</t>
  </si>
  <si>
    <t>00548097</t>
  </si>
  <si>
    <t>CNDMH - Sin Comunicación Ericar</t>
  </si>
  <si>
    <t>Se le comunica a Adrian Leiva que no hay acceso con el servidor Ericar. Se espera una respuesta.</t>
  </si>
  <si>
    <t>00548120</t>
  </si>
  <si>
    <t>CNDMH - Revisión B409</t>
  </si>
  <si>
    <t>Se revisa el equipo encontrando fallas en su gps, por lo que se le avisa a Francisco que sea revisado en terreno. Después de la revisión en terreno, el equipo quedo funcionando correctamente</t>
  </si>
  <si>
    <t>00548126</t>
  </si>
  <si>
    <t>CNDMH - Revisión C726</t>
  </si>
  <si>
    <t>Francisco realiza un cambio de pantalla por lo que se monitorea el proceso de manera remota, este logra funcionar correctamente pero los vims están teniendo problemas.</t>
  </si>
  <si>
    <t>00548129</t>
  </si>
  <si>
    <t>AMANT - Revisión Excavadora E01</t>
  </si>
  <si>
    <t>Se le carga un parche a la excavadora lo que permitio que volviera a funcionar correctamente junto con su GPS</t>
  </si>
  <si>
    <t>00548130</t>
  </si>
  <si>
    <t>AMANT - Revisión BullDozer B03</t>
  </si>
  <si>
    <t>Se le revisan los certificados al equipo y también la versión y sus devices, encontrando todo bien, el equipo levanta luego de un reinicio.</t>
  </si>
  <si>
    <t>00548143</t>
  </si>
  <si>
    <t>AMANT - Perforadora D03 sin GPS</t>
  </si>
  <si>
    <t>Se revisa el equipo el cual pese a estar ok , su gps esta en floating, se le informa a Patricio que el problema es por las tormentas solares y que sola se recuperara la situacion.</t>
  </si>
  <si>
    <t>00548145</t>
  </si>
  <si>
    <t>CNRI - CE115 pantalla en negro</t>
  </si>
  <si>
    <t>Se intenta revisar el equipo, pero este esta sin cobertura  , se le informa a Patricio pero al parecer apagaron el camion.</t>
  </si>
  <si>
    <t>00548151</t>
  </si>
  <si>
    <t>MLCC - Cargador 220 no toma el destino</t>
  </si>
  <si>
    <t>El problema se debe a los destinos duplicados, estos se borran y la situacion se normaliza.</t>
  </si>
  <si>
    <t>00548167</t>
  </si>
  <si>
    <t>AMCEN - Solicitud de revision de Jigsaw</t>
  </si>
  <si>
    <t>Se revisa la situación , pero no esta muy clara la pedida , se le pide a Juan mas información y este nos da el contacto del despachador, quien nos indica que los equipos que están cargando con la PA26, al ir a descarar, al volver no quedan asignados con la pala sino que se van a otra fase, se le indica al operador porque no usan la programación fija pero este nos indica que independiente de , debería estar funcionando como el nos indica.</t>
  </si>
  <si>
    <t>Alisson Centinela</t>
  </si>
  <si>
    <t>00548171</t>
  </si>
  <si>
    <t>CNRI - CE119 pantalla pegada</t>
  </si>
  <si>
    <t>Se reinicia el equipo, pero según Stefanie, el operador sigue viendo la pantalla en negro, se le recomiendo gestionar una visita en terreno para revisar el equipo de forma física.</t>
  </si>
  <si>
    <t>00548183</t>
  </si>
  <si>
    <t>AMCEN - Solicitud de revision de equipos Varios</t>
  </si>
  <si>
    <t>De todos los equipos, el único que se puede reiniciar es el C47, todos los demás no tienen comunicación, se le informa a Juan lo sucedido.</t>
  </si>
  <si>
    <t>00548188</t>
  </si>
  <si>
    <t>MLCC - Revision Descarga Sumario P201 y L220</t>
  </si>
  <si>
    <t>Se revisan las cargas efectuadas por esas palas el día 12-08 del turno A las cuales muestran los datos actualizados, por lo que se le llama a Viviana nuevamente y ella nos comenta que estaba revisando el día anterior (11-08-2024 B), por lo que no le muestra las cargas recientes porque pasan a ser del turno actual (12-08-2024 A)</t>
  </si>
  <si>
    <t>00548217</t>
  </si>
  <si>
    <t>AMZAL - Revisión Líneas de Excavación</t>
  </si>
  <si>
    <t>El problema estuvo en que debido al switcheo de servidores de Zaldivar, la configuración config.jams que es el referente a la configuración de excavación por turno, estaba comentado, provocando así que este no fuera reflejado en el sistema.</t>
  </si>
  <si>
    <t>00548226</t>
  </si>
  <si>
    <t>CNTTE - Problemas comunicación Múltiples equipos.</t>
  </si>
  <si>
    <t>Vuelven a habilitar una antena de las 4 que estaban sin comunicación solucionando los problemas en ese sector, por lo que se da cierro al ticket ya que son problemas tecnicos.</t>
  </si>
  <si>
    <t>Marcela Despacho</t>
  </si>
  <si>
    <t>00548234</t>
  </si>
  <si>
    <t>MAGSA - Cambio uhp a core TK369</t>
  </si>
  <si>
    <t>Se realiza los cambios necesarios para el upgrade a core y version 2.8-005, luego de esto el equipo tuvo inicialmente problemas con los vims que fueron vistos en terreno y solucionados.</t>
  </si>
  <si>
    <t>00548241</t>
  </si>
  <si>
    <t>AMZAL - Ingreso M23 al sistema</t>
  </si>
  <si>
    <t>Se realiza la creación del equipo en el sistema, junto con sus devices y la flota que no existía. Miguel Caceres nos confirma la visualización de este equipo en el sistema.</t>
  </si>
  <si>
    <t>00548262</t>
  </si>
  <si>
    <t>AMZAL - Revisión H57</t>
  </si>
  <si>
    <t>Se revisa el reproductor GPS el día 12 completo junto con la madrugada del 13 de Agosto, solamente encontrando 1 vuelta descargada antes de tiempo, por lo que se realiza una modificación en el boundary de Chancado y un reinicio al equipo, sin presentar otro suceso similar.</t>
  </si>
  <si>
    <t>00548295</t>
  </si>
  <si>
    <t>AMCEN - Equipos pegados en el mapa</t>
  </si>
  <si>
    <t>Se revisa la situación , pero vemos los equipos moviéndose por el mapa de forma normal, se toman varias fotos de los camiones en movimiento y se le informa a Juan por correo.</t>
  </si>
  <si>
    <t>00548315</t>
  </si>
  <si>
    <t>00548323</t>
  </si>
  <si>
    <t>AMCEN - Solicitud de revision de C51</t>
  </si>
  <si>
    <t>Se reinicia el equipo, recuperando así el correcto funcionamiento de la pantalla.</t>
  </si>
  <si>
    <t>00548342</t>
  </si>
  <si>
    <t>Monitoreo - CNTTE - Sin espacio en Disco Duro</t>
  </si>
  <si>
    <t>Se eliminan los datos temporales, junto con una limpieza de logs, realizando esto se llega a liberar 199MB de espacio en el disco duro, por lo que se reinicia el servidor y este queda con un total de 1.3 GB.</t>
  </si>
  <si>
    <t>Eduardo Despacho</t>
  </si>
  <si>
    <t>00548353</t>
  </si>
  <si>
    <t>CNTTE - Revisión CF503</t>
  </si>
  <si>
    <t>Se revisó el VNC del equipo, el cual muestra un correcto funcionamiento. Se procedió a reiniciar el sistema y se consultó al despacho si el operador contaba con sistema. Sin embargo, el operador sigue experimentando problemas, por lo que todo apunta a un problema de hardware.</t>
  </si>
  <si>
    <t>00548354</t>
  </si>
  <si>
    <t>CNTTE - Revisión CA313</t>
  </si>
  <si>
    <t>El equipo presenta falla en los VIMS por lo que se le avisa a despacho y así revisar el equipo en terreno.</t>
  </si>
  <si>
    <t>00548355</t>
  </si>
  <si>
    <t>CNTTE - Revisión CA315</t>
  </si>
  <si>
    <t>El equipo presenta falla en los VIMS por lo que se le avisa a despacho y así coordinar revision del equipo en terreno.</t>
  </si>
  <si>
    <t>00548360</t>
  </si>
  <si>
    <t>MAGSA - Cambio uhp a core TK362</t>
  </si>
  <si>
    <t>00548425</t>
  </si>
  <si>
    <t>CNRT - C329 no baja el brillo</t>
  </si>
  <si>
    <t>Se reinicia el equipo, cuando vuelve revisamos el VNC y lo dejamos en modo nocturno, el operador por el teclado nos pone que esta ok.</t>
  </si>
  <si>
    <t>Jaivert RT</t>
  </si>
  <si>
    <t>00548436</t>
  </si>
  <si>
    <t>AMZAL - H51 con hora cambiada</t>
  </si>
  <si>
    <t>Se revisa el equipo, pero este tiene su hora correcta, tanto por el servidor, como en su VNC, se le devuelve el llamado a Ricardo, quien quedo de averiguar con despacho, pero no nos volvió a contactar.</t>
  </si>
  <si>
    <t>00548444</t>
  </si>
  <si>
    <t>AMCEN - Solicitud de revision de C12</t>
  </si>
  <si>
    <t>Se revisa el equipo, el cual tiene su gps trabajando de forma correcta.</t>
  </si>
  <si>
    <t>00548454</t>
  </si>
  <si>
    <t>AMZAL - Cambio de correo en reporte de velocidad</t>
  </si>
  <si>
    <t>Se comprueba mediante correo entrante que se ha modificado correctamente el email que se solicito. El correo llega con datos correcto y asociado a destinatarios requeridos.</t>
  </si>
  <si>
    <t>08-14-2024  9:23:00</t>
  </si>
  <si>
    <t>08-15-2024  19:20:00</t>
  </si>
  <si>
    <t>00548462</t>
  </si>
  <si>
    <t>AAM - Revisión de equipos Caex 54, 55, 81 y 85</t>
  </si>
  <si>
    <t>08-14-2024  9:55:00</t>
  </si>
  <si>
    <t>00548484</t>
  </si>
  <si>
    <t>MAGSA - Cambio uhp a core TK370</t>
  </si>
  <si>
    <t>Se finaliza la configuración del equipo y se comprueba que existe conexión, VNC y se reciben vims.</t>
  </si>
  <si>
    <t>08-14-2024  13:46:00</t>
  </si>
  <si>
    <t>08-15-2024  13:56:00</t>
  </si>
  <si>
    <t>00548519</t>
  </si>
  <si>
    <t>CNDMH - Caex 371 pierde vueltas</t>
  </si>
  <si>
    <t>Como los ciclos realizados desde stock a chancador eran menores a tres minutos el reconciliador los estaba borrando, por esta razón se estableció que el reconciliador elimine vueltas de dos minutos o menos.</t>
  </si>
  <si>
    <t>8/14/2024 6:44 PM</t>
  </si>
  <si>
    <t>8/16/2024 4:39 AM</t>
  </si>
  <si>
    <t>00548520</t>
  </si>
  <si>
    <t>AMCEN - Revisar Pala 10 sin acceso a VNC</t>
  </si>
  <si>
    <t>Se intenta revisar el equipo de manera remota para recuperar vnc, pero esto no es posible debido a falta de comunicación con el equipo</t>
  </si>
  <si>
    <t>8/14/2024 6:45 PM</t>
  </si>
  <si>
    <t>8/14/2024 7:52 PM</t>
  </si>
  <si>
    <t>00548556</t>
  </si>
  <si>
    <t>AMCEN - Revisar C134 pegado</t>
  </si>
  <si>
    <t>Se revisa el equipo y se encuentran sensores en buen estado, por otra parte, al momento de revisar equipo en sistema está replicando correctamente la ubicación.</t>
  </si>
  <si>
    <t>8/15/2024 12:40 AM</t>
  </si>
  <si>
    <t>8/15/2024 12:56 AM</t>
  </si>
  <si>
    <t>00548557</t>
  </si>
  <si>
    <t>CNRI - Caex se cambian de estado (CE103)</t>
  </si>
  <si>
    <t>Como no se proporcionó mas información al respecto se cierra ticket.</t>
  </si>
  <si>
    <t>8/15/2024 12:42 AM</t>
  </si>
  <si>
    <t xml:space="preserve">
8/17/2024 4:48 AM</t>
  </si>
  <si>
    <t>Pamela Despacho</t>
  </si>
  <si>
    <t>00548567</t>
  </si>
  <si>
    <t>AMCEN - Revisar reportabilidad</t>
  </si>
  <si>
    <t>Se revisan todos los procesos relacionados con reportabilidad encontrándolos ok. Se consulta al cliente nuevamente para su confirmación, por falta de respuesta se asume que se recuperó reportabilidad actualizada</t>
  </si>
  <si>
    <t>8/15/2024 3:49 AM</t>
  </si>
  <si>
    <t>8/15/2024 4:31 AM</t>
  </si>
  <si>
    <t>00548577</t>
  </si>
  <si>
    <t>MAGSA - Cambio uhp a core TK363</t>
  </si>
  <si>
    <t>Posterior a cambio de versión y grupos se hace la carga del sistema en el equipo mina el cual carga sin problemas posteriormente se hacen la pruebas recibiendo correctamente los datos de sensores vims, GPS y se puede efectuar un VNC normalmente. Equipo queda listo para su uso en faena.</t>
  </si>
  <si>
    <t>08-15-2024  9:54:00</t>
  </si>
  <si>
    <t>08-17-2024  9:54:00</t>
  </si>
  <si>
    <t>00548580</t>
  </si>
  <si>
    <t>AAM - Revisión de equipos Caex 2CAM8391</t>
  </si>
  <si>
    <t>Durante revisión el equipo no presento comunicación, se solicita a despachador Pedro Reygadas que coordine personal en terreno.</t>
  </si>
  <si>
    <t>08-15-2024  10:56:00</t>
  </si>
  <si>
    <t>08-15-2024  14:07:00</t>
  </si>
  <si>
    <t>00548606</t>
  </si>
  <si>
    <t>MLCC - Enlace a jview</t>
  </si>
  <si>
    <t>Se le entrega el enlace a Manuel Muñoz y a personal Entel designado por Manuel. Estos nos corroboran que accedieron sin problema a Jview.</t>
  </si>
  <si>
    <t>08-15-2024  14:11:00</t>
  </si>
  <si>
    <t>08-15-2024  13:35:00</t>
  </si>
  <si>
    <t>00548616</t>
  </si>
  <si>
    <t>CNDMH - Caex 376 con problemas de posicionamiento.</t>
  </si>
  <si>
    <t>Después de la revisión remota se le informa a personal en terreno que debe revisar el equipo ya que no se están recibiendo datos desde la antena GPS.</t>
  </si>
  <si>
    <t>08-15-2024  16:50:00</t>
  </si>
  <si>
    <t>08-15-2024  18:30:00</t>
  </si>
  <si>
    <t>00548646</t>
  </si>
  <si>
    <t>CNDMH - Caex 304 con problema de gps</t>
  </si>
  <si>
    <t>Se realiza un reinicio del equipo, recuperando así el correcto funcionamiento de sensor gps</t>
  </si>
  <si>
    <t>8/15/2024 5:34 PM</t>
  </si>
  <si>
    <t>8/15/2024 7:36 PM</t>
  </si>
  <si>
    <t>00548651</t>
  </si>
  <si>
    <t>AMCEN - Revisión pala3</t>
  </si>
  <si>
    <t>Se realiza reinicio del equipo recuperando así el correcto funcionamiento de la vista carga de camiones</t>
  </si>
  <si>
    <t>8/15/2024 7:40 PM</t>
  </si>
  <si>
    <t>8/16/2024 4:02 AM</t>
  </si>
  <si>
    <t>00548672</t>
  </si>
  <si>
    <t>AMCEN - Revisión perforadora 3 sin conexión vnc</t>
  </si>
  <si>
    <t>Al momento de revisar el equipo se encuentra ok.</t>
  </si>
  <si>
    <t>8/16/2024 4:03 AM</t>
  </si>
  <si>
    <t>8/16/2024 4:37 AM</t>
  </si>
  <si>
    <t>00548680</t>
  </si>
  <si>
    <t>MAGSA - Cambio uhp a core TK393</t>
  </si>
  <si>
    <t>Posterior a cambio de versión se ejecutan la pruebas de Vims las que salen positivas, equipos con todos su parámetros y sensores trabajando correctamente.</t>
  </si>
  <si>
    <t>08-16-2024  9:00:00</t>
  </si>
  <si>
    <t>08-17-2024  19:36:00</t>
  </si>
  <si>
    <t>00548682</t>
  </si>
  <si>
    <t>CNRI - Equipos CAEX no marcan ruta a destinos en verde</t>
  </si>
  <si>
    <t>Durante el monitoreo del caso, se define que el inconveniente se producía porque los operadores no marcaban las descargas al momento que el sistema se lo solicita. Se le explica el caso a la despachadora.</t>
  </si>
  <si>
    <t>08-16-2024  10:13:00</t>
  </si>
  <si>
    <t>08-16-2024  16:25:00</t>
  </si>
  <si>
    <t>00548698</t>
  </si>
  <si>
    <t>CNTTE - Cambio de contraseña SQL server</t>
  </si>
  <si>
    <t>Se envía credenciales SQL Server al cliente, se queda a la espera de confirmación de correcto ingreso del usuario, este confirma lo anterior.</t>
  </si>
  <si>
    <t>08-16-2024  12:56:00</t>
  </si>
  <si>
    <t>08-16-2024  16:30:00</t>
  </si>
  <si>
    <t>00548737</t>
  </si>
  <si>
    <t>AMZAL - Aplicativo pegado</t>
  </si>
  <si>
    <t>Se detecta instancia pegada de JAMSRun a pesar de detener el servicio JAMSRouter. Una vez eliminado ese procesos los equipos consiguen conectarse al servidor sin problemas y se recupera funcionamiento de mineops</t>
  </si>
  <si>
    <t>8/16/2024 7:19 PM</t>
  </si>
  <si>
    <t>8/17/2024 3:28 AM</t>
  </si>
  <si>
    <t>00548744</t>
  </si>
  <si>
    <t>AMCEN - Revisar PA3 intermitencia gps</t>
  </si>
  <si>
    <t>Se realiza un reinicio del equipo recuperando así el gps que estaba floating a fixed.</t>
  </si>
  <si>
    <t>8/16/2024 8:47 PM</t>
  </si>
  <si>
    <t>8/17/2024 3:27 AM</t>
  </si>
  <si>
    <t>00548745</t>
  </si>
  <si>
    <t>AMCEN - Revisar C128 pegado en mapa</t>
  </si>
  <si>
    <t>Al momento de revisar equipo se encontraba operando correctamente, se revisaron los sensores y están en buen estado.</t>
  </si>
  <si>
    <t>8/16/2024 8:48 PM</t>
  </si>
  <si>
    <t>8/17/2024 3:29 AM</t>
  </si>
  <si>
    <t>00548746</t>
  </si>
  <si>
    <t>AMCEN - Revisión C54 pegado en mapa</t>
  </si>
  <si>
    <t>Se revisan los sensores encontrandolo en mal estado, se realiza un reinicio del equipo y al volver a levantar queda ok el gps. Se mantiene monitoreo.</t>
  </si>
  <si>
    <t>8/16/2024 9:19 PM</t>
  </si>
  <si>
    <t>8/17/2024 3:31 AM</t>
  </si>
  <si>
    <t>00548747</t>
  </si>
  <si>
    <t>Se reinician los servicios sql en ambos servidores .58 y .59 y se monitorea que replica pase correctamente.</t>
  </si>
  <si>
    <t>8/16/2024 9:20 PM</t>
  </si>
  <si>
    <t>8/17/2024 3:26 AM</t>
  </si>
  <si>
    <t>00548753</t>
  </si>
  <si>
    <t>AMCEN - Revisar C47</t>
  </si>
  <si>
    <t>Se intenta revisar pero no es posible debido a falta de comunicación con el equipo, se informa sobre esto para que tomen medidas en terreno.</t>
  </si>
  <si>
    <t xml:space="preserve">
8/17/2024 3:18 AM</t>
  </si>
  <si>
    <t>8/17/2024 4:40 AM</t>
  </si>
  <si>
    <t>00548754</t>
  </si>
  <si>
    <t>AMCEN - Revisión C151</t>
  </si>
  <si>
    <t>Se realiza un reinicio al equipo por completo recuperando de esta forma el correcto funcionamiento de su pantalla.</t>
  </si>
  <si>
    <t>8/17/2024 3:19 AM</t>
  </si>
  <si>
    <t>8/17/2024 4:41 AM</t>
  </si>
  <si>
    <t>00548755</t>
  </si>
  <si>
    <t>AMCEN - Revisión PA2</t>
  </si>
  <si>
    <t>Se realiza un reinicio del equipo recuperando así la estabilidad de sensores y antenas gps</t>
  </si>
  <si>
    <t>8/17/2024 3:20 AM</t>
  </si>
  <si>
    <t>8/17/2024 4:42 AM</t>
  </si>
  <si>
    <t>00548756</t>
  </si>
  <si>
    <t>AMCEN - Revisión C122</t>
  </si>
  <si>
    <t>Se intenta revisar de manera remota, pero no es posible debido a falta de comunicación. Por esta razón se recomienda atención en terreno.</t>
  </si>
  <si>
    <t>8/17/2024 4:43 AM</t>
  </si>
  <si>
    <t>00548757</t>
  </si>
  <si>
    <t>AMCEN - Revisión C134</t>
  </si>
  <si>
    <t>Al momento de revisar el equipo se encontraba operando correctamente.</t>
  </si>
  <si>
    <t>8/17/2024 3:21 AM</t>
  </si>
  <si>
    <t>00548758</t>
  </si>
  <si>
    <t>AMCEN - Revisión C44</t>
  </si>
  <si>
    <t>Se realiza un reinicio del equipo recuperando así sus sensores gps y vnc</t>
  </si>
  <si>
    <t>8/17/2024 3:22 AM</t>
  </si>
  <si>
    <t>8/17/2024 4:45 AM</t>
  </si>
  <si>
    <t>00548759</t>
  </si>
  <si>
    <t>AMCEN - Revisión reportabilidad</t>
  </si>
  <si>
    <t>Se revisan todos los procesos de traspaso y replica de datos, además de validar información en mineops y jview, encontrando todo actualizado correctamente.</t>
  </si>
  <si>
    <t>8/17/2024 4:46 AM</t>
  </si>
  <si>
    <t>00548760</t>
  </si>
  <si>
    <t>AMCEN - Revisión C42</t>
  </si>
  <si>
    <t>Al momento de revisar el equipo se encuentra operando correctamente.</t>
  </si>
  <si>
    <t>8/17/2024 3:23 AM</t>
  </si>
  <si>
    <t>00548761</t>
  </si>
  <si>
    <t>CNN - No se asignan camiones a CF01</t>
  </si>
  <si>
    <t>Se hace un monitoreo constante durante todo el turno día en CNN, se aprecia que solo una vez en el turno el cargador tuvo menos CAEX asociados, esto fue porque la tasa de extracción PL de CF05 es muy superior al de CF01. Todo el resto del día se comporto normalmente y se distribuyo de forma normal.</t>
  </si>
  <si>
    <t>8/17/2024 3:41 AM</t>
  </si>
  <si>
    <t>8/19/2024 4:30 AM</t>
  </si>
  <si>
    <t>Christopher Vera</t>
  </si>
  <si>
    <t>00548769</t>
  </si>
  <si>
    <t>Perdida de comunicación se debió a corte eléctrico en la faena, no se perdió enlaces internos con los equipos solo con monitoreo externo. A los min después vuelve la electricidad en el sector y se recupera enlace monitoreo-servidores.</t>
  </si>
  <si>
    <t>08-17-2024  12:01:00</t>
  </si>
  <si>
    <t>08-17-2024  13:52:00</t>
  </si>
  <si>
    <t>00548770</t>
  </si>
  <si>
    <t>DMH - R503 no muestra barras de comunicacion.</t>
  </si>
  <si>
    <t>Posterior a revisión de configuración y red en el equipo se detecta que dentro del sarhm la configuración de snmp no esta habilitado, se hace habilitación y comienza a marcar la señal en verde en el quipo.</t>
  </si>
  <si>
    <t>08-17-2024  13:59:00</t>
  </si>
  <si>
    <t>08-17-2024  17:01:00</t>
  </si>
  <si>
    <t>00548774</t>
  </si>
  <si>
    <t>MAGSA - Upgrade uhp a core TK380</t>
  </si>
  <si>
    <t>Equipo queda correctamente instalado con su ultima version y parche, se reciben datos vims y se puede hacer VNC sin problema, el equipo no tiene cobertura de satélite por estar en truck shop.</t>
  </si>
  <si>
    <t>08-17-2024  16:56:00</t>
  </si>
  <si>
    <t>08-20-2024  11:28:00</t>
  </si>
  <si>
    <t>00548800</t>
  </si>
  <si>
    <t>AMZAL - Panel de S02 con exceso de dibujos</t>
  </si>
  <si>
    <t>Se hace limpieza de Diglines desde 2023 hacia atrás.</t>
  </si>
  <si>
    <t>8/17/2024 11:46 PM</t>
  </si>
  <si>
    <t>8/19/2024 6:37 PM</t>
  </si>
  <si>
    <t>00548803</t>
  </si>
  <si>
    <t>AMCEN - Revisión C134 sin conexión VNC</t>
  </si>
  <si>
    <t>Se realiza un reinicio del equipo normalizando de esta forma el comportamiento de este.</t>
  </si>
  <si>
    <t>8/18/2024 1:13 AM</t>
  </si>
  <si>
    <t>8/18/2024 2:13 AM</t>
  </si>
  <si>
    <t>00548805</t>
  </si>
  <si>
    <t>AMCEN - Revisión CA218</t>
  </si>
  <si>
    <t>Se revisa el equipo encontrándolo en primera instancia sin comunicación, una vez retomada se revisan los sensores internos encontrando todo ok, posteriormente vuelve a perder comunicación por lo que se realiza estadística de ping determinando que los momentos en que se queda pegado en mapa son directamente relacionados con la perdida de comunicación.</t>
  </si>
  <si>
    <t>8/18/2024 1:42 AM</t>
  </si>
  <si>
    <t>8/18/2024 4:23 AM</t>
  </si>
  <si>
    <t>00548814</t>
  </si>
  <si>
    <t>DMH - P212 con pantalla pegada</t>
  </si>
  <si>
    <t>Equipo no tiene comunicación, se deriva a personal en terreno para su revisión.</t>
  </si>
  <si>
    <t>08-18-2024  10:51:00</t>
  </si>
  <si>
    <t>08-18-2024  15:40:00</t>
  </si>
  <si>
    <t>00548834</t>
  </si>
  <si>
    <t>CNMS - Alarmas CAS no se muestran en MineEnterprice</t>
  </si>
  <si>
    <t>Se fuerza la recompilación de datos en ventana de sharperlight recuperando así las alarmas.</t>
  </si>
  <si>
    <t>08-18-2024  13:10:00</t>
  </si>
  <si>
    <t>08-19-2024  9:30:00</t>
  </si>
  <si>
    <t>00548845</t>
  </si>
  <si>
    <t>CNTTE - No se puede visualizar Jview</t>
  </si>
  <si>
    <t>En revisión del caso, se encuentra que SQL server estaba detenido, se le da start partiendo, pero la revisar los servicios estos estaban en pausa. Una vez iniciados Jview sigue sin poder ser utilizado, se revisa ISS el cual esta corriendo, se le hace un stop and start y esto recupera el correcto uso de Jview.</t>
  </si>
  <si>
    <t>08-18-2024  16:00:00</t>
  </si>
  <si>
    <t>08-18-2024  19:25:00</t>
  </si>
  <si>
    <t>00548879</t>
  </si>
  <si>
    <t>AMCEN - Revisión caex 41</t>
  </si>
  <si>
    <t>Se puede observar que se reinicia el jams del equipo reiteradas ocasiones, se intenta eliminando la base de datos interna del equipo para que levante limpiamente, sin embargo esto no soluciona el problema por lo que finalmente se recomienda reinstalar aplicación on site.</t>
  </si>
  <si>
    <t>8/18/2024 10:39 PM</t>
  </si>
  <si>
    <t>8/19/2024 2:21 AM</t>
  </si>
  <si>
    <t>00548880</t>
  </si>
  <si>
    <t>AAM - PALA 003 no registra viajes/borra vueltas</t>
  </si>
  <si>
    <t>Se detectan las vueltas borradas por lo que se arma un listado para proporcionarle la información a Francisco Gonzalez para que pueda agregarlas manualmente. Finalmente el operador ingresa estas cargas manualmente al sistema.</t>
  </si>
  <si>
    <t>8/18/2024 10:40 PM</t>
  </si>
  <si>
    <t>8/19/2024 6:24 PM</t>
  </si>
  <si>
    <t>00548894</t>
  </si>
  <si>
    <t>AMCEN - Checkear C23 no actualiza posición</t>
  </si>
  <si>
    <t>Se realiza un reinicio del equipo recuperando así el posicionamiento actualizado</t>
  </si>
  <si>
    <t>8/19/2024 1:29 AM</t>
  </si>
  <si>
    <t>8/19/2024 2:25 AM</t>
  </si>
  <si>
    <t>00548897</t>
  </si>
  <si>
    <t>AMCEN - Cargador frontal 233 no visualiza camiones cargando</t>
  </si>
  <si>
    <t>Se detecta un error en log de jspanel, se elimina la base de datos interna del equipo y al levantar nuevamente visualiza correctamente panel</t>
  </si>
  <si>
    <t>8/19/2024 4:04 AM</t>
  </si>
  <si>
    <t>8/19/2024 4:26 AM</t>
  </si>
  <si>
    <t>00548898</t>
  </si>
  <si>
    <t>AMCEN - Revisión C18 sin movimiento</t>
  </si>
  <si>
    <t>Se realiza reseteo del equipo y luego monitoreo pudiendo observar que justo se encontraba en espera por pala por lo que estaba detenido, luego comienza a operar nuevamente y actualiza posición en mapa correctamente.</t>
  </si>
  <si>
    <t>8/19/2024 4:05 AM</t>
  </si>
  <si>
    <t>8/19/2024 4:28 AM</t>
  </si>
  <si>
    <t>00548932</t>
  </si>
  <si>
    <t>AAM - Problemas con MinEnterprice</t>
  </si>
  <si>
    <t>Se recompilan los datos de posicionamiento desde que se detuvieron servicios. Una vez finalizado correctamente se recuperan equipos en mapa.</t>
  </si>
  <si>
    <t>08-19-2024  10:55:00</t>
  </si>
  <si>
    <t>8/20/2024 4:49 AM</t>
  </si>
  <si>
    <t>00548952</t>
  </si>
  <si>
    <t>Se hacen pruebas volviendo a agregar las tablas a replicación y pasa sin problemas</t>
  </si>
  <si>
    <t>08-19-2024  13:27:00</t>
  </si>
  <si>
    <t>8/20/2024 4:25 AM</t>
  </si>
  <si>
    <t>00548986</t>
  </si>
  <si>
    <t>AAM - Sumarizar últimos días Julio</t>
  </si>
  <si>
    <t>Se sumariza en dos partes sin problemas.</t>
  </si>
  <si>
    <t>8/19/2024 5:46 PM</t>
  </si>
  <si>
    <t>8/20/2024 4:22 AM</t>
  </si>
  <si>
    <t>00549015</t>
  </si>
  <si>
    <t>AMCEN - Revisión C14 panel pegado</t>
  </si>
  <si>
    <t>Se realiza monitoreo del equipo pudiendo observar que el panel está pegado, se realiza un reinicio del servicio JSPanel recuperando así su correcto funcionaimento.</t>
  </si>
  <si>
    <t>8/19/2024 7:13 PM</t>
  </si>
  <si>
    <t>8/19/2024 9:30 PM</t>
  </si>
  <si>
    <t>00549025</t>
  </si>
  <si>
    <t>AMCEN - Revisión C60</t>
  </si>
  <si>
    <t>Realizando monitoreo tiene muy mala e incluso nula comunicación, lo cual no permite ingresar al equipo para realizar nada. Se informa de esto al cliente para su atención on site. Manteniendo monitoreo posteriormente es posible entrar a equipo para realizar un reinicio remoto, sin embargo, condición se mantiene.</t>
  </si>
  <si>
    <t>8/19/2024 9:28 PM</t>
  </si>
  <si>
    <t>8/20/2024 4:27 AM</t>
  </si>
  <si>
    <t>00549036</t>
  </si>
  <si>
    <t>AMCEN - Sin reportabilidad actualizada</t>
  </si>
  <si>
    <t>Se detecta replica a servidor dos encolandose en dos tablas, se ignoran para el procesos completo de replicación una vuelta y luego se vuelven a agregar pasando sin problemas.</t>
  </si>
  <si>
    <t>8/19/2024 11:27 PM</t>
  </si>
  <si>
    <t>8/20/2024 4:28 AM</t>
  </si>
  <si>
    <t>00549037</t>
  </si>
  <si>
    <t>AMCEN - Revisión CA215 pegado</t>
  </si>
  <si>
    <t>Se realiza monitoreo del equipo determinando que actualiza su posición sin problemas, sin embargo, al alejarse de access point pierde comunicación, generando el inconveniente de quedar pegado en mapa. No hay forma de mejorar condición por lo que se informa lo investigado.</t>
  </si>
  <si>
    <t>8/19/2024 11:28 PM</t>
  </si>
  <si>
    <t>8/20/2024 4:32 AM</t>
  </si>
  <si>
    <t>00549038</t>
  </si>
  <si>
    <t>AMCEN - Revisión de caex 60 pegado</t>
  </si>
  <si>
    <t>Realizando monitoreo del equipo es muy complicado poder acceder al jams interno y realizar monitoreos debido a la comunicación. Se recomienda atención en terreno.</t>
  </si>
  <si>
    <t>8/20/2024 4:34 AM</t>
  </si>
  <si>
    <t>00549039</t>
  </si>
  <si>
    <t>AMCEN - Revisar caex 164 pegado</t>
  </si>
  <si>
    <t>Al momento de revisar el equipo no tenía comunicación y se encontraba en colación. Una vez volvió a opera se revisan sensores interno y se observa todo en buen estado. Manteniendo monitoreo opera correctamente</t>
  </si>
  <si>
    <t>8/19/2024 11:29 PM</t>
  </si>
  <si>
    <t>8/20/2024 4:37 AM</t>
  </si>
  <si>
    <t>00549139</t>
  </si>
  <si>
    <t>MAGSA - Cambio uhp a core TK382</t>
  </si>
  <si>
    <t>Equipos con update a core exitoso, queda funcionando con Vims, VNC, conexión constante pero GPS no entrega datos.</t>
  </si>
  <si>
    <t>08-19-2024  16:16:00</t>
  </si>
  <si>
    <t>08-19-2024  19:53:00</t>
  </si>
  <si>
    <t>00549143</t>
  </si>
  <si>
    <t>AAM - Revisión de equipos Caex 2CAM8525</t>
  </si>
  <si>
    <t>El equipo no comunica desde la hora de inicio de este ticket hasta el final del turno, se deriva a personal en terreno avisando a Despachador Pedro Reygadas.</t>
  </si>
  <si>
    <t>08-19-2024  17:00:00</t>
  </si>
  <si>
    <t>08-19-2024  18:59:00</t>
  </si>
  <si>
    <t>00549184</t>
  </si>
  <si>
    <t>AAM - Reportes frecuencia camiones visualizan gráfica en UTC</t>
  </si>
  <si>
    <t>Se sumariza , solucionando así el problema.</t>
  </si>
  <si>
    <t>8/20/2024 7:30 PM</t>
  </si>
  <si>
    <t>8/21/2024 11:32 AM</t>
  </si>
  <si>
    <t>00549186</t>
  </si>
  <si>
    <t>AMCEN - Monitorear Palas PA1 y PA26</t>
  </si>
  <si>
    <t>Se reinician ambos equipos y luego de mantener monitoreo se determina que operan correctamente.</t>
  </si>
  <si>
    <t>8/20/2024 8:16 PM</t>
  </si>
  <si>
    <t>8/21/2024 4:28 AM</t>
  </si>
  <si>
    <t>00549190</t>
  </si>
  <si>
    <t>CNRI - CE347 constantes alarmas OAS</t>
  </si>
  <si>
    <t>Se modifica el archivo dentro de /etc/ "group" agregando ,oas según información de parche proporcionada aplicado.</t>
  </si>
  <si>
    <t>8/20/2024 9:13 PM</t>
  </si>
  <si>
    <t>8/21/2024 4:30 AM</t>
  </si>
  <si>
    <t>John Despacho</t>
  </si>
  <si>
    <t>00549240</t>
  </si>
  <si>
    <t>MAGSA - Cambio uhp a core TK390</t>
  </si>
  <si>
    <t>Se realizan las modificaciones en los dispositivos , se borra la BD del equipo y se actualiza a la versión 2.8-005.001</t>
  </si>
  <si>
    <t>00549246</t>
  </si>
  <si>
    <t>AMZAL - Pala 4 no ve todos dibujos en su pantalla</t>
  </si>
  <si>
    <t>Se actualiza el drawing para que sea visible por la pala, el problema es que por configuración, no se ven dibujos de mas de 20 días sin actualizar.</t>
  </si>
  <si>
    <t>00549260</t>
  </si>
  <si>
    <t>AMZAL - Disponibilidad-utilización M18 se ejecutó a las 21/08/2024 7:15:10</t>
  </si>
  <si>
    <t>Se realizan las modificaciones solicitadas por Miguel , como este informe se entrega una vez al día, mañana nos deben confirmar si la entrega se realiza correctamente a todos los involucrados.</t>
  </si>
  <si>
    <t>00549317</t>
  </si>
  <si>
    <t>AMZAL - Revisión T13</t>
  </si>
  <si>
    <t>El equipo queda funcionando correctamente después del cambio de core, igualmente se programa un movimiento de carro de comunicación para el sector en donde se encuentra por la perdida de datos que existe.</t>
  </si>
  <si>
    <t>00549340</t>
  </si>
  <si>
    <t>AMANT - Mine Enterprise Antucoya caída (22.08.2024)</t>
  </si>
  <si>
    <t xml:space="preserve">Nicolas Carrasco soluciona el problema </t>
  </si>
  <si>
    <t>00549350</t>
  </si>
  <si>
    <t>MAGSA - Cambio uhp a core TK385</t>
  </si>
  <si>
    <t>Se realizan los cambios en los vims, se reinicia el equipo y este queda funcionando correctamente despues de la instalacion del sistema.</t>
  </si>
  <si>
    <t>Lex Hexagon</t>
  </si>
  <si>
    <t>00549359</t>
  </si>
  <si>
    <t>AMZAL - Pala 4 gps none</t>
  </si>
  <si>
    <t>Se revisa el equipo el cual esta trabajando correctamente, se le explica al despachador que si la pala esta apuntando a la zona gris del mapa , donde no hay cargado ningun bloque / poligono, el gps le dira none, porque en el sistema no hay nada cargado, no significa que el gps este malo, se detecta cuando la pala apunta a un bloque cargado, este si se ve reflejado en el gps de forma correcta.</t>
  </si>
  <si>
    <t>Alexis sim</t>
  </si>
  <si>
    <t>00549369</t>
  </si>
  <si>
    <t>CNTTE - C313 y 307 no cuentan los ciclos</t>
  </si>
  <si>
    <t>Se revisan los equipos, en el caso del C307 no tenia conexion, y el C313 estaba trabajando correctamente, se llama al despachador para indicarle lo encontrado.</t>
  </si>
  <si>
    <t>Rony</t>
  </si>
  <si>
    <t>00549409</t>
  </si>
  <si>
    <t>CNDMH - Revisión Jview</t>
  </si>
  <si>
    <t>Se revisan los reportes indicados pero estos cargan de manera correcta, por lo que se le da el aviso a Hector por presuntos problemas de red. Hector vuelve a cargar los reportes los cuales esta vez si se mostraron correctamente.</t>
  </si>
  <si>
    <t>Hector Morales</t>
  </si>
  <si>
    <t>00549416</t>
  </si>
  <si>
    <t>CNRI - Revisión CAEX CE353</t>
  </si>
  <si>
    <t>Se realiza un reinicio de pantalla y core del equipo recuperando así su correcto funcionamiento. Esto se confirma con el operador y despachador.</t>
  </si>
  <si>
    <t>Carlos Paez</t>
  </si>
  <si>
    <t>00549427</t>
  </si>
  <si>
    <t>CNMS - Problemas Botadero Fase 1</t>
  </si>
  <si>
    <t>Se revive el botadero eliminado inicialmente y así recuperando su informacion, se le comenta a despacho sobre la creación de vías y rutas eliminadas que deben crear nuevamente, ya que también fueron eliminadas.</t>
  </si>
  <si>
    <t>00549432</t>
  </si>
  <si>
    <t>AMCEN - Revisión CAEX C38</t>
  </si>
  <si>
    <t>Se intenta revisar el equipo pero no hay comunicación con este, Luis Rios le solicita al operador cortar chapa y así reiniciar el equipo, con lo que despues de esto se recupera correctamente el funcionamiento.</t>
  </si>
  <si>
    <t>00549443</t>
  </si>
  <si>
    <t>CNDMH - Sin datos reporte KPI despacho</t>
  </si>
  <si>
    <t>El problema se genero por una division por 0 que se estaba generando, se modifica el informe para que no vuelva a ocurrir.</t>
  </si>
  <si>
    <t>00549447</t>
  </si>
  <si>
    <t>AMANT - Perforadora D07 pantalla pegada</t>
  </si>
  <si>
    <t>Se reinicia la pantalla del equipo, recuperando asi su funcionamiento, el operador ya puede trabajar correctamente.</t>
  </si>
  <si>
    <t>00549457</t>
  </si>
  <si>
    <t>MAGSA - Cambio uhp a core TK373</t>
  </si>
  <si>
    <t>Se realizan las modificaciones al equipo, quedando con sus vims trabajando de forma correcta.</t>
  </si>
  <si>
    <t>Kevin</t>
  </si>
  <si>
    <t>00549465</t>
  </si>
  <si>
    <t>Se reinician los servicios sql del servidor dmz.</t>
  </si>
  <si>
    <t>00549466</t>
  </si>
  <si>
    <t>MLCC - Hazard no se carga en el sistema</t>
  </si>
  <si>
    <t>Se revisa el Hazard, el cual estaba cargado en el sistema</t>
  </si>
  <si>
    <t>00549480</t>
  </si>
  <si>
    <t>CNRT - Revisión CAEX C934</t>
  </si>
  <si>
    <t>Se intenta revisar el equipo pero no hay comunicación con este, por lo que se le avisa a despacho que tendrá que ser revisado en terreno.</t>
  </si>
  <si>
    <t>Robinson Valensuela</t>
  </si>
  <si>
    <t>00549481</t>
  </si>
  <si>
    <t>AMCEN - Revisión CAEX CA222</t>
  </si>
  <si>
    <t>Se intenta revisar el equipo pero este se encuentra sin comunicación, por lo que se le avisa a Luis Rios para que este sea revisado en terreno.</t>
  </si>
  <si>
    <t>00549485</t>
  </si>
  <si>
    <t>CNRI - Problemas Factor de Carga</t>
  </si>
  <si>
    <t>Se revisan las Tronadas, asignándole su Fase y Estado a las que se encontraban con el campo vacío, también se le asigna el material a un polígono que se encontraba con este vacío. Luego de estos cambios no se soluciono el problema con los factores de carga, por lo que se debe sumarizar el mes con el factor de carga correcto, esto se le avisa a Gilmer Pompa para realizar el proceso.</t>
  </si>
  <si>
    <t>00549488</t>
  </si>
  <si>
    <t>CNCHUQ - Equipos asignados a Petrolera</t>
  </si>
  <si>
    <t>Revisamos las vías, los logs de cada equipo y el combustible utilizado antes de realizar la recarga. Dado que todo coincide con la necesidad de recargar, asumimos que los datos son correctos. Las recargas se solicitan aproximadamente cada 4 horas. Durante el día de hoy no se vuelve a presentar este problema por lo que se cierra el ticket.</t>
  </si>
  <si>
    <t>00549491</t>
  </si>
  <si>
    <t>AMZAL - Incongruencia de Datos en Reporte Daily</t>
  </si>
  <si>
    <t>Esta incongruencia de datos se produjo a que la Pala S02 estuvo trabajando en una ubicación que luego fue borrada, por lo que el sistema no conto esa disponibilidad. Luego de algún cambio realizado por despacho, el reporte se normalizo y mostro la data correspondiente.</t>
  </si>
  <si>
    <t>00549494</t>
  </si>
  <si>
    <t>MAGSA - Cambio uhp a core WT701</t>
  </si>
  <si>
    <t>Se realizan los cambios a los dispositivos del WT y este queda trabajando correctamente.</t>
  </si>
  <si>
    <t>00549501</t>
  </si>
  <si>
    <t>CNRI - Pala 204 no aparece</t>
  </si>
  <si>
    <t>Se revisa el Pl Rutas, estando todo normal, la pala aparece cargando los camiones, y las rutas hacia esta se ven de forma normal.</t>
  </si>
  <si>
    <t>00549502</t>
  </si>
  <si>
    <t>AMZAL - H60 pierde las vueltas</t>
  </si>
  <si>
    <t xml:space="preserve">Se revisa el equipo a través del reproductor GPS, pero este no perdio ninguna vuelta, las vueltas borradas por el reconciliador, estaban bien borradas, y ocurrieron por fallas en el sistema, como un camion que se volvio a cargar estando a mitad de camino , se revisan 2 veces las 5 vueltas borradas registradas en el sistema, pero todas fueron borradas por buenos motivos. </t>
  </si>
  <si>
    <t>Aleixs sim</t>
  </si>
  <si>
    <t>00549504</t>
  </si>
  <si>
    <t>CNDMH - Jview con respuesta tardia</t>
  </si>
  <si>
    <t>Se revisa la reportabilidad, la cual se carga de manera rápida , de todas formas se reinician los servicios sql, se vuelve a revisar y por nuestro lado los reportes se cargan sin problemas ni lentitud.</t>
  </si>
  <si>
    <t>00549507</t>
  </si>
  <si>
    <t>CNDMH - Revision de equipos</t>
  </si>
  <si>
    <t>Se ayuda a Francisco a revisar distintos equipos por cambios de hardware.</t>
  </si>
  <si>
    <t>00549527</t>
  </si>
  <si>
    <t>CNCHUQ - Problema Asignación Fija a Región</t>
  </si>
  <si>
    <t>Se modifican los destinos sin región, fase y estados, también se realiza una eliminación de duplicidad del BOT 71 junto con un reinicio de JAMSRouter del servidor. Después de quedar en observaciones el problema no volvió a presentarse.</t>
  </si>
  <si>
    <t>00549540</t>
  </si>
  <si>
    <t>AMANT - Sumarizar Mes de Julio y Agosto</t>
  </si>
  <si>
    <t>Se sumarizan los meses solicitados.</t>
  </si>
  <si>
    <t>00549547</t>
  </si>
  <si>
    <t>MAGSA - Cambio uhp a core WT702</t>
  </si>
  <si>
    <t>Se realizan los cambios a los dispositivos del WT y este queda trabajando correctamente.
Los otros WT estaban con sus GPS de forma correcta, solo que al parecer estos se encontraban detenidos en un lugar X, al pasar de las horas , el WT704 se comienza a mover.</t>
  </si>
  <si>
    <t>00549573</t>
  </si>
  <si>
    <t>AMCEN - CF05 no toma el GPS</t>
  </si>
  <si>
    <t>Se revisa el equipo desde cero, los dispositivos, los segmentos geométricos, la vista de equipos estando todo correcto, comparando con otro equipo del mismo modelo, se le hace un create children , se le reinstalan las antenas , con una versión antigua y luego la nueva, aun así nada funciona de momento.</t>
  </si>
  <si>
    <t>00549598</t>
  </si>
  <si>
    <t>CNRI - Revisión OAS CAEX CE351</t>
  </si>
  <si>
    <t>Se revisa el equipo el cual tiene reiteradas alertas de bloqueo, se le avisa a John Boyd que puede deberse a que el sensor esta sucio o esta siendo bloqueado por algún objeto.</t>
  </si>
  <si>
    <t>00549610</t>
  </si>
  <si>
    <t>CNDMH - Revisión cambio de Material Camiones</t>
  </si>
  <si>
    <t>Finalmente se eliminan las bases de datos internas de ambos equipos, pero a la hora de volver a crearse, estos están teniendo problemas al inicializar los JAMS, todo apunta a ser problema del Sahrm.</t>
  </si>
  <si>
    <t>00549611</t>
  </si>
  <si>
    <t>CNRT - Finalizar Pozo R06</t>
  </si>
  <si>
    <t>Se finaliza el pozo de manera manual con la profundidad señalada y luego se reinicia el equipo para recuperar su correcto funcionamiento.</t>
  </si>
  <si>
    <t>00549612</t>
  </si>
  <si>
    <t>CNRI - Revisión CAEX CE119</t>
  </si>
  <si>
    <t>Se realiza un reinicio a la pantalla así soltando el sistema y recuperando su correcto funcionamiento.</t>
  </si>
  <si>
    <t>00549626</t>
  </si>
  <si>
    <t xml:space="preserve">
MAGSA - Cambio uhp a core WT703</t>
  </si>
  <si>
    <t>Se realizan los cambios a los dispositivos</t>
  </si>
  <si>
    <t>00549630</t>
  </si>
  <si>
    <t>AMANT - Reporte Ejecutivo Diario</t>
  </si>
  <si>
    <t>Se revisa el informe, el problema es que se habia duplicado un ID , se borran los datos duplicados y el informe ya muestra los datos correctamente.</t>
  </si>
  <si>
    <t>Patricio despacho</t>
  </si>
  <si>
    <t>00549655</t>
  </si>
  <si>
    <t>CNN - Reportabilidad tardia</t>
  </si>
  <si>
    <t>Se reinician los servicios sql y el IIS , la reportabilidad funciona de forma mucho mas rapida y el reporte carga solo en segundos.</t>
  </si>
  <si>
    <t>00549660</t>
  </si>
  <si>
    <t>MAGSA - Cambio uhp a core TK394</t>
  </si>
  <si>
    <t>Se realizan los cambios del dispositivo correctamente.</t>
  </si>
  <si>
    <t xml:space="preserve">Kevin </t>
  </si>
  <si>
    <t>00549669</t>
  </si>
  <si>
    <t>00549672</t>
  </si>
  <si>
    <t>CNTTE - Sumarizacion de Agosto</t>
  </si>
  <si>
    <t>Juan</t>
  </si>
  <si>
    <t>00549712</t>
  </si>
  <si>
    <t>AMZAL - Levantamiento marcha retroceso en CAEX CMZ</t>
  </si>
  <si>
    <t>Se realiza levantamiento y se entrega un excel con la información.</t>
  </si>
  <si>
    <t>00549727</t>
  </si>
  <si>
    <t>CNRI - Revisión OAS CAEX CE359</t>
  </si>
  <si>
    <t>Se hace revisión del equipo el cual si esta enviando eventos al sistema, por lo que el problema de lecturas se basa en que algo esta interfiriendo con el sensor y este no pueda recopilar correctamente la informacion.</t>
  </si>
  <si>
    <t>00549743</t>
  </si>
  <si>
    <t>MAGSA - Cambio uhp a core TK368</t>
  </si>
  <si>
    <t>00549749</t>
  </si>
  <si>
    <t>MAGSA - Borrar pozo F6-3995-21</t>
  </si>
  <si>
    <t>Se borra la Malla solicitada, pero el problema era que esta malla no veía los pozos, se revisa por BD, encontrando que los pozos habían sido borrados, se recuperan los pozos de forma manual , quedando operativos nuevamente.</t>
  </si>
  <si>
    <t>Ximena</t>
  </si>
  <si>
    <t>00549760</t>
  </si>
  <si>
    <t>CNTTE - TTE - Resetear usuario Jview</t>
  </si>
  <si>
    <t>Se realiza el cambio de contraseña y se entregan las nuevas credenciales.</t>
  </si>
  <si>
    <t>00549790</t>
  </si>
  <si>
    <t>MAGSA - Cambio uhp a core TK367</t>
  </si>
  <si>
    <t>00549805</t>
  </si>
  <si>
    <t>Monitoreo - MLCC - Procesos SQL Encolados</t>
  </si>
  <si>
    <t>Se realiza una eliminación de los procesos encolados así normalizando esta replica, funcionando de manera correcta después de esto.</t>
  </si>
  <si>
    <t>00549830</t>
  </si>
  <si>
    <t>CNCHUQ - Revisión C447</t>
  </si>
  <si>
    <t>Se revisa el equipo luego de la conexión del cableado. Este queda funcionando correctamente.</t>
  </si>
  <si>
    <t>00549856</t>
  </si>
  <si>
    <t>AAM - Reportabilidad desactualizada / con error</t>
  </si>
  <si>
    <t>Al momento de revisar se había normalizado el funcionamiento de Jview, se vuelve a llamar Francisco quien confirma está todo ok</t>
  </si>
  <si>
    <t>8/28/2024 6:24 AM</t>
  </si>
  <si>
    <t>8/28/2024 7:22 AM</t>
  </si>
  <si>
    <t>00549883</t>
  </si>
  <si>
    <t>AAM - Revisión Perforadora 5002 antenas en rojo</t>
  </si>
  <si>
    <t>Se detecta que la calidad de las antenas está en nivel 1, por lo que se informa a Sebastián. Paralelamente, se revisan otros indicadores, identificando que las correcciones diferenciales no se están realizando ni en el equipo ni en el servidor primario. Para solucionar esto, se reinicia el JAMSRouter, logrando restablecer la conexión con la estación base y recuperando las correcciones diferenciales.</t>
  </si>
  <si>
    <t>8/28/2024 9:23 AM</t>
  </si>
  <si>
    <t>8/28/2024 11:21 AM</t>
  </si>
  <si>
    <t>Sebastián Elektroram</t>
  </si>
  <si>
    <t>00549902</t>
  </si>
  <si>
    <t>MLCC - Monitoreo - Importadores pegados</t>
  </si>
  <si>
    <t>Se mata el proceso que lleva mucho tiempo sin terminar su ejecución permitiendo así que pasen todos los procesos de manera ok</t>
  </si>
  <si>
    <t>8/28/2024 12:54 PM</t>
  </si>
  <si>
    <t>00549968</t>
  </si>
  <si>
    <t>AMZAL - Modelo y versión de estación base</t>
  </si>
  <si>
    <t>Se revisa el modelo y versión y se envía a Scarlett Castillo.</t>
  </si>
  <si>
    <t>08-28-2024  21:14:00</t>
  </si>
  <si>
    <t>08-28-2024  22:41:00</t>
  </si>
  <si>
    <t>00549997</t>
  </si>
  <si>
    <t>CNRT - Constantes desconexiones entre servidor y equipos de campo</t>
  </si>
  <si>
    <t>Luego de detectar que se esta generando un insert de chequeo diario del equipo TR450, se hace eliminación de este y a su vez se borra base de datos del equipo TR450 y backup.img. Posteriormente se reinicia el mismo equipo y al volver ya no se detectan las continuas desconexiones de los equipos.</t>
  </si>
  <si>
    <t>08-28-2024  23:54:00</t>
  </si>
  <si>
    <t>08-29-2024  03:29:00</t>
  </si>
  <si>
    <t>00549998</t>
  </si>
  <si>
    <t>AAM - Revisión de equipos Caex 88</t>
  </si>
  <si>
    <t>Se hace reinicio de JAMSRouter para recuperar el funcionamiento de JAMS. Se sigue monitoreando y posteriormente se hace chequeo verificando con un traveling y revisando las descargas que el equipo funciona correctamente. Se añade que el equipo tiene gran perdida de paquetes.</t>
  </si>
  <si>
    <t>08-28-2024  00:50:00</t>
  </si>
  <si>
    <t>08-29-2024  06:46:00</t>
  </si>
  <si>
    <t>00550011</t>
  </si>
  <si>
    <t>Monitoreo - AMANT - Problemas de funcionamiento de Sharperlight y Mine Enterprise.</t>
  </si>
  <si>
    <t>Se fuerza re-compilación de los datamodels recuperando el correcto funcionamiento de Sharperlight y luego se actualiza la información de alarmas, equipos y posicionamiento.</t>
  </si>
  <si>
    <t>08-28-2024  05:02:00</t>
  </si>
  <si>
    <t>8/29/2024 6:12 AM</t>
  </si>
  <si>
    <t>00550052</t>
  </si>
  <si>
    <t>MLCC - Revisión Pala210 gps intermitente</t>
  </si>
  <si>
    <t>Se detecta un error en los logs del jams del equipo por lo que se elimina la base de datos interna y se reinicia. Luego de volver a levantar sin problemas todos sus componentes, se mantiene monitoreo determinando que opera sin mayores complicaciones.</t>
  </si>
  <si>
    <t>8/29/2024 9:32 AM</t>
  </si>
  <si>
    <t>8/29/2024 10:20 AM</t>
  </si>
  <si>
    <t>Alexis Artigas tres60</t>
  </si>
  <si>
    <t>00550053</t>
  </si>
  <si>
    <t>MLCC - Caex C308 se queda pegado y figura en otros lugares</t>
  </si>
  <si>
    <t>Se revisan los sensores del equipo y se ven en buen estado por otra parte la pantalla está visualmente pegada por lo que se reinicia el servicio JSPanel recuperando su funcionamiento correcto. Luego se mantiene monitoreo de actividades y comunicación durante vueltas determinando que en general trabaja ok y cuando se queda pegado es justamente en los momentos que peor comunicación tiene o directamente no hay.</t>
  </si>
  <si>
    <t>8/29/2024 9:33 AM</t>
  </si>
  <si>
    <t>8/30/2024 00:10 AM</t>
  </si>
  <si>
    <t>00550088</t>
  </si>
  <si>
    <t>CNRI - Caex 103 con constantes vibraciones</t>
  </si>
  <si>
    <t>Se actualiza la configuración del OAS interno del equipo según parche</t>
  </si>
  <si>
    <t>8/29/2024 1:50 PM</t>
  </si>
  <si>
    <t>8/29/2024 4:37 PM</t>
  </si>
  <si>
    <t>00550109</t>
  </si>
  <si>
    <t>AAM - Cambio de contraseña usuario jview</t>
  </si>
  <si>
    <t>Se realiza una actualización de la contraseña y se valida en línea con cliente que funciona ok</t>
  </si>
  <si>
    <t>8/29/2024 4:32 PM</t>
  </si>
  <si>
    <t>8/29/2024 4:38 PM</t>
  </si>
  <si>
    <t>00550133</t>
  </si>
  <si>
    <t>Monitoreo - MAGSA - Encolamiento SQL</t>
  </si>
  <si>
    <t>Se identifica que el encolamiento se genera en la replica hacia el servidor .179. Se encuentra SQL server cerrado por lo que se habre y realiza un un reinicio de los servicios. posterior a algunos procesos mas de replica se regulariza pasando todas las tablas sin problema.</t>
  </si>
  <si>
    <t>08-29-2024  22:35:00</t>
  </si>
  <si>
    <t>08-30-2024  05:33:00</t>
  </si>
  <si>
    <t>00550164</t>
  </si>
  <si>
    <t>CNDMH - Caex 336 no pinta barras de señal</t>
  </si>
  <si>
    <t>Se prueba reinstalando paquetes pero no toman la configuración correcta. Se procede a revisar configuración de SarHM encontrando que no está ok por lo que se informa al equipo de redes para que normalicen la situación.</t>
  </si>
  <si>
    <t>8/30/2024 7:27 AM</t>
  </si>
  <si>
    <t>8/30/2024 4:33 PM</t>
  </si>
  <si>
    <t>00550173</t>
  </si>
  <si>
    <t>MLCC - C314 con intermitencia gps</t>
  </si>
  <si>
    <t>Se mantiene monitoreo de la comunicación y comportamiento del equipo determinando que la pérdida de paquetes es demasiado para un correcto funcionamiento por lo que se informa para que puedan atender equipo en terreno.</t>
  </si>
  <si>
    <t>8/30/2024 8:52 AM</t>
  </si>
  <si>
    <t>8/30/2024 4:36 PM</t>
  </si>
  <si>
    <t>00550174</t>
  </si>
  <si>
    <t>Se actualiza la contraseña para el usuario y se comprueba que puede ingresar. Se entregan las credenciales por correo.</t>
  </si>
  <si>
    <t>8/30/2024 8:53 AM</t>
  </si>
  <si>
    <t>00550200</t>
  </si>
  <si>
    <t>Se intentan cargar manualmente para verificar logs y problema encontrando que es un tema de formato, se informa de esto al cliente quien actualiza archivos y posteriormente se logran cargar sin problemas.</t>
  </si>
  <si>
    <t>8/30/2024 12:53 PM</t>
  </si>
  <si>
    <t>8/30/2024 1:21 PM</t>
  </si>
  <si>
    <t>00550202</t>
  </si>
  <si>
    <t>AAM - Equipos CAS Legacy no toman configuración</t>
  </si>
  <si>
    <t>Se concluye que el archivo está corrupto por lo que se recomienda crear uno nuevo de cero, de igual manera se facilita uno del 2023.</t>
  </si>
  <si>
    <t>8/30/2024 12:55 PM</t>
  </si>
  <si>
    <t>00550218</t>
  </si>
  <si>
    <t>MLCC - Datos desactualizados sistema de monitoreo de desgaste.</t>
  </si>
  <si>
    <t>Se hace revisión encontrando encolamiento en replica ejecutada por run2 hacia server .59, se matan los clientes y reinician los servicios, luego se monitorea encontrando que la replica finaliza correctamente. Al consultar al cliente este corrobora que se empezó a actualizar sus datos.</t>
  </si>
  <si>
    <t>08-30-2024  21:11:00</t>
  </si>
  <si>
    <t>08-31-2024  02:34:00</t>
  </si>
  <si>
    <t>00550241</t>
  </si>
  <si>
    <t>AMZAL - Sumarizacion del mes agosto</t>
  </si>
  <si>
    <t>Se efectúa sumarización desde el 1 al 29 de agosto. Queda pendiente confirmación de Raúl Torres.</t>
  </si>
  <si>
    <t>08-30-2024  23:51:00</t>
  </si>
  <si>
    <t>00550242</t>
  </si>
  <si>
    <t>AAM - Revisión de equipos Caex 43 y 57</t>
  </si>
  <si>
    <t>Se le informa a Pedro Reygadas por mensaje y correo electrónico que los equipos tiene demasiada perdida de datos en sus rutas y deben ser revisados junto a la cobertura por personal en terreno.</t>
  </si>
  <si>
    <t>08-30-2024  23:53:00</t>
  </si>
  <si>
    <t>08-31-2024  02:46:00</t>
  </si>
  <si>
    <t>00550245</t>
  </si>
  <si>
    <t>AMZAL - Problemas GPS T13</t>
  </si>
  <si>
    <t>Se revisa el equipo encontrando que hay comunicación con los sensores GPS y están captando satélites. Se le informa al personal para que efectué la revisión en terreno.</t>
  </si>
  <si>
    <t>08-31-2024  00:15:00</t>
  </si>
  <si>
    <t>08-31-2024  02:42:00</t>
  </si>
  <si>
    <t>00550256</t>
  </si>
  <si>
    <t>MAGSA - Cambio uhp a core TK366</t>
  </si>
  <si>
    <t>Equipo es actualizado y funciona correctamente.</t>
  </si>
  <si>
    <t>08-31-2024  07:27:00</t>
  </si>
  <si>
    <t>00550266</t>
  </si>
  <si>
    <t>AMANT - Revisión reporte automático Alimentación planta por hora</t>
  </si>
  <si>
    <t>Se analiza la información en SQL Query en servidor de Jview notando que no existen datos, se procede con la revisión de replica de datos encontrando encolada una instancia. Igualmente se sumarizó manualmente desde el día anterior para regularizar la información del servidor primario y luego se espero réplica normalizando así el comportamiento de reporte.</t>
  </si>
  <si>
    <t>8/31/2024 7:06 AM</t>
  </si>
  <si>
    <t>8/31/2024 11:15 AM</t>
  </si>
  <si>
    <t>00550275</t>
  </si>
  <si>
    <t>MLCC - Equipos que salen de P210 se desconectan</t>
  </si>
  <si>
    <t>Se monitorea el equipo pudiendo observar que internamente el sistema se comporta impecable, a diferencia de la información de VNC que con un retardo aproximadamente de 2 minutos y constante lentitud. Analizando la calidad de comunicación red se pueden observar constantes pérdidas de paquetes. Finalmente se detecta un gps en mal estado por lo que se deriva a revisión en terreno.</t>
  </si>
  <si>
    <t>8/31/2024 8:21 AM</t>
  </si>
  <si>
    <t>8/31/2024 11:20 AM</t>
  </si>
  <si>
    <t>00550276</t>
  </si>
  <si>
    <t>AMANT - Revisión de reporte ejecutivo</t>
  </si>
  <si>
    <t>Se detecta que el último estado del E02 comenzó el 30 de mayo sin cambio alguno, por esta razón el sistema dejó de considerarlo y por consiguiente los reportes. Realizando una actualización de este registro se vuelve a considerar y aparece.</t>
  </si>
  <si>
    <t>00550292</t>
  </si>
  <si>
    <t>AMANT - No conversa información de mineops vs Jview</t>
  </si>
  <si>
    <t>Se habilita la sumarización forzada del turno normalizando la información entre mineops y reportes jview</t>
  </si>
  <si>
    <t>8/31/2024 1:13 PM</t>
  </si>
  <si>
    <t>8/31/2024 4:22 PM</t>
  </si>
  <si>
    <t>00550295</t>
  </si>
  <si>
    <t>MLCC - Reportabilidad excel no actualiza</t>
  </si>
  <si>
    <t>Se reinician los servicios SQL Server en ambos servidores y se ejecuta la query que libera el exceso de conexiones a la base de datos.</t>
  </si>
  <si>
    <t>8/31/2024 1:55 PM</t>
  </si>
  <si>
    <t>8/31/2024 4:23 PM</t>
  </si>
  <si>
    <t>00550296</t>
  </si>
  <si>
    <t>Se habilita sumarizador forzado para recuperar la información actualizada</t>
  </si>
  <si>
    <t>8/31/2024 2:28 PM</t>
  </si>
  <si>
    <t>Claudio Poblete</t>
  </si>
  <si>
    <t>00550312</t>
  </si>
  <si>
    <t>MAGSA - Carga de malla</t>
  </si>
  <si>
    <t>Se elimina el registro de la base de datos a petición de personal en Veladero para volver a cargarlo correctamente desde cero y no sobrescribir archivo existente por problema en visualización.</t>
  </si>
  <si>
    <t>8/31/2024 4:19 PM</t>
  </si>
  <si>
    <t>8/31/2024 4:43 PM</t>
  </si>
  <si>
    <t>00550319</t>
  </si>
  <si>
    <t>MLCC - Datos desactualizados en jview</t>
  </si>
  <si>
    <t>Se deja corriendo sumarizador por crontab ya que el por servicio no esta tomando la tabla detail_dumps.</t>
  </si>
  <si>
    <t>08-31-2024  22:13:00</t>
  </si>
  <si>
    <t>00550331</t>
  </si>
  <si>
    <t>MLCC - Importacion de datos de Plan mensual</t>
  </si>
  <si>
    <t>Archivos subidos correctamente y se queda a la espera de feedback del cliente.</t>
  </si>
  <si>
    <t>00550358</t>
  </si>
  <si>
    <t>AMZAL - Hora de descargas adelantado</t>
  </si>
  <si>
    <t>Se actualiza configuración de tabla rotations de acuerdo con horario del mes de Septiembre y cambio de hora. Normalizando así la hora en descargas sumario entre otras vistas con hora</t>
  </si>
  <si>
    <t>00550364</t>
  </si>
  <si>
    <t>MLCC - Descuadre entre vista descargas sumario y descargas</t>
  </si>
  <si>
    <t>Se detecta un registro de la vista descargas que fue borrado. Analizando la vuelta se determina que no debía ser borrada por lo que se recupera, quedando así cuadrada la información entre descargas (sumario) y descargas.</t>
  </si>
  <si>
    <t>Carlos Contreras Bustos</t>
  </si>
  <si>
    <t>00550366</t>
  </si>
  <si>
    <t>CNRI - Constantes alarmas de bloqueado Caex 347</t>
  </si>
  <si>
    <t>Se revisa configuración del equipo y está ok, se procede a monitorear la salida de sensores determinando que tiene error sensor de cabina por lo que se deriva a revisión en terreno.</t>
  </si>
  <si>
    <t>00550368</t>
  </si>
  <si>
    <t>Se reinician los servicios SQL Server en ambos servidores jview y espejo. Normalizando réplicas.</t>
  </si>
  <si>
    <t>00550383</t>
  </si>
  <si>
    <t>MLCC - Cambio de contraseña mineops</t>
  </si>
  <si>
    <t>Se actualiza contraseña a petición del cliente</t>
  </si>
  <si>
    <t>00550384</t>
  </si>
  <si>
    <t>AMZAL - Ejecutar macro para cierre de mes</t>
  </si>
  <si>
    <t>Se hace revisión de macro y reenvia al cliente. Este nos corrobora que esta funcionando correctamente.</t>
  </si>
  <si>
    <t>00550396</t>
  </si>
  <si>
    <t>AMZAL - Cargar plan mensual septiembre</t>
  </si>
  <si>
    <t>Se carga correctamente el plan Mensual.</t>
  </si>
  <si>
    <t>00550414</t>
  </si>
  <si>
    <t>AMZAL - Sumarizacion 30 de agosto</t>
  </si>
  <si>
    <t>Se efectúa sumarización del día solicitado correctamente y se avisa a cliente.</t>
  </si>
  <si>
    <t>00550419</t>
  </si>
  <si>
    <t>CNN - Descargas sumario muestra una hora adelantada</t>
  </si>
  <si>
    <t>Se da aviso a despachador que debe reiniciar su aplicativo y así vera las horas correctamente como se le adjunto la imagen de referencia.</t>
  </si>
  <si>
    <t>00550423</t>
  </si>
  <si>
    <t>MLCC - Sumarizar desde el 1 de agosto al 1 de septiembre</t>
  </si>
  <si>
    <t>Se efectúa correctamente la sumarizacion y Daniel Godoy nos da feedback de esto.</t>
  </si>
  <si>
    <t>00550486</t>
  </si>
  <si>
    <t>TCDA - Licencia SMTools</t>
  </si>
  <si>
    <t>Se envía la licencia por correo y se contesta las dudas con apoyo de ingeniero especialista CAS</t>
  </si>
  <si>
    <t>Pedro Gálvez</t>
  </si>
  <si>
    <t>00550534</t>
  </si>
  <si>
    <t>AMZAL - Sumarizar 31 de Agosto</t>
  </si>
  <si>
    <t>Se sumariza sin problemas y se confirma con Miguel</t>
  </si>
  <si>
    <t>00550603</t>
  </si>
  <si>
    <t>CNN - Horario de descarga sumario adelantado en despacho.</t>
  </si>
  <si>
    <t>Se hace revisión del lo mencionado no encontrando el inconveniente desde Jmineops en servidor .64, se comenta a despachador que debe revisa y reiniciar el aplicativo. Durante la madrugada 04-09-2024 se consulta a despachador entrante quien nos menciona que ya se normalizo la situación.</t>
  </si>
  <si>
    <t>00550610</t>
  </si>
  <si>
    <t>MLCC - Caex borran ciclos alas 7 am</t>
  </si>
  <si>
    <t>Se reinicia el JAMSRouter del servidor para que equipos tomen nueva configuración de hora/día y normaliza el cambio de turno.</t>
  </si>
  <si>
    <t>00550619</t>
  </si>
  <si>
    <t>Se detecta múltiples destinos duplicados por lo que se deja una única instancia de la última actualización.</t>
  </si>
  <si>
    <t>00550626</t>
  </si>
  <si>
    <t>MLCC - Revisión C310</t>
  </si>
  <si>
    <t>Durante revisión en paralelo con Alexis se determina que sensores están en buen estado, igualmente se realiza un reinicio para levantamiento en limpio de base de datos y sistema. Adicionalmente se está realizando ping pudiendo observar pésima calidad de comunicación.</t>
  </si>
  <si>
    <t>00550678</t>
  </si>
  <si>
    <t>MLCC - No se visualiza malla en sistema</t>
  </si>
  <si>
    <t>Se vuelve a cargar la malla pasándola de carpeta /save a la anterior /Mallas logrando que aparezca correctamente en sistema y mapa</t>
  </si>
  <si>
    <t>00550706</t>
  </si>
  <si>
    <t>AMZAL - Sumarizacion 07-08-2024</t>
  </si>
  <si>
    <t>Se sumariza correctamente.</t>
  </si>
  <si>
    <t>00550708</t>
  </si>
  <si>
    <t>MLCC - No se registran ciclo desde pala 202</t>
  </si>
  <si>
    <t>Después de revisión de los ciclos se corrobora que estos se están generando y registrando correctamente.</t>
  </si>
  <si>
    <t>00550749</t>
  </si>
  <si>
    <t>CNRI - Revision caex CE115</t>
  </si>
  <si>
    <t>El equipo es validado por personal de terreno, quedando operativo y con comunicación.</t>
  </si>
  <si>
    <t>00550766</t>
  </si>
  <si>
    <t>Monitoreo - AMZAL - Sin Conexión remota servidores FMS Linux</t>
  </si>
  <si>
    <t>Comunican un corte de energia hasta las 16hrs, luego de eso vuelve la conexion con el servidor de manera correcta.</t>
  </si>
  <si>
    <t>00550769</t>
  </si>
  <si>
    <t>MAGSA - Cambio uhp a core TK372</t>
  </si>
  <si>
    <t>Se realiza los cambios de los devices para el cambio de uhp para core, tambien se actualiza la version de los jams por la 2.8-005. Luego de eso se observa un correcto funcionamiento del equipo.</t>
  </si>
  <si>
    <t>00550810</t>
  </si>
  <si>
    <t>MLCC - Sin conexión a Jview</t>
  </si>
  <si>
    <t>Karim Despacho</t>
  </si>
  <si>
    <t>00550812</t>
  </si>
  <si>
    <t>CAPCNN - Cambiar Factor de Carga</t>
  </si>
  <si>
    <t>Se realiza el cambio de los factores de carga, junto con el reinicio del JAMS Router del servidor y su respectiva sumarizacion, dejando los valores correctos en el sistema.</t>
  </si>
  <si>
    <t>00550886</t>
  </si>
  <si>
    <t>AMCEN - servidor spotfire no termina la replica</t>
  </si>
  <si>
    <t xml:space="preserve">El problema se debía a que un comentario tenia mas de 263 caracteres , el máximo permitido por el tipo de dato en postgres, se le acorta , se sumariza y los datos se pueden copiar correctamente </t>
  </si>
  <si>
    <t>00550887</t>
  </si>
  <si>
    <t>AMANT - Palas con problemas de GPS</t>
  </si>
  <si>
    <t>00550902</t>
  </si>
  <si>
    <t>MLCC - Perforadora 103 no ve la malla de perforacion</t>
  </si>
  <si>
    <t>Se revisa el equipo, el cual si veía la malla de perforación e incluso estaba perforando.</t>
  </si>
  <si>
    <t>00550945</t>
  </si>
  <si>
    <t>Monitoreo - CAPCNN - Baja corrección GPS</t>
  </si>
  <si>
    <t>Se realiza un reinicio de la estación base, recuperando así una correcta corrección GPS para los equipos de alta precisión.</t>
  </si>
  <si>
    <t>00550947</t>
  </si>
  <si>
    <t>AMZAL - Eliminación de Equipos</t>
  </si>
  <si>
    <t>Se actualizan todos los equipos del listado, manteniendo solo los señalados.</t>
  </si>
  <si>
    <t>00550952</t>
  </si>
  <si>
    <t>MLCC - Creación Código Reserva sin Pala - Mantención</t>
  </si>
  <si>
    <t>Se crea el estado de Reserva sin pala - Mantencion para todos los equipos caex.</t>
  </si>
  <si>
    <t>00550987</t>
  </si>
  <si>
    <t>MLCC - Importador Polígono Carga</t>
  </si>
  <si>
    <t>Se observa que el archivo a cargar esta con variables erróneas y aparte le falta una columna, por lo que se le dan estas observaciones a Rodrigo Schiller para las correcciones. Después de ser modificado el archivo pasa sin problemas.</t>
  </si>
  <si>
    <t>00550996</t>
  </si>
  <si>
    <t>CNDMH - Revisión Pala P206</t>
  </si>
  <si>
    <t>El equipo tiene funcionando los GPS, pero se observa que le muestra GPS: None ya que este se mueve del polígono en donde esta trabajando.</t>
  </si>
  <si>
    <t>00551005</t>
  </si>
  <si>
    <t>Problema ocasionado por las tormentas solares, los equipos tienen sus gps en floating.</t>
  </si>
  <si>
    <t>00551009</t>
  </si>
  <si>
    <t>00551010</t>
  </si>
  <si>
    <t>CNRI - Pala 205 no tiene sistema</t>
  </si>
  <si>
    <t>Se intenta revisar el equipo, pero no tenemos conexión por ningún método, se le informa a Patricio que lo puedan revisar en terreno durante el día.</t>
  </si>
  <si>
    <t>00551016</t>
  </si>
  <si>
    <t>CNRI - C121 pantalla pegada</t>
  </si>
  <si>
    <t>Se revisa el equipo, podemos acceder al core, pero desde ahí no tenemos comunicación con la pantalla, se reinicia el core, pero la situación se mantiene, se le informa a Diana que deben revisar el equipo en terreno , probablemente el cable este mal conectado o en mal estado.</t>
  </si>
  <si>
    <t>Diana</t>
  </si>
  <si>
    <t>00551033</t>
  </si>
  <si>
    <t>CNRT - PE-03 no puede finalizar su pozo</t>
  </si>
  <si>
    <t>Se finaliza el pozo de forma manual, y le ponemos la profundidad indicada por Javier.</t>
  </si>
  <si>
    <t>00551049</t>
  </si>
  <si>
    <t>Monitoreo - AMCEN - Load Avarage alto</t>
  </si>
  <si>
    <t>Se eliminan unos procesos del postgres los cuales estaban pegados y junto a eso se reinicia el JAMSRouter, así disminuyendo el load avarage del servidor y recuperando su correcto funcionamiento.</t>
  </si>
  <si>
    <t>00551051</t>
  </si>
  <si>
    <t>MAGSA - Cambio uhp a core TK391</t>
  </si>
  <si>
    <t>Se realiza los cambios de los devices para el cambio de uhp para core, tambien se actualiza la version de los jams por la 2.8-005.001. Luego de eso se observa un correcto funcionamiento del equipo.</t>
  </si>
  <si>
    <t>00551075</t>
  </si>
  <si>
    <t>MAGSA - Cambio uhp a core DR470</t>
  </si>
  <si>
    <t>00551078</t>
  </si>
  <si>
    <t>AMZAL - Revisión D10</t>
  </si>
  <si>
    <t>Se le observa un error en el JSPanel.log a la hora de que el operador abre el menú para finalizar el pozo, por lo que se le finaliza el pozo de manera manual y queda en observación el comportamiento de este.</t>
  </si>
  <si>
    <t>00551079</t>
  </si>
  <si>
    <t>MLCC - Sin Jview</t>
  </si>
  <si>
    <t>El problema ocurrió porque dieron de baja la cuenta que estaba siendo utilizada en el IIS (internet information services), por lo que se vuelve a cambiar esta por una operativa y el jview queda funcionando correctamente.</t>
  </si>
  <si>
    <t>00551089</t>
  </si>
  <si>
    <t>CNDMH - Revisión CAEX C726</t>
  </si>
  <si>
    <t>Se le realiza el cambio de versión al equipo, ya que al ser cambiado nuevamente a una pantalla antigua se le coloca la versión 2.8-002.020. Luego de este cambio el equipo quedo funcionando correctamente.</t>
  </si>
  <si>
    <t>00551092</t>
  </si>
  <si>
    <t>CNRI - Recuperar cuenta usuario</t>
  </si>
  <si>
    <t>Se realiza el cambio de contraseña, se llama a Diana quien nos confirma que ya puede entrar al sistema.</t>
  </si>
  <si>
    <t>00551094</t>
  </si>
  <si>
    <t>Misma situación del día de ayer, no tenemos comunicación con el equipo, por lo que se deriva a los ingenieros de terreno.</t>
  </si>
  <si>
    <t>00551095</t>
  </si>
  <si>
    <t>CNRT - Sumarizacion</t>
  </si>
  <si>
    <t>Alberto</t>
  </si>
  <si>
    <t>00551096</t>
  </si>
  <si>
    <t>CNRT - Perforadora R08 no ve los pozos</t>
  </si>
  <si>
    <t>Se le hace el cambio manual al operador, el problema era que el no veía la malla con la cual debía estar trabajando.</t>
  </si>
  <si>
    <t>00551099</t>
  </si>
  <si>
    <t>00551101</t>
  </si>
  <si>
    <t>CNRT - Caex 818 con hora adelantada</t>
  </si>
  <si>
    <t>Se revisa el equipo, el cual junto con el C825 eran los únicos que tuvieron este problema, se les reinicia el JSPanel y la situación vuelve a la normalidad.</t>
  </si>
  <si>
    <t>00551102</t>
  </si>
  <si>
    <t>CNN - Equipos con hora adelantada</t>
  </si>
  <si>
    <t>El problema se soluciono borrando las BD de los equipos y volviendo a cargarlas, puesto que si tenían aplicado el parche, pero este no se veía reflejado.</t>
  </si>
  <si>
    <t>00551103</t>
  </si>
  <si>
    <t>AMZAL - Equipos con hora adelantada</t>
  </si>
  <si>
    <t xml:space="preserve">La situación se soluciona reiniciando los JSPanel de los equipos afectados. </t>
  </si>
  <si>
    <t>00551110</t>
  </si>
  <si>
    <t>AAM - Equipos con horas adelantadas</t>
  </si>
  <si>
    <t>Como los camiones tenian una hora adelantada, lo tomo como cambio de turno, se reinicia el JAMSRouter y se vuelven a cuadrar las vueltas y la hora de los equipos, se llama a Carlos Soto quien nos confirma que ya ve todo normal.</t>
  </si>
  <si>
    <t>Carlos Soto</t>
  </si>
  <si>
    <t>00551116</t>
  </si>
  <si>
    <t>MLCC - Revisión C325</t>
  </si>
  <si>
    <t>Se reinicia el equipo y se mantiene en monitoreo. Este no vuelve a presentar el problema.</t>
  </si>
  <si>
    <t>00551117</t>
  </si>
  <si>
    <t>AMZAL - Revisión S04</t>
  </si>
  <si>
    <t>Freddy nos comenta que la pala S04 se encuentra encajonada, explicando así los problemas de comunicación que tiene.</t>
  </si>
  <si>
    <t>00551118</t>
  </si>
  <si>
    <t>CNCHUQ - Problemas Reporte</t>
  </si>
  <si>
    <t>El problema se baso en que el camión C456 uhp no tenia el parche de la hora, por lo que estaba desfasado. Después de actualizarlo, reiniciar el jamsrouter del servidor y sumarizar el día de hoy el problema fue solucionado.</t>
  </si>
  <si>
    <t>00551121</t>
  </si>
  <si>
    <t>CNRI - Creación Certificados PL205</t>
  </si>
  <si>
    <t>El error que se presentaba era porque el equipo no había sido eliminado del index.txt, por lo que luego de la eliminación el setup es creado correctamente.</t>
  </si>
  <si>
    <t>00551142</t>
  </si>
  <si>
    <t>Lomas Bayas</t>
  </si>
  <si>
    <t>Revision Mine Enterprise</t>
  </si>
  <si>
    <t>Se lleva a cabo una recuperación de las alarmas mediante Sharperlight, lo que restablece el funcionamiento adecuado del sistema y permite que los datos se muestren correctamente en el Mine Enterprise.</t>
  </si>
  <si>
    <t>Ademir Zarricueta</t>
  </si>
  <si>
    <t>00551148</t>
  </si>
  <si>
    <t>CNDMH - Reinicio del Ciclo de los Camiones</t>
  </si>
  <si>
    <t>Se reinicia el jamsrouter y el mineops visualizando nuevamente con normalidad las vueltas de los camiones.</t>
  </si>
  <si>
    <t>00551149</t>
  </si>
  <si>
    <t>Monitoreo - AMZAL - Perdida de Comunicación Servidor Primario</t>
  </si>
  <si>
    <t>Se intuye que el servidor perdió conexión con la red, lo que provoco que no se tuviese comunicación con este.</t>
  </si>
  <si>
    <t>00551153</t>
  </si>
  <si>
    <t>Los equipos se encuentran trabajando con su gps de forma correcta.</t>
  </si>
  <si>
    <t>00551156</t>
  </si>
  <si>
    <t>00551157</t>
  </si>
  <si>
    <t>Problema ocasionado por las tormentas solares.</t>
  </si>
  <si>
    <t>00551159</t>
  </si>
  <si>
    <t>00551160</t>
  </si>
  <si>
    <t>MLCC - Camiones no cambian sus estados</t>
  </si>
  <si>
    <t>Se revisa la P202 y el L220, donde ocurren estos problemas, y ambos equipos pierden una gran cantidad de datos, casi del 30%, se le indica a Cristian, que el problema se debe a la mala cobertura en el sector.</t>
  </si>
  <si>
    <t>00551163</t>
  </si>
  <si>
    <t>AMANT - Bloques no se cargan</t>
  </si>
  <si>
    <t>El archivo que querian subir, tenia 2 materiales, sin su tipo de material, por lo que mandaba error, Claudia lo modifica y este ya se puede cargar sin problemas.</t>
  </si>
  <si>
    <t>Claudia</t>
  </si>
  <si>
    <t>00551170</t>
  </si>
  <si>
    <t>AAM - Incongruencia Datos Reporte Mina</t>
  </si>
  <si>
    <t>Nicolás Vegas nos ha informado sobre el cierre del ticket, indicando que la diferencia de 40,000 toneladas se debió a una hora menos de trabajo, lo que amplió la brecha entre turnos. Tras analizar este informe, concluimos que el valor reportado es consistente con la realidad. Además, no se ha detectado ninguna falla en el sistema que indique una pérdida de tonelaje o vueltas, y la coincidencia entre los datos de Postgre y SQL descarta cualquier problema en este aspecto.</t>
  </si>
  <si>
    <t>Nicolas Vegas</t>
  </si>
  <si>
    <t>00551173</t>
  </si>
  <si>
    <t>Monitoreo - AAM - Sin equipos conectados</t>
  </si>
  <si>
    <t>Se realiza un reinicio del JAMS Router del servidor, recuperando así los equipos y su correcto funcionamiento.</t>
  </si>
  <si>
    <t>00551178</t>
  </si>
  <si>
    <t>Freddy nos comenta que el equipo se encuentra en una zona donde no llega muy bien la comunicación, por esta razón el equipo tiene hasta un 52% de perdida de paquetes, se cierra el ticket ya que el equipo fue apagado.</t>
  </si>
  <si>
    <t>00551179</t>
  </si>
  <si>
    <t>CNDMH - Revisión CAEX C371</t>
  </si>
  <si>
    <t>El equipo se monitorea después del aviso para su revisión en terreno y este ya se encuentra trabajando de manera correcta y optima con toda su señal GPS.</t>
  </si>
  <si>
    <t>00551180</t>
  </si>
  <si>
    <t>MAGSA - Cambio uhp a core SH128</t>
  </si>
  <si>
    <t>Se efectúa upgrade, pero se debe seguir monitoreando por problemas en GPS. Se deriva a ticket 00551941.</t>
  </si>
  <si>
    <t>09-14-2024 13:15</t>
  </si>
  <si>
    <t>00551207</t>
  </si>
  <si>
    <t>MLCC - Creación Usuario MineOPS</t>
  </si>
  <si>
    <t>Se realiza la verificacion de la cuenta por parte de Diego Faundez, el cual si pudo acceder de manera correcta.</t>
  </si>
  <si>
    <t>Mesa de Ayuda Ti-To</t>
  </si>
  <si>
    <t>00551210</t>
  </si>
  <si>
    <t>MLCC - Importador Poligono_Diglimit</t>
  </si>
  <si>
    <t>Se ejecuta el importador de manera manual para que el archivo sea subido, como observación, el importador esta funcionando correctamente pero no se le dio el tiempo para ejecutarse.</t>
  </si>
  <si>
    <t>00551224</t>
  </si>
  <si>
    <t>Se solicita monitorear el equipo en la noche para ver su comunicacion ya que este se esta encajonando cada vez mas.</t>
  </si>
  <si>
    <t>00551234</t>
  </si>
  <si>
    <t>AMANT - KPI operaciones mina</t>
  </si>
  <si>
    <t>Se revisa el informe , el cual mostraba los KPI del día anterior, no el de hoy , el problema era un data source que estaba modificado previamente y con el cambio de hora comenzó a dar problemas. se modifica y el reporte ya se ve con normalidad.</t>
  </si>
  <si>
    <t>00551245</t>
  </si>
  <si>
    <t>Monitoreo - MAGSA - sql encolado</t>
  </si>
  <si>
    <t>La replica de datos hacia el servidor 179 no estaba terminando , esta configurado cada 4 minutos por lo que se iniciaba nuevamente, se reinician los servicios sql del servidor, pero la situación se mantiene, se deja comentado el run, y se ejecuta de forma manual, esperando hasta que terminen de pasarse los datos, tardando mucho mas de los 4 minutos que están configurados, se vuelve a ejecutar manualmente un par de veces y se deja automático de nuevo, posterior a esto se volvió a encolar en un par de ocasiones, repitiendo el mismo proceso hasta que ya se normalizo la replicacion de datos hacia ambos servidores.</t>
  </si>
  <si>
    <t>00551248</t>
  </si>
  <si>
    <t>00551249</t>
  </si>
  <si>
    <t>CNRT - Regador 514 cambia su estado</t>
  </si>
  <si>
    <t>Se revisa el equipo, viendo todo normal a primeras, en sus estados solo habían 5 distintos, nada fuera de lo común, no le pude hacer seguimiento porque el equipo estuvo todo el momento en demora por colación (revisando una hora después y seguía con el mismo estado.)</t>
  </si>
  <si>
    <t>00551264</t>
  </si>
  <si>
    <t>AMCEN - Solicitud de revision de GPS PE10</t>
  </si>
  <si>
    <t>En primera instancia el equipo no tenia comunicacion, al pasar de las horas puedo ver su VNC, estando todo normal, el equipo trabajando con su gps de forma normal.</t>
  </si>
  <si>
    <t>00551265</t>
  </si>
  <si>
    <t>CNRI - Pala 204 no ve los poligonos</t>
  </si>
  <si>
    <t>Se revisa el equipo, el cual tenia asignado un polígono demasiado lejos de su ubicación, se le explica a Patricio lo que ocurre y que la pala nunca podrá ver el polígono porque esta trabajando en otra zona.</t>
  </si>
  <si>
    <t>00551268</t>
  </si>
  <si>
    <t>AAM - Lentitud del mineops</t>
  </si>
  <si>
    <t>Se revisa el servidor, el load average estaba sobre 7, llegando a 8, al revisar mas a profundidad se encuentran diversas consultas sql, superiores a 7 horas, las elimino y el load average comienza a bajar rápidamente, se sigue revisando el servidor, pero no se ve nada mas extraño, cuando el load average baja de 1, vuelvo a llamar a Iber , quien me indica que la situación mejoro considerablemente.</t>
  </si>
  <si>
    <t>Iber Ñañes</t>
  </si>
  <si>
    <t>00551301</t>
  </si>
  <si>
    <t>CAPCNN - Problemas Estacion Base</t>
  </si>
  <si>
    <t>Después de monitoreo y consultado a Juan Nuñez en terreno, este nos comenta que la condición de estabilizo, igualmente s le hizo un mantenimiento a los conectores y quedo pendiente mantenimiento a GPS sobre el techo del sector, este nos avisara cuando se efectué.,</t>
  </si>
  <si>
    <t>00551333</t>
  </si>
  <si>
    <t>CNDMH - Cambio versión CAEX C725</t>
  </si>
  <si>
    <t>Se le modifica la versión del JAMS al equipo, luego de esto queda funcionando correctamente.</t>
  </si>
  <si>
    <t>00551339</t>
  </si>
  <si>
    <t>AMZAL - Revisión reporte Jview</t>
  </si>
  <si>
    <t>00551348</t>
  </si>
  <si>
    <t>El problema se baso en que el destino se encontraba duplicado en la base de datos, por lo que se eliminan las duplicidades y este vuelve a aceptar los CAEX de manera correcta.</t>
  </si>
  <si>
    <t>00551349</t>
  </si>
  <si>
    <t>AMZAL - Revisión WheelDozer WD06</t>
  </si>
  <si>
    <t>Se le inserta un nuevo estado al equipo ya que al estar fuera por 3 meses deja de aparecer en el KPI Mantención, luego de esta modificación el equipo vuelve a visualizarse.</t>
  </si>
  <si>
    <t>00551350</t>
  </si>
  <si>
    <t>AMZAL - Revisión destino SECTOR7-DL</t>
  </si>
  <si>
    <t>Yazmin hace cambios según lo solicitado por Miguel Cáceres, posteriormente se le consulta a Miguel quien confirma le correcto funcionamiento de este. Nos comentó igualmente que se esta viendo la opción de dejarlo fijo en vez de dinámico.</t>
  </si>
  <si>
    <t>09-13-2024 16:02</t>
  </si>
  <si>
    <t>00551357</t>
  </si>
  <si>
    <t>MLCC - Visualización Polígono Descarga.</t>
  </si>
  <si>
    <t>En primer lugar se elimina la duplicidad encontrada en la tabla boundaries. Como medida aparte se realiza una modificación en el importador para que el problema no se vuelva a presentar, de igual manera se le comunica a Sebastian Galligos sobre observaciones que fueron encontradas en el formato del archivo.</t>
  </si>
  <si>
    <t>Sebastian Galligos</t>
  </si>
  <si>
    <t>00551363</t>
  </si>
  <si>
    <t>CNDMH - Jview caido</t>
  </si>
  <si>
    <t>Se reinician los servicios sql, el IIS y se baja el tamaño de los logs, después de todo eso, se puede ingresar nuevamente y ver la reportabilidad con información actualizada.</t>
  </si>
  <si>
    <t>00551368</t>
  </si>
  <si>
    <t>CNRI - Pala 209 sin pantalla</t>
  </si>
  <si>
    <t>00551370</t>
  </si>
  <si>
    <t>MLCC - Cuenta de usuario mineops</t>
  </si>
  <si>
    <t>00551373</t>
  </si>
  <si>
    <t>MLCC - Malla 102 Banco 4310</t>
  </si>
  <si>
    <t>Se carga la malla al sistema sin ningún problema.</t>
  </si>
  <si>
    <t>00551377</t>
  </si>
  <si>
    <t>AMCEN - Solicitud de revision de GPS C128</t>
  </si>
  <si>
    <t>Se reinicia el equipo, recuperando así su gps.</t>
  </si>
  <si>
    <t>00551379</t>
  </si>
  <si>
    <t>Nuevamente se encola la repica de datos hacia el servidor 179, se comenta y se comienza a ejecutar manual, hasta que se copian los datos con fluidez y se vuelve a dejar de modo automático sin problemas.</t>
  </si>
  <si>
    <t>00551408</t>
  </si>
  <si>
    <t>AMCEN - Solicitud de revision de PA1</t>
  </si>
  <si>
    <t>Se revisa el equipo, el cual tarda unos pocos segundos antes de hacer el cambio de estado, no se detecta nada alarmante.</t>
  </si>
  <si>
    <t>00551424</t>
  </si>
  <si>
    <t>MLCC - Visualización Polígono Cargador Frontal L220</t>
  </si>
  <si>
    <t>Se le realiza un create children al boundaries del poligono en donde se presentaba el problema.</t>
  </si>
  <si>
    <t>00551460</t>
  </si>
  <si>
    <t>MLCC - Visualización Polígono Descarga F06_4325_017</t>
  </si>
  <si>
    <t>00551464</t>
  </si>
  <si>
    <t>AMZAL - Modificación vista Equipos</t>
  </si>
  <si>
    <t>Se realiza la modificación de los layers para los equipos motoniveladora (grader) y equipos auxiliares (aux_equipment) en las configuraciones. Estas modificaciones se irán viendo reflejadas a medida que los equipos sean reiniciados. Miguel Caceres nos confirma que L11 esta mostrando lo solicitado.</t>
  </si>
  <si>
    <t>00551465</t>
  </si>
  <si>
    <t>AMZAL - Borrar bloques de carpeta compartida en Xfer</t>
  </si>
  <si>
    <t>Se realiza el borrado de los bloques solicitados en la carpeta xFer.</t>
  </si>
  <si>
    <t>00551469</t>
  </si>
  <si>
    <t>MLCC - Problemas STOCK_S_1</t>
  </si>
  <si>
    <t>El problema surgió por una duplicidad en el boundaries del "STOCK_S_1__SPC", el cual se tenia un boundaries donde correspondía y otro en la posición del "STOCK_S_INVIERNO". Luego de la eliminación de esta duplicidad, el STOCK vuelve a quedar correctamente configurado.</t>
  </si>
  <si>
    <t>00551471</t>
  </si>
  <si>
    <t>MAGSA - Cambio uhp a core FL230</t>
  </si>
  <si>
    <t>09-14-2024  13:17:00</t>
  </si>
  <si>
    <t>00551476</t>
  </si>
  <si>
    <t>Se revisa el equipo nuevamente y se detecta que tiene perdida de datos de manera constante, llegando a perder hasta el 20% de los datos, así mismo los camiones que iban a cargar a la pala.</t>
  </si>
  <si>
    <t>00551500</t>
  </si>
  <si>
    <t>CNRT - Modificar puertos del SARHM</t>
  </si>
  <si>
    <t>Se abre el puerto 1/2/6 del C818</t>
  </si>
  <si>
    <t>00551516</t>
  </si>
  <si>
    <t>AMCEN - Solicitud de revision de equipos por GPS</t>
  </si>
  <si>
    <t xml:space="preserve">Se le indica a Juan que estamos con problemas de tormentas solares, por eso los equipos de alta están con problema, en el caso del C162 el equipo se encuentra apagado por una mantencion no programada. </t>
  </si>
  <si>
    <t>00551517</t>
  </si>
  <si>
    <t>Se revisan ambos equipos, el C48 estaba trabajando correctamente y el C42 estaba en demora por colación, cuando vuelve a estar operativo, se revisa y el GPS esta funcionando normalmente.</t>
  </si>
  <si>
    <t>00551523</t>
  </si>
  <si>
    <t>AMZAL - D14 intermitencia de GPS</t>
  </si>
  <si>
    <t>Se monitorea el equipo, el cual esta trabajando de forma normal.</t>
  </si>
  <si>
    <t>Ricardo SIM</t>
  </si>
  <si>
    <t>00551529</t>
  </si>
  <si>
    <t>AMCEN - Solicitud de revision de C10 pantalla en negro</t>
  </si>
  <si>
    <t>Se reinicia la pantalla del equipo, pero la pantalla sigue en negro, se le indica a Juan que dejen el equipo para revisión en terreno porque debe tener algun cable en mal estado.</t>
  </si>
  <si>
    <t>00551532</t>
  </si>
  <si>
    <t>AMCEN - Solicitud de revision PA1 pantalla en negro</t>
  </si>
  <si>
    <t>Se reinicia la pantalla del equipo, recuperando asi su imagen.</t>
  </si>
  <si>
    <t>00551612</t>
  </si>
  <si>
    <t>Se detecta que importador grade_importer_diglimit se encuentre pagado por mas de 30 min.</t>
  </si>
  <si>
    <t>00551607</t>
  </si>
  <si>
    <t>MAGSA - Cambio uhp a core TK389</t>
  </si>
  <si>
    <t>Lex Montenegro nos solicita hacer el cambio de la Pala Cargador Frontal TK389 de uhp a core</t>
  </si>
  <si>
    <t>09-13-2024 8:27</t>
  </si>
  <si>
    <t>00551623</t>
  </si>
  <si>
    <t>CNRI - CAEX 121 pegado</t>
  </si>
  <si>
    <t>Se revisa equipo, el cual tiene comunicación constante, se efectúa reinicio de Core y pantalla. Al consultar nuevamente con despachador nos confirma que el esquipo se estabilizo.</t>
  </si>
  <si>
    <t>00551641</t>
  </si>
  <si>
    <t>AMZAL - Sin acceso a mineops</t>
  </si>
  <si>
    <t>Scarlett Castillo nos comenta que fue un problema de red interno lo que provocó la desconexión del servidor primario. Una vez retomó se validó que todos los procesos están corriendo ok</t>
  </si>
  <si>
    <t>00551644</t>
  </si>
  <si>
    <t>CNRT - Perforadora con problemas de comunicación</t>
  </si>
  <si>
    <t>Se accede al Sar del equipo y se reinicia el puerto de comunicación con sistema FMS recuperando así la conexión con el equipo de campo, luego de esto se realiza un reinicio de su base de datos interna y del equipo mismo, ya que estaba pegado y al volver a levantar está todo ok.</t>
  </si>
  <si>
    <t>00551647</t>
  </si>
  <si>
    <t>AMCEN - Revisión pala 7</t>
  </si>
  <si>
    <t>Se realiza un reinicio del equipo normalizando de esta forma el comportamiento de la pantalla, sin embargo, se puede notar que los gps están floating, por esta razón se sigue revisando el equipo sin forma de normalizar estos. Finalmente se optó por validar si existen eventos de centelleo durante la noche y justamente en la hora de revisión está la mayor y única actividad de centelleo que se presentará durante turno.</t>
  </si>
  <si>
    <t>00551677</t>
  </si>
  <si>
    <t>AMCEN - Revisión pala 3 no visualiza cota</t>
  </si>
  <si>
    <t>Se realiza un reinicio del equipo y una limpieza de la base de datos debido a lo visto en logs del jams, posteriormente se valida que la visualización del VNC del equipo coincide con lo que hay en la zona según mapa mineops</t>
  </si>
  <si>
    <t>00551683</t>
  </si>
  <si>
    <t>AMCEN - Revisión caex 155</t>
  </si>
  <si>
    <t>Se realiza un reinicio remoto del equipo, recuperando así el posicionamiento en vnc. Adicionalmente se revisan los sensores y están en buen estado.</t>
  </si>
  <si>
    <t>00551684</t>
  </si>
  <si>
    <t>AMCEN - Revisión WD1</t>
  </si>
  <si>
    <t>Se intenta revisar pero no existe comunicación ni desde mineops ni desde el servidor, se informa de esto al cliente.</t>
  </si>
  <si>
    <t>00551689</t>
  </si>
  <si>
    <t>AMCEN - caex 42 con pantalla pegada</t>
  </si>
  <si>
    <t>Se realiza un reinicio remoto del equipo recuperando de esta forma el correcto funcionamiento de su pantalla.</t>
  </si>
  <si>
    <t>00551694</t>
  </si>
  <si>
    <t>CNRI - Revisión OAS del caex 347</t>
  </si>
  <si>
    <t>Haciendo revisión y monitoreo del equipo se determina que sensor de cabina a operador no está operando de manera correcta por lo que se recomienda atención en terreno.</t>
  </si>
  <si>
    <t>00551695</t>
  </si>
  <si>
    <t>CNRI - Revisión OAS de caex 349</t>
  </si>
  <si>
    <t>Se aplica cambio de configuraciones y reinicia el equipo para ver si así mejora la situación de tantas alertas. Igualmente revisando los eventos en opweb se puede observar que el operador en sensores realmente se detectan los ojos casi cerrados y por eso las múltiples alarmas. Se informa de esto a Benito.</t>
  </si>
  <si>
    <t>00551696</t>
  </si>
  <si>
    <t>Se eliminan los procesos de sql server que están encolados y se monitorea el paso completo de run y run2.</t>
  </si>
  <si>
    <t>00551700</t>
  </si>
  <si>
    <t>AMZAL - Sumarizacion 11-09-2024</t>
  </si>
  <si>
    <t>Se efectúa correctamente la sumarización la que es confirmada por Raúl Torres.</t>
  </si>
  <si>
    <t>00551705</t>
  </si>
  <si>
    <t>CNRI - Pala 203 ubicación errónea.</t>
  </si>
  <si>
    <t>Se comunica a despachador que este equipo no ha sido calibrado por eso tiene una diferencia de cota.</t>
  </si>
  <si>
    <t>00551709</t>
  </si>
  <si>
    <t>AMZAL - Revisión reporte Geologia Chancado</t>
  </si>
  <si>
    <t>En revisión de lo consultado se confirma que dentro de las dos primeras líneas no se presenta el dato de frente de carguío, posteriormente al paso de unos min se recargan los datos y ya aparecen. El problema paso por un tema de tiempo donde se ejecuto el sumarizador.</t>
  </si>
  <si>
    <t>00551762</t>
  </si>
  <si>
    <t>MLCC - Problema GPS Perforadora D101</t>
  </si>
  <si>
    <t>Posterior a revisión de los GPS se informa a personal en terreno quien revisa GPS2 encontrando conector suelto, hace reapreté de este lo que recupera correcto funcionamiento del equipo.</t>
  </si>
  <si>
    <t>00551776</t>
  </si>
  <si>
    <t>CNRI - Visualizacion de Diglimit</t>
  </si>
  <si>
    <t>Se hace primeramente revisión de las dig limit, las cuales esta correctamente ingresadas. Posteriormente se le explica donde puede revisarlas y como se activan en JSmina. Nos comenta que no puede filtrar a los que se le explica que estas se muestran en su totalidad. Posterior a esto se entrega numero a ing hexagon de turno para que se comunique con Scarleth y sigan revisando el tema.</t>
  </si>
  <si>
    <t>00551789</t>
  </si>
  <si>
    <t>CNRI - Revisión OAS del caex 345</t>
  </si>
  <si>
    <t>Se revisan las configuraciones del equipo encontrando todo sin desviación del estándar. Se aplica el parche de vibraciones constantes y se reinicia el equipo, esperando que de esta forma pueda normalizar comportamiento. Se revisan los eventos en opweb igualmente pudiendo observar que son correctos y no falsas alarmas.</t>
  </si>
  <si>
    <t>00551800</t>
  </si>
  <si>
    <t>AMCEN - Revisión de caex 151</t>
  </si>
  <si>
    <t>Se intenta revisar el equipo de manera remota pero no es posible debido a falta de comunicación. Se recomienda atención en terreno.</t>
  </si>
  <si>
    <t>00551806</t>
  </si>
  <si>
    <t>AMCEN - Revisar C128 pegado en sistema</t>
  </si>
  <si>
    <t>Se revisan los sensores del equipo y se encuentra gps en mal estado, se realizan multiples reinicios y limpiado de base de datos, sin embargo, no se mejora la condición. Se recomienda atención en terreno.</t>
  </si>
  <si>
    <t>00551808</t>
  </si>
  <si>
    <t>CNRI - Revisión OAS de caex 104</t>
  </si>
  <si>
    <t>Primero se aplica parche para mejorar condición de vibraciones constantes. Luego se reinicia el equipo para que levante con nuevas configuraciones y se analizan los eventos en opweb encontrando que el sensor no se encuentra con la mejor calidad por lo que se recomienda tener ojo con la suciedad que pueda tener.</t>
  </si>
  <si>
    <t>9/13/2024 12:11 AM</t>
  </si>
  <si>
    <t>00551809</t>
  </si>
  <si>
    <t>AMCEN - Revisar C42 pegado en sistema</t>
  </si>
  <si>
    <t>Se realiza un reinicio remoto del equipo, logrando así recuperar el posicionamiento actualizado y correcto funcionamiento de VNC</t>
  </si>
  <si>
    <t>9/13/2024 1:15 AM</t>
  </si>
  <si>
    <t>00551817</t>
  </si>
  <si>
    <t>AMCEN - Revisar C122 pegado en mapa</t>
  </si>
  <si>
    <t>Se intenta recuperar el estado del gps con reinicio y limpieza de la base de datos, pero no es posible normalizar. Se recomienda atención en terreno.</t>
  </si>
  <si>
    <t>9/13/2024 3:42 AM</t>
  </si>
  <si>
    <t>00551830</t>
  </si>
  <si>
    <t>CNCHUQ - Lentitud en Jview para Operador Chancado</t>
  </si>
  <si>
    <t>En revisión de Jview no se detectan lentitud del servicio, se genera una nueva cuenta para los usuarios MCoca001 y JOliv009. Posteriormente nos dan feedback de que no tiene el problema antes mencionado con estas cuentas.</t>
  </si>
  <si>
    <t>9/13/2024 13:48 AM</t>
  </si>
  <si>
    <t>00551835</t>
  </si>
  <si>
    <t>CNCHUQ - Actualización de CF841 a core pantalla x900</t>
  </si>
  <si>
    <t>Se da apoyo remoto en el update del equipo a core. Posterior a definirse que se dejara como grupo dozer, se da apoyo en subir a la version y parche correcto, recuperando una buena visualización en el display según lo solicitado por equipo en terreno.</t>
  </si>
  <si>
    <t>09-13-2024 11:40</t>
  </si>
  <si>
    <t>09-14-2024 18:22</t>
  </si>
  <si>
    <t>00551837</t>
  </si>
  <si>
    <t>DMH - Computador sin acceso a Jmineops</t>
  </si>
  <si>
    <t>Se revisa el computador del usuario detectando que hosts no esta bien definido. Se le pide al usuario que ingrese directamente con la IP del servidor ya que no se logra modificar el Hosts por los permiso de administrador. El usuario entra sin problemas con la IP especificada.</t>
  </si>
  <si>
    <t>9/13/2024 13:52 AM</t>
  </si>
  <si>
    <t>00551924</t>
  </si>
  <si>
    <t>AMCEN - Revisión C55 sin vnc</t>
  </si>
  <si>
    <t>Se realiza un reinicio remoto del equipo, recuperando de esta forma el VNC.</t>
  </si>
  <si>
    <t>9/13/2024 7:51 PM</t>
  </si>
  <si>
    <t>00551926</t>
  </si>
  <si>
    <t>AMCEN - Revisión VNC Pala 9</t>
  </si>
  <si>
    <t>Se realiza una estadística de ping pudiendo ver bastante mala la calidad de comunicación, se procede a reiniciar el equipo normalizando así el funcionamiento de su sistema y habilitando la vista de carga de camiones.</t>
  </si>
  <si>
    <t>9/13/2024 11:00 PM</t>
  </si>
  <si>
    <t>00551929</t>
  </si>
  <si>
    <t>AMCEN - Revisión CA221 pegado</t>
  </si>
  <si>
    <t>Se intenta revisar el equipo pero no hay comunicación con este, se informa de esto al cliente.</t>
  </si>
  <si>
    <t>9/14/2024 2:53 AM</t>
  </si>
  <si>
    <t>00551930</t>
  </si>
  <si>
    <t>AMCEN - Revisión C39 pegado</t>
  </si>
  <si>
    <t>Se intenta revisar el equipo pero no es posible debido a problemas en la comunicación. Se informa de esto al cliente.</t>
  </si>
  <si>
    <t>9/14/2024 2:54 AM</t>
  </si>
  <si>
    <t>00551931</t>
  </si>
  <si>
    <t>AMCEN - Revisión CF2 sin sistema</t>
  </si>
  <si>
    <t>Se revisa el equipo y se encuentra en buenas condiciones, se informa al cliente que probablemente perdió comunicación un momento provocando que se pegara.</t>
  </si>
  <si>
    <t>9/14/2024 2:55 AM</t>
  </si>
  <si>
    <t>00551939</t>
  </si>
  <si>
    <t>MLCC - Problema GPS Perforadoras</t>
  </si>
  <si>
    <t>Mientras se hacia la revisión se retoma la corrección diferencial. Posteriormente se hace análisis del caso encontrando en JAMS.log que se genero múltiples reconexiones con los puerto 5002 y 5003 de la estación base entre las 7:35 y 9:26 am.</t>
  </si>
  <si>
    <t>09-14-2024  17:25:00</t>
  </si>
  <si>
    <t>00551938</t>
  </si>
  <si>
    <t>MAGSA - Cambio uhp a core TK375</t>
  </si>
  <si>
    <t>09-14-2024  9:11:00</t>
  </si>
  <si>
    <t>00551941</t>
  </si>
  <si>
    <t>MAGSA - CoreHP don't show GPS information.</t>
  </si>
  <si>
    <t>Se cambia version de platform y se arregla cable de gps de laboratorio, con lo cual se obtiene el funcionamiento de los gps</t>
  </si>
  <si>
    <t>09-14-2024  11:12:00</t>
  </si>
  <si>
    <t>00551968</t>
  </si>
  <si>
    <t>Monitoreo - MLCC - Constantes encolamientos de sql</t>
  </si>
  <si>
    <t>Durante la jornada se identifican múltiples encolamientos, en la revisión se detecta mas de 41 usuarios conectados al servidor .59, se matan los clientes y reinician los servicios solucionando el encolamiento puntualmente.</t>
  </si>
  <si>
    <t>09-14-2024  19:26:00</t>
  </si>
  <si>
    <t>00551972</t>
  </si>
  <si>
    <t>Se reinicia solo el servicio JSPanel en primera instancia, sin embargo, al levantar sigue estando lento y no coincide estado en vista mineops. Se procede a limpiar la base de datos y reiniciar equipo, normalizando de esta forma comportamiento de sistema.</t>
  </si>
  <si>
    <t>9/14/2024 6:06 PM</t>
  </si>
  <si>
    <t>00551973</t>
  </si>
  <si>
    <t>CNDMH - Actualizar versión C733</t>
  </si>
  <si>
    <t>Se aplica parche necesario y levanta vnc sin problemas, es reconocido por sistema y se puede manipular, sin emargo, no muestra barras de comunicación, revisando se puede ver normal la configuración snmp por lo que queda para equipo de redes normalizar.</t>
  </si>
  <si>
    <t>9/15/2024 3:26 AM</t>
  </si>
  <si>
    <t>00551974</t>
  </si>
  <si>
    <t>MLCC - Perforadora con gps floating</t>
  </si>
  <si>
    <t>Se realiza una limpieza de la base de datos interna del equipo, posteriormente un reinicio y al volver a levantar, gps se comportan ok</t>
  </si>
  <si>
    <t>9/14/2024 10:44 PM</t>
  </si>
  <si>
    <t>00551975</t>
  </si>
  <si>
    <t>CNRI - Cambios de estado Pala 205</t>
  </si>
  <si>
    <t>Derivado a ingenieros en terreno.</t>
  </si>
  <si>
    <t>9/16/2024 3:38 AM</t>
  </si>
  <si>
    <t>Pamela Brizuela</t>
  </si>
  <si>
    <t>00551978</t>
  </si>
  <si>
    <t>CNDMH - Revisar C723 no contabiliza vueltas</t>
  </si>
  <si>
    <t>Se revisa remotamente, y se determina que tiene problema en los gps por lo que deberán ser revisados en terreno.</t>
  </si>
  <si>
    <t>00551979</t>
  </si>
  <si>
    <t>CNRI - Revisar OAS del caex CE318</t>
  </si>
  <si>
    <t>Se intenta revisar el equipo de manera remota pero no hay comunicación por lo que se dejará derivado con personal turno día para su revisión.</t>
  </si>
  <si>
    <t>00551983</t>
  </si>
  <si>
    <t>AMCEN - Revisar C40 pegado</t>
  </si>
  <si>
    <t>Al momento de revisar el equipo ya se encontraba operativo.</t>
  </si>
  <si>
    <t>9/15/2024 1:07 AM</t>
  </si>
  <si>
    <t>00551984</t>
  </si>
  <si>
    <t>AMCEN - Revisar Pala 3 sin sistema</t>
  </si>
  <si>
    <t>Se revisa el equipo y se encuentra funcionando normal el mapa, pero tenía gps en floating, se reinicia remoto y reinicia la base de datos interna del equipo normalizando el comportamiento de los mismos.</t>
  </si>
  <si>
    <t>9/15/2024 1:08 AM</t>
  </si>
  <si>
    <t>00551985</t>
  </si>
  <si>
    <t>ETA en 0 en Pala S02</t>
  </si>
  <si>
    <t>Después de borrar base de datos y recargar el equipo, este comienza a estabilizarse, se sigue el monitoreo hasta las 18 horas observando que le ET funciona correctamente. Operador no vuelve a mencionar que el equipo funcione mal otra vez. Personal en terreno nos confirme el correcto funcionamiento.</t>
  </si>
  <si>
    <t>09-15-2024  18:44:00</t>
  </si>
  <si>
    <t>00552008</t>
  </si>
  <si>
    <t>CNCHUQ - PE361 con pantalla pegada</t>
  </si>
  <si>
    <t>Equipo pasa a mantenimiento, por ende se cierra su ultimo pozo y se pierde comunicación con el. Personal en terreno avisara si al volver el equipo continua con problemas y atenderá el caso.</t>
  </si>
  <si>
    <t>09-15-2024  18:18:00</t>
  </si>
  <si>
    <t>00552015</t>
  </si>
  <si>
    <t>DMH - Cargas con centroide no muestra datos del 14-09-2024</t>
  </si>
  <si>
    <t>Armando Pompa toma el caso logrando recuperar la imputación de datos hacia la tabla shift_loads en columnas dig_points, con esto ya se podrán ver los datos a partir del 16-09-2024 en adelante.</t>
  </si>
  <si>
    <t>09-16-2024  15:10:00</t>
  </si>
  <si>
    <t>00552019</t>
  </si>
  <si>
    <t>MAGSA - Cambio core a uhp FL230</t>
  </si>
  <si>
    <t>Equipo posterior a pasarse a UHP HP funciona correctamente y queda operativo.</t>
  </si>
  <si>
    <t>09-15-2024  18:45:00</t>
  </si>
  <si>
    <t>00552051</t>
  </si>
  <si>
    <t>AMCEN - Revsión PA3 con gps intermitente</t>
  </si>
  <si>
    <t>Se revisa el equipo, sensores se encuentran en floating ,se intenta recuperar fixed pero no hay buenos resultados. Finalmente se investiga por tormentas solares y/o magnéticas, pudiendo encontrar que los valores son elevados lo cual puede generar intermitencia en los gps de alta precisión. Se informa de esto al cliente.</t>
  </si>
  <si>
    <t>9/16/2024 3:36 AM</t>
  </si>
  <si>
    <t>00552075</t>
  </si>
  <si>
    <t>MLCC - No se descarga reporte resumen producción mina.</t>
  </si>
  <si>
    <t>Se efectúa una reconfiguración en reporting service, lo que permite descargar el reporte en formato excel.</t>
  </si>
  <si>
    <t>09-16-2024  13:06:00</t>
  </si>
  <si>
    <t>00552089</t>
  </si>
  <si>
    <t>MLCC - D101 pantalla en negro</t>
  </si>
  <si>
    <t>Equipo se encontraba sin energía por falla en diferencial. Posterior a reparación en terreno se retoman las comunicaciones con el equipo y se revisa que este trabaja correctamente.</t>
  </si>
  <si>
    <t>09-16-2024  13:05:00</t>
  </si>
  <si>
    <t>00552117</t>
  </si>
  <si>
    <t>MLCC - Creación de cuenta jview</t>
  </si>
  <si>
    <t>Se recibe información de que el usuario es ing en mantención, se le crea una cuenta de mantenimiento.</t>
  </si>
  <si>
    <t>09-17-2024  18:27:00</t>
  </si>
  <si>
    <t>00552146</t>
  </si>
  <si>
    <t>CNRT - Revisar C928 y C910 sin gps</t>
  </si>
  <si>
    <t>Se reinician de manera remota ambos equipos logrando recuperar el funcionamiento correcto de sus gps.</t>
  </si>
  <si>
    <t>9/16/2024 7:37 PM</t>
  </si>
  <si>
    <t>00552151</t>
  </si>
  <si>
    <t>CNDMH - Múltiples camiones desconectados</t>
  </si>
  <si>
    <t>Se revisa la conexión de carros repetidores de red LTE encontrándose en primera instancia con 3 desconectados y luego 4, se informa a personal de terreno y administrador de contrato Alberto Gallardo. durante la primera hora de la mañana personal en terreno realiza reinicio de Sarhm 8 recuperando a los minutos la conexión total con los equipos.</t>
  </si>
  <si>
    <t>9/16/2024 5:41 PM</t>
  </si>
  <si>
    <t>9/17/2024 9:36 PM</t>
  </si>
  <si>
    <t>00552152</t>
  </si>
  <si>
    <t>AMCEN - Revisión Pala 3 cambios de estado</t>
  </si>
  <si>
    <t>Se detectan los gps en floating, se realiza un reinicio remoto del equipo y limpieza de la base de datos para normalizar,mas que eso no tenía nada incorrecto por lo que se procede a monitorear su cambio de actividades y se genera correctamente sin interrupciones.</t>
  </si>
  <si>
    <t>9/17/2024 12:41 AM</t>
  </si>
  <si>
    <t>00552167</t>
  </si>
  <si>
    <t>MLCC - Revisar perforadora con pantalla pegada</t>
  </si>
  <si>
    <t>Se intenta revisar de manera remota el equipo pero no es posible debido a falta de comunicación. Se informa de esto para que pueda ser atendido en terreno.</t>
  </si>
  <si>
    <t>Jorge Gonzalez (Operador)</t>
  </si>
  <si>
    <t>00552175</t>
  </si>
  <si>
    <t>AMCEN - Revisión de pala 1</t>
  </si>
  <si>
    <t>Se realiza limpieza de la base de datos y reinicio del equipo para luego mantener monitoreo, determinando que quedó operando sin complicaciones.</t>
  </si>
  <si>
    <t>9/17/2024 12:42 AM</t>
  </si>
  <si>
    <t>00552176</t>
  </si>
  <si>
    <t>AMZAL - Revisar L13 aparece con transparencia en mineops</t>
  </si>
  <si>
    <t>Si bien en primera instancia equipo tenía problemas con gps bad point, se llegó a la conclusión de que la zona en que está operando podría presentar problemas ya que se realizaron acciones para recuperar gps sin éxito, terminando en la recomendación de revisarlo en terreno, sin embargo, a las horas después equipo está operando completamente ok sin problemas. Se mantendrá monitoreo</t>
  </si>
  <si>
    <t>9/17/2024 3:18 AM</t>
  </si>
  <si>
    <t>00552180</t>
  </si>
  <si>
    <t>AMCEN - Revisión C08 pantalla en negro</t>
  </si>
  <si>
    <t>Se realiza un reinicio del equipo logrando recuperar funcionamiento de la pantalla.</t>
  </si>
  <si>
    <t>9/17/2024 12:44 AM</t>
  </si>
  <si>
    <t>00552181</t>
  </si>
  <si>
    <t>AMCEN - Revisión C164 sin sistema</t>
  </si>
  <si>
    <t>En primera instancia, a pesar de contar con comunicación y ping, equipo no acepta conexión ssh por lo que se recomienda un corte de chapa lo cual permita acceso remoto para una revisión. Una vez revisado se ve todo ok.</t>
  </si>
  <si>
    <t>9/17/2024 3:20 AM</t>
  </si>
  <si>
    <t>00552193</t>
  </si>
  <si>
    <t>AMCEN - Revisar PA7 sin sistema</t>
  </si>
  <si>
    <t>Se realiza una limpieza de la base de datos y reinicio remoto del equipo, recuperando así el funcionamiento correcto de los gps y antenas.</t>
  </si>
  <si>
    <t>9/17/2024 3:27 AM</t>
  </si>
  <si>
    <t>00552198</t>
  </si>
  <si>
    <t>MLCC - Revisión D103 y D104</t>
  </si>
  <si>
    <t>Se hace revisión de equipos encontrando que solo la perforadora D103 tiene leves problemas con su GPS que la dejan unos min en floating, se avisa a personal 360 quien revisara la antena GPS1 en terreno.</t>
  </si>
  <si>
    <t>09-17-2024  12:44:00</t>
  </si>
  <si>
    <t>00552223</t>
  </si>
  <si>
    <t>MLCC - D101 no muestra malla 06P4325_111 ni 111B</t>
  </si>
  <si>
    <t>Se revisa el equipo y las mallas, en ambos casos ya aparecen operativas. Se comunica con Operador quien confirma que se cargaron bien.</t>
  </si>
  <si>
    <t>09-17-2024  12:45:00</t>
  </si>
  <si>
    <t>00552226</t>
  </si>
  <si>
    <t>CNDMH - Sumarizacion turno B del 16-09-2024 al 17-09-2024</t>
  </si>
  <si>
    <t>Se realiza la sumarizacion sin problemas.</t>
  </si>
  <si>
    <t>09-17-2024  16:55:00</t>
  </si>
  <si>
    <t>00552287</t>
  </si>
  <si>
    <t>MAGSA - Cambio uhp a core TK344</t>
  </si>
  <si>
    <t>Se revisa el equipo, el cual ya fue cambiado a core, se hace un ping vims estando todo ok.</t>
  </si>
  <si>
    <t>09-18-2024  16:44:00</t>
  </si>
  <si>
    <t>00552315</t>
  </si>
  <si>
    <t>MAGSA - Pala sh128 no muestra poligono en pantalla</t>
  </si>
  <si>
    <t>Se modifica la ubicación asociada al polígono recuperando la visualización.</t>
  </si>
  <si>
    <t>09-17-2024  18:18:00</t>
  </si>
  <si>
    <t>00552319</t>
  </si>
  <si>
    <t>MAGSA - Cambio uhp a core TD523</t>
  </si>
  <si>
    <t>Se revisan las configuraciones las cuales están correctas, el equipo sigue fuera de servicio , pero por parte de software todo esta correctamente y Kevin nos confirmo que Lex realizo la instalación en terreno de acuerdo a su informe.</t>
  </si>
  <si>
    <t>09-21-2024  19:51:00</t>
  </si>
  <si>
    <t>00552320</t>
  </si>
  <si>
    <t>MLCC - Creación cuenta jmineops para Franko Orellana</t>
  </si>
  <si>
    <t>Roberto Maldonado hace envío de los datos a la mesa de ayuda.</t>
  </si>
  <si>
    <t>09-18-2024  8:00:00</t>
  </si>
  <si>
    <t>00552323</t>
  </si>
  <si>
    <t>CNCHUQ - Creación de cuenta de usuario Mineops y revisión.</t>
  </si>
  <si>
    <t>Se deriva la creación con el ingeniero de terreno</t>
  </si>
  <si>
    <t>00552325</t>
  </si>
  <si>
    <t>AAM - Revisión de equipos Caex 83 por sistema OAS</t>
  </si>
  <si>
    <t>Se le da aviso a Despachador por llamada que personal Hexagon se encontrara en terreno el próximo lunes atendiendo sistema OAS en los equipos.</t>
  </si>
  <si>
    <t>09-17-2024  19:00:00</t>
  </si>
  <si>
    <t>00552327</t>
  </si>
  <si>
    <t>Monitoreo - CNCHUQ - Respaldo Base de datos.</t>
  </si>
  <si>
    <t>Se realiza desmonte y montaje de disco correctamente, La base de datos de Chuq queda respaldada.</t>
  </si>
  <si>
    <t>09-17-2024  17:45:00</t>
  </si>
  <si>
    <t>00552373</t>
  </si>
  <si>
    <t>CNRI - Revisar OAS del caex 347</t>
  </si>
  <si>
    <t>Se revisa el OAS del equipo encontrando todo normal, lo único que genera ruido es los pocos logs de salidas que tiene y al validar los eventos se puede previsualizar con problemas sensor. Se informa sobre esto a despachador para que puedan coordinar atención en terreno.</t>
  </si>
  <si>
    <t>John Boy (despacho)</t>
  </si>
  <si>
    <t>00552374</t>
  </si>
  <si>
    <t>AMCEN - Revisar C25 no concuerda</t>
  </si>
  <si>
    <t>Se reinicia de manera remota la base de datos interna del equipo y el equipo en sí, una vez volvió a levantar conversa correctamente la información de mapa mina con VNC.</t>
  </si>
  <si>
    <t>00552376</t>
  </si>
  <si>
    <t>AMCEN - Revisar C39 sin señal</t>
  </si>
  <si>
    <t>Se intenta revisar el equipo en primera instancia pero no existe comunicación, mientras tanto se puede observar que el equipo está en estado demora baño por lo que se asume se le cortó chapa. Al volver a levantar equipo tiene sus sensores en buen estado y opera correctamente.</t>
  </si>
  <si>
    <t>00552392</t>
  </si>
  <si>
    <t>AMANT - Reporte ejecutivo no se carga</t>
  </si>
  <si>
    <t>Se revisa el informe el cual carga correctamente, de todas formas se reinician los servicios sql , se vuelven a probar los informes en las carpetas de despachador y de planificador, funcionando ambos de forma correcta.</t>
  </si>
  <si>
    <t>00552409</t>
  </si>
  <si>
    <t>9/18/2024 17:51</t>
  </si>
  <si>
    <t>00552423</t>
  </si>
  <si>
    <t>MAGSA - Cambio uhp a core TK377</t>
  </si>
  <si>
    <t>Se realizan las modificaciones solicitadas.</t>
  </si>
  <si>
    <t>9/19/2024 18:36</t>
  </si>
  <si>
    <t>00552424</t>
  </si>
  <si>
    <t>MAGSA - Pala 128 no ve los poligonos</t>
  </si>
  <si>
    <t>Se detecta que los polígonos están mal asignados a la ubicación , le tienen puesta la región donde debería ir la ubicación donde esta trabajando la pala, se corrige de forma manual y se le indica a Kevin cual es el problema raíz.</t>
  </si>
  <si>
    <t>9/18/2024 18:10</t>
  </si>
  <si>
    <t>00552442</t>
  </si>
  <si>
    <t>CNDMH - Camion 728 actualizar version</t>
  </si>
  <si>
    <t>Se realiza la actualizacion solicitada.</t>
  </si>
  <si>
    <t>9/18/2024 15:44</t>
  </si>
  <si>
    <t>Francisco Farias</t>
  </si>
  <si>
    <t>00552462</t>
  </si>
  <si>
    <t>CNDMH - Camion 735 actualizar versión</t>
  </si>
  <si>
    <t>9/18/2024 17:23</t>
  </si>
  <si>
    <t>00552500</t>
  </si>
  <si>
    <t>Monitoreo - AMCEN - Importador pegado</t>
  </si>
  <si>
    <t>Se visualiza que el Dibujo Hazard ya fue subido al sistema, por lo que se elimina el proceso y se mueve a la carpeta save.</t>
  </si>
  <si>
    <t>9/18/2024 22:39</t>
  </si>
  <si>
    <t>00552501</t>
  </si>
  <si>
    <t>AMANT - Sumarizar dia 18-09-2024</t>
  </si>
  <si>
    <t>Se realiza la sumarizacion desde el día 17 de Septiembre visualizando los datos faltantes correctamente.</t>
  </si>
  <si>
    <t>9/18/2024 21:12</t>
  </si>
  <si>
    <t>00552502</t>
  </si>
  <si>
    <t>CNCHUQ - Problema Reporte Excel</t>
  </si>
  <si>
    <t>Derivado al ingeniero en terreno.</t>
  </si>
  <si>
    <t>9/19/2024 20:16</t>
  </si>
  <si>
    <t>Jose Monsalve</t>
  </si>
  <si>
    <t>00552504</t>
  </si>
  <si>
    <t>El equipo se encontraba sin conexión al inicio, luego de que Freddy moviera unos carros de comunicación en dirección hacia el cargador frontal, este presento buena comunicación con el servidor.</t>
  </si>
  <si>
    <t>9/19/2024 20:48</t>
  </si>
  <si>
    <t>00552505</t>
  </si>
  <si>
    <t>AMCEN - Revisión Perforadoras.</t>
  </si>
  <si>
    <t>Se revisan todas las perforadoras las cuales se encontraban trabajando de manera correcta, el problema se presento debido a alguna actividad electromagnética la cual influyo en el GPS de los equipos por un momento.</t>
  </si>
  <si>
    <t>9/19/2024 00:07</t>
  </si>
  <si>
    <t>00552506</t>
  </si>
  <si>
    <t>AMZAL - Revisión Servidor</t>
  </si>
  <si>
    <t>Se visualiza todo normal en el servidor, por lo que se intuye que es un problema de red el cual afecta a Isaac, ya que el MineOps funciona de manera correcta en el escritorio remoto.</t>
  </si>
  <si>
    <t>9/19/2024 07:34</t>
  </si>
  <si>
    <t>00552507</t>
  </si>
  <si>
    <t>AMCEN - Revisión Perforadora</t>
  </si>
  <si>
    <r>
      <t>Se revisa la perforadora la cual presenta los mismos problemas que las vista anteriormente, tomar como referencia el ticket </t>
    </r>
    <r>
      <rPr>
        <b/>
        <sz val="11"/>
        <color rgb="FF444444"/>
        <rFont val="-Apple-System"/>
        <charset val="1"/>
      </rPr>
      <t>00552505, </t>
    </r>
    <r>
      <rPr>
        <sz val="11"/>
        <color rgb="FF444444"/>
        <rFont val="-Apple-System"/>
        <charset val="1"/>
      </rPr>
      <t>esto va relacionado con la actividad solar presentada.</t>
    </r>
  </si>
  <si>
    <t>9/19/2024 03:13</t>
  </si>
  <si>
    <t>00552508</t>
  </si>
  <si>
    <t>AMCEN - Revisión CAEX C16</t>
  </si>
  <si>
    <t>En un inicio no se podía visualizar el VNC del equipo, por lo que se reincida y luego vuelve con su correcto funcionamiento.</t>
  </si>
  <si>
    <t>00552512</t>
  </si>
  <si>
    <t>CNCHUQ - Revision Perforadora PE362</t>
  </si>
  <si>
    <t>Luego de solucionar el problema eléctrico, el equipo queda trabajando correctamente.</t>
  </si>
  <si>
    <t>9/19/2024 08:14</t>
  </si>
  <si>
    <t>00552520</t>
  </si>
  <si>
    <t>MAGSA - Cambio uhp a core WD556</t>
  </si>
  <si>
    <t>9/19/2024 09:14</t>
  </si>
  <si>
    <t>Kevin  Hxgn</t>
  </si>
  <si>
    <t>00552524</t>
  </si>
  <si>
    <t>CNDMH - Actualizar equipos</t>
  </si>
  <si>
    <t>Se modifican todos los equipos y posteriormente también nos solicita actualizar el C730.</t>
  </si>
  <si>
    <t>9/19/2024 10:25</t>
  </si>
  <si>
    <t>9/19/2024 19:00</t>
  </si>
  <si>
    <t>00552565</t>
  </si>
  <si>
    <t>AMZAL - Sumarizacion 10 al 17 de septiembre</t>
  </si>
  <si>
    <t>9/19/2024 17:25</t>
  </si>
  <si>
    <t>9/19/2024 18:12</t>
  </si>
  <si>
    <t>00552577</t>
  </si>
  <si>
    <t>MLCC - C325 sin comunicacion</t>
  </si>
  <si>
    <t>La situacion se mantiene durante la noche, teniendo mucha perdida de datos, se le indica a Cristian que lo deben revisar nuevamente en terreno</t>
  </si>
  <si>
    <t>9/19/2024 18:34</t>
  </si>
  <si>
    <t>9/20/2024 08:54</t>
  </si>
  <si>
    <t>00552580</t>
  </si>
  <si>
    <t>Se modifica la ubicación del polígono de forma manual.</t>
  </si>
  <si>
    <t>9/19/2024 19:39</t>
  </si>
  <si>
    <t>9/19/2024 19:44</t>
  </si>
  <si>
    <t>00552600</t>
  </si>
  <si>
    <t>AMZAL - Revisión H33</t>
  </si>
  <si>
    <t>No hay comunicacion con el equipo.</t>
  </si>
  <si>
    <t>9/19/2024 22:15</t>
  </si>
  <si>
    <t>9/20/2024 11:26</t>
  </si>
  <si>
    <t>00552602</t>
  </si>
  <si>
    <t>CNRI - Revisión OAS CAEX CE347</t>
  </si>
  <si>
    <t>Se solicita la revisión del equipo en terreno, ya que el sensor no esta mostrando datos legibles.</t>
  </si>
  <si>
    <t>9/20/2024 00:22</t>
  </si>
  <si>
    <t>9/20/2024 01:09</t>
  </si>
  <si>
    <t>00552603</t>
  </si>
  <si>
    <t>CNDMH - Revisión GPS CAEX C350</t>
  </si>
  <si>
    <t>Se reinicia el equipo recuperando su señal GPS y funcionamiento correctamente.</t>
  </si>
  <si>
    <t>9/20/2024 01:50</t>
  </si>
  <si>
    <t>9/20/2024 02:16</t>
  </si>
  <si>
    <t>00552604</t>
  </si>
  <si>
    <t>CNDMH - Revisión GPS CAEX C734</t>
  </si>
  <si>
    <t>El equipo tiene problemas a la hora de iniciar el JAMS, se sospecha que es problema con el sahrm. Sera revisado en terreno.</t>
  </si>
  <si>
    <t>00552612</t>
  </si>
  <si>
    <t>CNCHUQ - Revision Pala PA894</t>
  </si>
  <si>
    <t>Se reinicia el equipo recuperando así su señal GPS y correcto funcionamiento.</t>
  </si>
  <si>
    <t>9/20/2024 04:15</t>
  </si>
  <si>
    <t>9/20/2024 05:29</t>
  </si>
  <si>
    <t>00552613</t>
  </si>
  <si>
    <t>CNDMH - Revisión Perforadora F102</t>
  </si>
  <si>
    <t>Al revisar la perforadora, nos percatamos que no tiene señal en su segunda antena GPS. Este sera revisado en terreno.</t>
  </si>
  <si>
    <t>9/20/2024 04:55</t>
  </si>
  <si>
    <t>9/20/2024 09:21</t>
  </si>
  <si>
    <t>Alex Tecnico</t>
  </si>
  <si>
    <t>00552614</t>
  </si>
  <si>
    <t>CNDMH - Revisión Perforadora FD112</t>
  </si>
  <si>
    <t>Al revisar la perforadora FD112 nos encontramos que no esta recibiendo señal GPS de su antena 2. Similar a la perforadora F102 del ticket: 00552613. Al revisar la perforadora, nos percatamos que no tiene señal en su segunda antena GPS. Este sera revisado en terreno.</t>
  </si>
  <si>
    <t>00552622</t>
  </si>
  <si>
    <t>CNDMH - Camiones sin estado produccion</t>
  </si>
  <si>
    <t>Se le agrega el estado solicitado a la flota de los camiones que no los tenían activados, se llama a Luis, quien nos confirma que ya puede asignar el estado.</t>
  </si>
  <si>
    <t>9/20/2024 09:13</t>
  </si>
  <si>
    <t>00552623</t>
  </si>
  <si>
    <t>MLCC - Equipos sin GPS</t>
  </si>
  <si>
    <t xml:space="preserve">Se revisan ambos equipos, a la espera que la P202 tenga conexión , en el caso de la P210, esta tiene problemas con su antena N°1 la cual entrega calidades en 0
La P202 sigue con problemas de comunicación, por lo que es imposible revisar el equipo, se habla con Cristian quien esta al tanto de la situación. </t>
  </si>
  <si>
    <t>9/20/2024 11:06</t>
  </si>
  <si>
    <t>9/20/2024 18:54</t>
  </si>
  <si>
    <t>00552638</t>
  </si>
  <si>
    <t>CNDMH - F102 problemas con su GPS</t>
  </si>
  <si>
    <t>Se revisa el equipo, el cual tiene su gps trabajando correctamente.</t>
  </si>
  <si>
    <t>9/20/2024 12:02</t>
  </si>
  <si>
    <t>9/20/2024 18:56</t>
  </si>
  <si>
    <t>00552644</t>
  </si>
  <si>
    <t>9/20/2024 13:05</t>
  </si>
  <si>
    <t>9/20/2024 19:35</t>
  </si>
  <si>
    <t>00552652</t>
  </si>
  <si>
    <t>CNDMH - P206 - R504</t>
  </si>
  <si>
    <t>Se revisan ambos equipos, la P206 se reinicia, mejorando así su conexión, en el caso del R504 esta en una mala ubicación, esto confirmado por Cristian, a quien le indicamos que ese es el motivo por el cual no levanta el JAMS.</t>
  </si>
  <si>
    <t>9/20/2024 17:44</t>
  </si>
  <si>
    <t>9/20/2024 19:24</t>
  </si>
  <si>
    <t>00552653</t>
  </si>
  <si>
    <t>AMANT - Revisar Bull 3</t>
  </si>
  <si>
    <t>Se revisan las configuraciones del equipo, las cuales estan correctas, Angelo nos indica que era mas que anda para salir de dudas y que el equipo ya esta trabajando de forma normal.</t>
  </si>
  <si>
    <t>9/20/2024 18:03</t>
  </si>
  <si>
    <t>9/20/2024 18:45</t>
  </si>
  <si>
    <t>00552668</t>
  </si>
  <si>
    <t>AMZAL - Revisión L13</t>
  </si>
  <si>
    <t>Luego de mover los carros de comunicación en dirección al equipo, este queda funcionando correctamente.</t>
  </si>
  <si>
    <t>9/20/2024 20:19</t>
  </si>
  <si>
    <t>9/20/2024 20:58</t>
  </si>
  <si>
    <t>00552671</t>
  </si>
  <si>
    <t>CNRT - Revisión Pala PA205</t>
  </si>
  <si>
    <t>Se ingresa al sahrm del equipo en donde bajamos y subimos los puertos para el FMS, logrando así volver a tener comunicación y un correcto funcionamiento.</t>
  </si>
  <si>
    <t>9/20/2024 23:53</t>
  </si>
  <si>
    <t>9/21/2024 00:01</t>
  </si>
  <si>
    <t>00552676</t>
  </si>
  <si>
    <t>AMZAL - Problemas Cota L13</t>
  </si>
  <si>
    <t>Se modifica la cota del STO-HG con lo que se logra reducir la diferencia de cota entre estos. Después de esto el equipo se visualiza trabajando de manera correcta en la Ubicación actual.</t>
  </si>
  <si>
    <t>9/21/2024 01:23</t>
  </si>
  <si>
    <t>9/21/2024 07:33</t>
  </si>
  <si>
    <t>00552677</t>
  </si>
  <si>
    <t>CNDMH - Revisión CAEX C734</t>
  </si>
  <si>
    <t>Al revisar el equipo nos percatamos que tiene la versión nueva pero se le realizo el cambio a la pantalla antigua, por lo que se le modifica la versión del JAMS a la 2.8-002.020 y el equipo queda funcionando correctamente después del cambio.</t>
  </si>
  <si>
    <t>9/21/2024 05:03</t>
  </si>
  <si>
    <t>9/21/2024 05:19</t>
  </si>
  <si>
    <t>Alex</t>
  </si>
  <si>
    <t>00552681</t>
  </si>
  <si>
    <t>AMCEN - Revisión CAEX C50</t>
  </si>
  <si>
    <t>Se realiza un reinicio del equipo y este vuelve a recuperar su correcto funcionamiento.</t>
  </si>
  <si>
    <t>9/21/2024 02:41</t>
  </si>
  <si>
    <t>9/21/2024 02:50</t>
  </si>
  <si>
    <t>00552682</t>
  </si>
  <si>
    <t>AMCEN - Revisión Perforadora PE66</t>
  </si>
  <si>
    <t>No se logra tener comunicación con el equipo.</t>
  </si>
  <si>
    <t>9/21/2024 07:22</t>
  </si>
  <si>
    <t>00552685</t>
  </si>
  <si>
    <t>MAGSA - Cargador 230 actualizacion</t>
  </si>
  <si>
    <t>9/21/2024 08:17</t>
  </si>
  <si>
    <t>00552686</t>
  </si>
  <si>
    <t>MLCC - Palas sin GPS</t>
  </si>
  <si>
    <t>Se monitorean ambas palas, las cuales tenian su gps trabajando de forma normal.</t>
  </si>
  <si>
    <t>9/21/2024 09:01</t>
  </si>
  <si>
    <t>9/21/2024 09:44</t>
  </si>
  <si>
    <t>00552687</t>
  </si>
  <si>
    <t>AMZAL - H33 exceso de velocidad</t>
  </si>
  <si>
    <t>Se rescata la información solicitada por Mario, y se detecta que el exceso de velocidad fue provocado por un problema en el gps.</t>
  </si>
  <si>
    <t>9/21/2024 09:10</t>
  </si>
  <si>
    <t>9/21/2024 10:07</t>
  </si>
  <si>
    <t>00552694</t>
  </si>
  <si>
    <t>CNRI - Velocidades camión 104</t>
  </si>
  <si>
    <t>Se entrega la informacion solicitada.</t>
  </si>
  <si>
    <t>9/21/2024 12:25</t>
  </si>
  <si>
    <t>9/21/2024 16:16</t>
  </si>
  <si>
    <t>00552696</t>
  </si>
  <si>
    <t>MAGSA - Camión 364 cambiar los devices</t>
  </si>
  <si>
    <t>Se cambian los devices y el equipo queda configurado correctamente.</t>
  </si>
  <si>
    <t>9/21/2024 13:27</t>
  </si>
  <si>
    <t>9/21/2024 13:54</t>
  </si>
  <si>
    <t>00552704</t>
  </si>
  <si>
    <t>Se revisa la situación, pero al momento de ingresar , nuestro mineops sigue abierto, lo cierro para volver a entrar y este carga sin problemas, llamo a Sebastian , quien me confirma que también tienen acceso, pero se quedo pegado unos minutos, se le consulta si habrán tenido algún problema de red, y queda de consultar, por nuestro lado queda el compromiso de todas formas de revisar el servidor.</t>
  </si>
  <si>
    <t>9/21/2024 17:24</t>
  </si>
  <si>
    <t>9/21/2024 17:32</t>
  </si>
  <si>
    <t>00552705</t>
  </si>
  <si>
    <t>CNDMH - C351 sin comunicacion</t>
  </si>
  <si>
    <t>Se revisa el equipo, el cual si tenia comunicación ,pero su icono de red estaba en gris y sin ninguna barra, se le actualiza la versión del JAMS, y queda solucionado.</t>
  </si>
  <si>
    <t>9/21/2024 17:44</t>
  </si>
  <si>
    <t>9/21/2024 18:12</t>
  </si>
  <si>
    <t>00552718</t>
  </si>
  <si>
    <t>AMCEN - Revisión perforadoras PE3 y PE4</t>
  </si>
  <si>
    <t>El problema de con los GPS se debia a actividad geomagnetica, por lo que pasado el centelleo visualizado mediante la plataforma NOAA, el equipo volvio a la normalidad.</t>
  </si>
  <si>
    <t>9/21/2024 21:23</t>
  </si>
  <si>
    <t>9/21/2024 23:49</t>
  </si>
  <si>
    <t>00552719</t>
  </si>
  <si>
    <t>AMZAL - Revisión perforadoras D15 y D16</t>
  </si>
  <si>
    <t>9/21/2024 21:36</t>
  </si>
  <si>
    <t>9/22/2024 02:28</t>
  </si>
  <si>
    <t>00552720</t>
  </si>
  <si>
    <t>CNDMH - Revisión Perforadora FD111</t>
  </si>
  <si>
    <t>9/21/2024 23:11</t>
  </si>
  <si>
    <t>9/21/2024 23:33</t>
  </si>
  <si>
    <t>00552721</t>
  </si>
  <si>
    <t>Se reinicia el equipo, tanto su core como pantalla y asi se recupera la conexion con la antena 2.</t>
  </si>
  <si>
    <t>9/22/2024 01:30</t>
  </si>
  <si>
    <t>9/22/2024 02:04</t>
  </si>
  <si>
    <t>00552740</t>
  </si>
  <si>
    <t>Se detiene la replica de datos, puesto que el run2 se demora en terminar, una vez este finaliza, se vuelve a ejecutar de forma manual un par de veces, cuando termina en el tiempo correspondiente, se vuelve a dejar por crontab, funcionando correctamente.</t>
  </si>
  <si>
    <t>9/22/2024 10:22</t>
  </si>
  <si>
    <t>9/22/2024 13:12</t>
  </si>
  <si>
    <t>00552741</t>
  </si>
  <si>
    <t>9/22/2024 11:12</t>
  </si>
  <si>
    <t>9/22/2024 19:05</t>
  </si>
  <si>
    <t>00552750</t>
  </si>
  <si>
    <t>MLCC - Pala 202 cargando Oxido</t>
  </si>
  <si>
    <t>Se revisa la pala , la cual estaba trabajando entre un bloque de oxido y uno de lastre, se revisa el trabajo del operador, el cual en multiples ocasiones saca material del oxido, por lo que esta correcto el funcionamiento del sistema , se llama a Mauricio para explicarle lo que ocurre y nos entiende perfectamente.</t>
  </si>
  <si>
    <t>9/22/2024 16:08</t>
  </si>
  <si>
    <t>9/22/2024 16:25</t>
  </si>
  <si>
    <t>00552773</t>
  </si>
  <si>
    <t>MLCC - Sumarizar Septiembre</t>
  </si>
  <si>
    <t>Se sumariza correctamente y se corrobora con Alejandro Larenas la informacion.</t>
  </si>
  <si>
    <t>9/22/2024 19:43</t>
  </si>
  <si>
    <t>9/22/2024 21:53</t>
  </si>
  <si>
    <t>00552791</t>
  </si>
  <si>
    <t>CNDMH - Revisión Equipos Servidor</t>
  </si>
  <si>
    <t>Se revisa los Logs del JAMS, junto con el tiempo conectado de los equipos pero se encuentra todo funcionando correctamente, incluso los minutos de los equipos conectados son superior al lapso de tiempo en el que nos comenta Adrian Leiva.</t>
  </si>
  <si>
    <t>9/22/2024 20:37</t>
  </si>
  <si>
    <t>9/22/2024 20:52</t>
  </si>
  <si>
    <t>00552803</t>
  </si>
  <si>
    <t xml:space="preserve">
AMCEN - Sin Acceso MineEnterprise</t>
  </si>
  <si>
    <t>Se reinician los servicios de sharperlight y relacionados, solucionando asi el problema de la no visualizacion de las opciones para descargar las tablas y/o informes.</t>
  </si>
  <si>
    <t>9/23/2024 01:36</t>
  </si>
  <si>
    <t>9/23/2024 03:51</t>
  </si>
  <si>
    <t>00552836</t>
  </si>
  <si>
    <t>CNDMH - Revisión CAEX C376</t>
  </si>
  <si>
    <t>La primera vez que el problema se presenta, se reinicia tanto su core como VNC y se recupera la señal GPS, luego de unos minutos esta vuelve a perdese por lo que sera revisado con personal de terreno.</t>
  </si>
  <si>
    <t>9/23/2024 06:01</t>
  </si>
  <si>
    <t>9/23/2024 06:46</t>
  </si>
  <si>
    <t>ESTADO</t>
  </si>
  <si>
    <t>INGENIEROS</t>
  </si>
  <si>
    <t>MINAS</t>
  </si>
  <si>
    <t>EMPRESA</t>
  </si>
  <si>
    <t>Hugo Carvajal Centinela</t>
  </si>
  <si>
    <t xml:space="preserve">              Tickets Soporte Remoto</t>
  </si>
  <si>
    <t>Tickets del día</t>
  </si>
  <si>
    <t>Tickets del mes</t>
  </si>
  <si>
    <t>09-13-2024 3:36</t>
  </si>
  <si>
    <t xml:space="preserve">09-13-2024 10:09 </t>
  </si>
  <si>
    <t>09-14-2024  9:13</t>
  </si>
  <si>
    <t xml:space="preserve">09-13-2024 11:48 </t>
  </si>
  <si>
    <t xml:space="preserve">09-13-2024 19:15 </t>
  </si>
  <si>
    <t xml:space="preserve">09-13-2024 19:52 </t>
  </si>
  <si>
    <t xml:space="preserve">09-14-2024 12:24 </t>
  </si>
  <si>
    <t xml:space="preserve">09-14-2024 12:25 </t>
  </si>
  <si>
    <t xml:space="preserve">09-14-2024 12:26 </t>
  </si>
  <si>
    <t>09-14-2024  18:47</t>
  </si>
  <si>
    <t>09-15-2024  10:31</t>
  </si>
  <si>
    <t>09-15-2024  14:45</t>
  </si>
  <si>
    <t>09-15-2024  16:17</t>
  </si>
  <si>
    <t>09-15-2024  18:21</t>
  </si>
  <si>
    <t xml:space="preserve">09-14-2024 16:58 </t>
  </si>
  <si>
    <t xml:space="preserve">09-14-2024 16:59 </t>
  </si>
  <si>
    <t xml:space="preserve">09-14-2024 18:01 </t>
  </si>
  <si>
    <t xml:space="preserve">09-14-2024 18:03 </t>
  </si>
  <si>
    <t xml:space="preserve">09-14-2024 21:05 </t>
  </si>
  <si>
    <t xml:space="preserve">09-14-2024 21:06 </t>
  </si>
  <si>
    <t xml:space="preserve">09-15-2024 12:15 </t>
  </si>
  <si>
    <t xml:space="preserve">09-15-2024 12:16 </t>
  </si>
  <si>
    <t>09-17-2024  15:36</t>
  </si>
  <si>
    <t>09-17-2024  10:45</t>
  </si>
  <si>
    <t>09-17-2024  10:55</t>
  </si>
  <si>
    <t>09-17-2024  15:11</t>
  </si>
  <si>
    <t>09-17-2024  16:19</t>
  </si>
  <si>
    <t>09-17-2024  16:51</t>
  </si>
  <si>
    <t>09-17-2024  16:58</t>
  </si>
  <si>
    <t>09-17-2024  18:13</t>
  </si>
  <si>
    <t xml:space="preserve">09-15-2024 21:18 </t>
  </si>
  <si>
    <t>09-16-2024  21:01</t>
  </si>
  <si>
    <t>09-16-2024  10:00</t>
  </si>
  <si>
    <t>09-16-2024  15:36</t>
  </si>
  <si>
    <t xml:space="preserve">09-16-2024 16:50 </t>
  </si>
  <si>
    <t xml:space="preserve">09-16-2024 17:43 </t>
  </si>
  <si>
    <t xml:space="preserve">09-16-2024 19:29 </t>
  </si>
  <si>
    <t xml:space="preserve">09-16-2024 21:43 </t>
  </si>
  <si>
    <t xml:space="preserve">09-16-2024 22:14 </t>
  </si>
  <si>
    <t xml:space="preserve">09-16-2024 22:59 </t>
  </si>
  <si>
    <t xml:space="preserve">09-16-2024 23:00 </t>
  </si>
  <si>
    <t xml:space="preserve">09-17-2024 2:50 </t>
  </si>
  <si>
    <t>09-17-2024  18:32</t>
  </si>
  <si>
    <t>09-17-2024  17:02</t>
  </si>
  <si>
    <t>09-18-2024 1:03</t>
  </si>
  <si>
    <t xml:space="preserve">09-18-2024 1:04 </t>
  </si>
  <si>
    <t xml:space="preserve">09-18-2024 2:08 </t>
  </si>
  <si>
    <t>09-18-2024 10:51</t>
  </si>
  <si>
    <t>09-18-2024 11:43</t>
  </si>
  <si>
    <t>09-18-2024 09:43</t>
  </si>
  <si>
    <t>09-18-2024 14:59</t>
  </si>
  <si>
    <t>09-18-2024 15:18</t>
  </si>
  <si>
    <t>09-18-2024 16:50</t>
  </si>
  <si>
    <t>09-18-2024 20:03</t>
  </si>
  <si>
    <t>09-18-2024 20:35</t>
  </si>
  <si>
    <t>09/18/2024 22:23</t>
  </si>
  <si>
    <t>09/18/2024 20:19</t>
  </si>
  <si>
    <t>09/18/2024 23:59</t>
  </si>
  <si>
    <t>09/19/2024 00:38</t>
  </si>
  <si>
    <t>09/19/2024 03:01</t>
  </si>
  <si>
    <t>09/19/2024 04:04</t>
  </si>
  <si>
    <t>09/19/2024 08:10</t>
  </si>
  <si>
    <t xml:space="preserve">09-18-2024 2:09 </t>
  </si>
  <si>
    <t>09-18-2024 2:10</t>
  </si>
  <si>
    <t xml:space="preserve">09-18-2024 3:15 </t>
  </si>
  <si>
    <t>09/182024 11:34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</si>
</sst>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mm/dd/yyyy\ h:mm"/>
  </numFmts>
  <fonts count="19">
    <font>
      <sz val="11"/>
      <color theme="1"/>
      <name val="Calibri"/>
      <family val="2"/>
      <scheme val="minor"/>
    </font>
    <font>
      <sz val="11"/>
      <color theme="1"/>
      <name val="Calibri"/>
      <scheme val="minor"/>
    </font>
    <font>
      <b/>
      <sz val="11"/>
      <color theme="0"/>
      <name val="Calibri"/>
      <family val="2"/>
      <scheme val="minor"/>
    </font>
    <font>
      <sz val="11"/>
      <color rgb="FF000000"/>
      <name val="Calibri"/>
      <family val="2"/>
      <scheme val="minor"/>
    </font>
    <font>
      <sz val="10.5"/>
      <color rgb="FF000000"/>
      <name val="Calibri"/>
      <family val="2"/>
    </font>
    <font>
      <u/>
      <sz val="11"/>
      <color theme="10"/>
      <name val="Calibri"/>
      <family val="2"/>
      <scheme val="minor"/>
    </font>
    <font>
      <sz val="11"/>
      <color rgb="FF000000"/>
      <name val="Calibri"/>
      <family val="2"/>
      <charset val="1"/>
    </font>
    <font>
      <sz val="11"/>
      <color theme="1"/>
      <name val="Inherit"/>
      <charset val="1"/>
    </font>
    <font>
      <sz val="10"/>
      <color theme="1"/>
      <name val="Aptos"/>
      <family val="2"/>
      <charset val="1"/>
    </font>
    <font>
      <sz val="10"/>
      <color rgb="FF444444"/>
      <name val="-Apple-System"/>
      <charset val="1"/>
    </font>
    <font>
      <sz val="11"/>
      <color rgb="FF444444"/>
      <name val="-Apple-System"/>
      <charset val="1"/>
    </font>
    <font>
      <sz val="11"/>
      <color rgb="FF181818"/>
      <name val="-Apple-System"/>
      <charset val="1"/>
    </font>
    <font>
      <sz val="10"/>
      <color rgb="FF080707"/>
      <name val="-Apple-System"/>
      <charset val="1"/>
    </font>
    <font>
      <sz val="11"/>
      <color rgb="FF000000"/>
      <name val="Calibri"/>
      <charset val="1"/>
    </font>
    <font>
      <sz val="11"/>
      <color theme="0"/>
      <name val="Calibri"/>
      <family val="2"/>
      <scheme val="minor"/>
    </font>
    <font>
      <sz val="11"/>
      <color theme="0"/>
      <name val="Amasis MT Pro Black"/>
      <family val="1"/>
    </font>
    <font>
      <sz val="11"/>
      <color theme="1"/>
      <name val="Amasis MT Pro Black"/>
      <family val="1"/>
    </font>
    <font>
      <b/>
      <sz val="16"/>
      <color theme="1"/>
      <name val="Amasis MT Pro Black"/>
      <family val="1"/>
    </font>
    <font>
      <b/>
      <sz val="11"/>
      <color rgb="FF444444"/>
      <name val="-Apple-System"/>
      <charset val="1"/>
    </font>
  </fonts>
  <fills count="13">
    <fill>
      <patternFill patternType="none"/>
    </fill>
    <fill>
      <patternFill patternType="gray125"/>
    </fill>
    <fill>
      <patternFill patternType="solid">
        <fgColor theme="4"/>
        <bgColor theme="4"/>
      </patternFill>
    </fill>
    <fill>
      <patternFill patternType="solid">
        <fgColor theme="8"/>
        <bgColor theme="8"/>
      </patternFill>
    </fill>
    <fill>
      <patternFill patternType="solid">
        <fgColor rgb="FFD9E1F2"/>
        <bgColor indexed="64"/>
      </patternFill>
    </fill>
    <fill>
      <patternFill patternType="solid">
        <fgColor theme="4" tint="0.79998168889431442"/>
        <bgColor theme="4" tint="0.79998168889431442"/>
      </patternFill>
    </fill>
    <fill>
      <patternFill patternType="solid">
        <fgColor theme="4" tint="0.79998168889431442"/>
        <bgColor indexed="65"/>
      </patternFill>
    </fill>
    <fill>
      <patternFill patternType="solid">
        <fgColor rgb="FFFFFFFF"/>
        <bgColor indexed="64"/>
      </patternFill>
    </fill>
    <fill>
      <patternFill patternType="solid">
        <fgColor theme="8" tint="-0.249977111117893"/>
        <bgColor indexed="64"/>
      </patternFill>
    </fill>
    <fill>
      <patternFill patternType="solid">
        <fgColor theme="8" tint="-0.249977111117893"/>
        <bgColor theme="8"/>
      </patternFill>
    </fill>
    <fill>
      <patternFill patternType="solid">
        <fgColor theme="8" tint="-0.249977111117893"/>
        <bgColor theme="4"/>
      </patternFill>
    </fill>
    <fill>
      <patternFill patternType="solid">
        <fgColor theme="0"/>
        <bgColor indexed="64"/>
      </patternFill>
    </fill>
    <fill>
      <patternFill patternType="solid">
        <fgColor theme="1" tint="0.34998626667073579"/>
        <bgColor indexed="64"/>
      </patternFill>
    </fill>
  </fills>
  <borders count="35">
    <border>
      <left/>
      <right/>
      <top/>
      <bottom/>
      <diagonal/>
    </border>
    <border>
      <left style="thin">
        <color rgb="FF000000"/>
      </left>
      <right/>
      <top style="thin">
        <color rgb="FF000000"/>
      </top>
      <bottom/>
      <diagonal/>
    </border>
    <border>
      <left style="thin">
        <color rgb="FF000000"/>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theme="4" tint="0.39997558519241921"/>
      </bottom>
      <diagonal/>
    </border>
    <border>
      <left style="thin">
        <color indexed="64"/>
      </left>
      <right style="thin">
        <color indexed="64"/>
      </right>
      <top/>
      <bottom/>
      <diagonal/>
    </border>
    <border>
      <left style="thin">
        <color rgb="FF000000"/>
      </left>
      <right/>
      <top style="thin">
        <color indexed="64"/>
      </top>
      <bottom style="thin">
        <color theme="4" tint="0.39997558519241921"/>
      </bottom>
      <diagonal/>
    </border>
    <border>
      <left style="thin">
        <color rgb="FF000000"/>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theme="4" tint="0.39997558519241921"/>
      </bottom>
      <diagonal/>
    </border>
    <border>
      <left style="thin">
        <color rgb="FF000000"/>
      </left>
      <right/>
      <top style="thin">
        <color rgb="FF000000"/>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
      <left style="thin">
        <color indexed="64"/>
      </left>
      <right style="thin">
        <color rgb="FF000000"/>
      </right>
      <top style="thin">
        <color theme="4" tint="0.39997558519241921"/>
      </top>
      <bottom style="thin">
        <color theme="4" tint="0.39997558519241921"/>
      </bottom>
      <diagonal/>
    </border>
    <border>
      <left style="thin">
        <color indexed="64"/>
      </left>
      <right style="thin">
        <color rgb="FF000000"/>
      </right>
      <top style="thin">
        <color indexed="64"/>
      </top>
      <bottom style="thin">
        <color theme="4" tint="0.39997558519241921"/>
      </bottom>
      <diagonal/>
    </border>
    <border>
      <left style="thin">
        <color rgb="FF000000"/>
      </left>
      <right style="thin">
        <color rgb="FF000000"/>
      </right>
      <top style="thin">
        <color indexed="64"/>
      </top>
      <bottom style="thin">
        <color theme="4" tint="0.39997558519241921"/>
      </bottom>
      <diagonal/>
    </border>
    <border>
      <left style="thin">
        <color indexed="64"/>
      </left>
      <right/>
      <top style="thin">
        <color theme="4" tint="0.39997558519241921"/>
      </top>
      <bottom style="thin">
        <color theme="4" tint="0.39997558519241921"/>
      </bottom>
      <diagonal/>
    </border>
    <border>
      <left/>
      <right/>
      <top style="thin">
        <color indexed="64"/>
      </top>
      <bottom style="thin">
        <color theme="4" tint="0.39997558519241921"/>
      </bottom>
      <diagonal/>
    </border>
    <border>
      <left style="thin">
        <color rgb="FF000000"/>
      </left>
      <right style="thin">
        <color rgb="FF000000"/>
      </right>
      <top style="thin">
        <color rgb="FF000000"/>
      </top>
      <bottom style="thin">
        <color theme="4" tint="0.39997558519241921"/>
      </bottom>
      <diagonal/>
    </border>
    <border>
      <left style="thin">
        <color indexed="64"/>
      </left>
      <right style="thin">
        <color indexed="64"/>
      </right>
      <top style="thin">
        <color theme="4" tint="0.39997558519241921"/>
      </top>
      <bottom style="thin">
        <color indexed="64"/>
      </bottom>
      <diagonal/>
    </border>
    <border>
      <left style="thin">
        <color indexed="64"/>
      </left>
      <right style="thin">
        <color rgb="FF000000"/>
      </right>
      <top style="thin">
        <color rgb="FF000000"/>
      </top>
      <bottom style="thin">
        <color rgb="FF000000"/>
      </bottom>
      <diagonal/>
    </border>
    <border>
      <left style="thin">
        <color indexed="64"/>
      </left>
      <right style="thin">
        <color rgb="FF000000"/>
      </right>
      <top style="thin">
        <color rgb="FF000000"/>
      </top>
      <bottom style="thin">
        <color theme="4" tint="0.39997558519241921"/>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theme="4" tint="0.39997558519241921"/>
      </top>
      <bottom/>
      <diagonal/>
    </border>
  </borders>
  <cellStyleXfs count="3">
    <xf numFmtId="0" fontId="0" fillId="0" borderId="0"/>
    <xf numFmtId="0" fontId="5" fillId="0" borderId="0" applyNumberFormat="0" applyFill="0" applyBorder="0" applyAlignment="0" applyProtection="0"/>
    <xf numFmtId="0" fontId="1" fillId="6" borderId="0" applyNumberFormat="0" applyBorder="0" applyAlignment="0" applyProtection="0"/>
  </cellStyleXfs>
  <cellXfs count="212">
    <xf numFmtId="0" fontId="0" fillId="0" borderId="0" xfId="0"/>
    <xf numFmtId="0" fontId="0" fillId="0" borderId="6" xfId="0" applyBorder="1"/>
    <xf numFmtId="0" fontId="0" fillId="0" borderId="9" xfId="0" applyBorder="1"/>
    <xf numFmtId="49" fontId="0" fillId="0" borderId="9" xfId="0" applyNumberFormat="1" applyBorder="1"/>
    <xf numFmtId="0" fontId="0" fillId="0" borderId="9" xfId="0" applyBorder="1" applyAlignment="1">
      <alignment horizontal="left" vertical="top"/>
    </xf>
    <xf numFmtId="0" fontId="0" fillId="0" borderId="9" xfId="0" applyBorder="1" applyAlignment="1">
      <alignment horizontal="left" vertical="center"/>
    </xf>
    <xf numFmtId="22" fontId="0" fillId="0" borderId="9" xfId="0" applyNumberFormat="1" applyBorder="1" applyAlignment="1">
      <alignment horizontal="right"/>
    </xf>
    <xf numFmtId="0" fontId="0" fillId="5" borderId="9" xfId="0" applyFill="1" applyBorder="1"/>
    <xf numFmtId="49" fontId="0" fillId="5" borderId="9" xfId="0" applyNumberFormat="1" applyFill="1" applyBorder="1"/>
    <xf numFmtId="0" fontId="11" fillId="5" borderId="9" xfId="0" applyFont="1" applyFill="1" applyBorder="1"/>
    <xf numFmtId="22" fontId="0" fillId="5" borderId="9" xfId="0" applyNumberFormat="1" applyFill="1" applyBorder="1" applyAlignment="1">
      <alignment horizontal="right"/>
    </xf>
    <xf numFmtId="0" fontId="0" fillId="5" borderId="9" xfId="0" applyFill="1" applyBorder="1" applyAlignment="1">
      <alignment horizontal="left" vertical="top"/>
    </xf>
    <xf numFmtId="0" fontId="0" fillId="5" borderId="9" xfId="0" applyFill="1" applyBorder="1" applyAlignment="1">
      <alignment horizontal="left" vertical="center"/>
    </xf>
    <xf numFmtId="0" fontId="11" fillId="0" borderId="9" xfId="0" applyFont="1" applyBorder="1"/>
    <xf numFmtId="49" fontId="0" fillId="0" borderId="18" xfId="0" applyNumberFormat="1" applyBorder="1"/>
    <xf numFmtId="0" fontId="0" fillId="0" borderId="19" xfId="0" applyBorder="1"/>
    <xf numFmtId="22" fontId="0" fillId="0" borderId="17" xfId="0" applyNumberFormat="1" applyBorder="1" applyAlignment="1">
      <alignment horizontal="right"/>
    </xf>
    <xf numFmtId="0" fontId="0" fillId="0" borderId="19" xfId="0" applyBorder="1" applyAlignment="1">
      <alignment horizontal="left" vertical="top"/>
    </xf>
    <xf numFmtId="0" fontId="0" fillId="0" borderId="19" xfId="0" applyBorder="1" applyAlignment="1">
      <alignment horizontal="left" vertical="center"/>
    </xf>
    <xf numFmtId="0" fontId="0" fillId="5" borderId="6" xfId="0" applyFill="1" applyBorder="1"/>
    <xf numFmtId="49" fontId="0" fillId="5" borderId="18" xfId="0" applyNumberFormat="1" applyFill="1" applyBorder="1"/>
    <xf numFmtId="0" fontId="0" fillId="5" borderId="19" xfId="0" applyFill="1" applyBorder="1"/>
    <xf numFmtId="22" fontId="0" fillId="5" borderId="17" xfId="0" applyNumberFormat="1" applyFill="1" applyBorder="1" applyAlignment="1">
      <alignment horizontal="right"/>
    </xf>
    <xf numFmtId="0" fontId="0" fillId="5" borderId="19" xfId="0" applyFill="1" applyBorder="1" applyAlignment="1">
      <alignment horizontal="left" vertical="top"/>
    </xf>
    <xf numFmtId="0" fontId="0" fillId="5" borderId="19" xfId="0" applyFill="1" applyBorder="1" applyAlignment="1">
      <alignment horizontal="left" vertical="center"/>
    </xf>
    <xf numFmtId="0" fontId="0" fillId="0" borderId="0" xfId="0" applyAlignment="1">
      <alignment horizontal="center"/>
    </xf>
    <xf numFmtId="0" fontId="0" fillId="0" borderId="6" xfId="0" applyBorder="1" applyAlignment="1">
      <alignment horizontal="center"/>
    </xf>
    <xf numFmtId="0" fontId="2" fillId="8" borderId="6" xfId="0" applyFont="1" applyFill="1" applyBorder="1" applyAlignment="1">
      <alignment horizontal="center"/>
    </xf>
    <xf numFmtId="0" fontId="14" fillId="0" borderId="0" xfId="0" applyFont="1" applyAlignment="1">
      <alignment horizontal="center"/>
    </xf>
    <xf numFmtId="0" fontId="6" fillId="4" borderId="20" xfId="0" applyFont="1" applyFill="1" applyBorder="1"/>
    <xf numFmtId="49" fontId="0" fillId="5" borderId="17" xfId="0" applyNumberFormat="1" applyFill="1" applyBorder="1"/>
    <xf numFmtId="49" fontId="0" fillId="5" borderId="15" xfId="0" applyNumberFormat="1" applyFill="1" applyBorder="1"/>
    <xf numFmtId="49" fontId="0" fillId="5" borderId="24" xfId="0" applyNumberFormat="1" applyFill="1" applyBorder="1"/>
    <xf numFmtId="0" fontId="6" fillId="0" borderId="20" xfId="0" applyFont="1" applyBorder="1"/>
    <xf numFmtId="49" fontId="0" fillId="0" borderId="17" xfId="0" applyNumberFormat="1" applyBorder="1"/>
    <xf numFmtId="49" fontId="0" fillId="0" borderId="15" xfId="0" applyNumberFormat="1" applyBorder="1"/>
    <xf numFmtId="49" fontId="0" fillId="0" borderId="24" xfId="0" applyNumberFormat="1" applyBorder="1"/>
    <xf numFmtId="0" fontId="6" fillId="5" borderId="20" xfId="0" applyFont="1" applyFill="1" applyBorder="1"/>
    <xf numFmtId="49" fontId="0" fillId="0" borderId="25" xfId="0" applyNumberFormat="1" applyBorder="1"/>
    <xf numFmtId="49" fontId="0" fillId="5" borderId="25" xfId="0" applyNumberFormat="1" applyFill="1" applyBorder="1"/>
    <xf numFmtId="0" fontId="0" fillId="4" borderId="20" xfId="0" applyFill="1" applyBorder="1"/>
    <xf numFmtId="0" fontId="0" fillId="5" borderId="20" xfId="0" applyFill="1" applyBorder="1"/>
    <xf numFmtId="0" fontId="0" fillId="0" borderId="20" xfId="0" applyBorder="1"/>
    <xf numFmtId="0" fontId="0" fillId="5" borderId="17" xfId="0" applyFill="1" applyBorder="1"/>
    <xf numFmtId="0" fontId="0" fillId="5" borderId="17" xfId="0" applyFill="1" applyBorder="1" applyAlignment="1">
      <alignment horizontal="left" vertical="top"/>
    </xf>
    <xf numFmtId="0" fontId="0" fillId="5" borderId="17" xfId="0" applyFill="1" applyBorder="1" applyAlignment="1">
      <alignment horizontal="left" vertical="center"/>
    </xf>
    <xf numFmtId="164" fontId="0" fillId="5" borderId="25" xfId="0" applyNumberFormat="1" applyFill="1" applyBorder="1"/>
    <xf numFmtId="0" fontId="0" fillId="0" borderId="17" xfId="0" applyBorder="1"/>
    <xf numFmtId="0" fontId="0" fillId="0" borderId="17" xfId="0" applyBorder="1" applyAlignment="1">
      <alignment horizontal="left" vertical="top"/>
    </xf>
    <xf numFmtId="0" fontId="0" fillId="0" borderId="17" xfId="0" applyBorder="1" applyAlignment="1">
      <alignment horizontal="left" vertical="center"/>
    </xf>
    <xf numFmtId="164" fontId="0" fillId="0" borderId="25" xfId="0" applyNumberFormat="1" applyBorder="1"/>
    <xf numFmtId="0" fontId="6" fillId="4" borderId="6" xfId="0" applyFont="1" applyFill="1" applyBorder="1"/>
    <xf numFmtId="49" fontId="0" fillId="5" borderId="17" xfId="0" applyNumberFormat="1" applyFill="1" applyBorder="1" applyAlignment="1">
      <alignment wrapText="1"/>
    </xf>
    <xf numFmtId="0" fontId="0" fillId="0" borderId="15" xfId="0" applyBorder="1"/>
    <xf numFmtId="0" fontId="0" fillId="5" borderId="29" xfId="0" applyFill="1" applyBorder="1"/>
    <xf numFmtId="0" fontId="0" fillId="0" borderId="30" xfId="0" applyBorder="1"/>
    <xf numFmtId="0" fontId="0" fillId="5" borderId="30" xfId="0" applyFill="1" applyBorder="1"/>
    <xf numFmtId="0" fontId="0" fillId="5" borderId="31" xfId="0" applyFill="1" applyBorder="1"/>
    <xf numFmtId="0" fontId="0" fillId="0" borderId="15" xfId="0" applyBorder="1" applyAlignment="1">
      <alignment horizontal="left" vertical="top"/>
    </xf>
    <xf numFmtId="0" fontId="0" fillId="0" borderId="15" xfId="0" applyBorder="1" applyAlignment="1">
      <alignment horizontal="left" vertical="center"/>
    </xf>
    <xf numFmtId="164" fontId="0" fillId="0" borderId="24" xfId="0" applyNumberFormat="1" applyBorder="1"/>
    <xf numFmtId="0" fontId="0" fillId="5" borderId="15" xfId="0" applyFill="1" applyBorder="1"/>
    <xf numFmtId="0" fontId="0" fillId="5" borderId="15" xfId="0" applyFill="1" applyBorder="1" applyAlignment="1">
      <alignment horizontal="left" vertical="top"/>
    </xf>
    <xf numFmtId="0" fontId="0" fillId="5" borderId="15" xfId="0" applyFill="1" applyBorder="1" applyAlignment="1">
      <alignment horizontal="left" vertical="center"/>
    </xf>
    <xf numFmtId="164" fontId="0" fillId="5" borderId="24" xfId="0" applyNumberFormat="1" applyFill="1" applyBorder="1"/>
    <xf numFmtId="0" fontId="0" fillId="0" borderId="15" xfId="0" applyBorder="1" applyAlignment="1">
      <alignment wrapText="1"/>
    </xf>
    <xf numFmtId="49" fontId="0" fillId="0" borderId="17" xfId="0" applyNumberFormat="1" applyBorder="1" applyAlignment="1">
      <alignment wrapText="1"/>
    </xf>
    <xf numFmtId="0" fontId="0" fillId="5" borderId="15" xfId="0" applyFill="1" applyBorder="1" applyAlignment="1">
      <alignment wrapText="1"/>
    </xf>
    <xf numFmtId="14" fontId="0" fillId="0" borderId="15" xfId="0" applyNumberFormat="1" applyBorder="1" applyAlignment="1">
      <alignment horizontal="left" vertical="top"/>
    </xf>
    <xf numFmtId="0" fontId="0" fillId="5" borderId="27" xfId="0" applyFill="1" applyBorder="1" applyAlignment="1">
      <alignment horizontal="left" vertical="center"/>
    </xf>
    <xf numFmtId="0" fontId="0" fillId="0" borderId="27" xfId="0" applyBorder="1"/>
    <xf numFmtId="0" fontId="0" fillId="0" borderId="27" xfId="0" applyBorder="1" applyAlignment="1">
      <alignment horizontal="left" vertical="center"/>
    </xf>
    <xf numFmtId="0" fontId="0" fillId="5" borderId="27" xfId="0" applyFill="1" applyBorder="1"/>
    <xf numFmtId="0" fontId="0" fillId="0" borderId="19" xfId="0" applyBorder="1" applyAlignment="1">
      <alignment wrapText="1"/>
    </xf>
    <xf numFmtId="49" fontId="0" fillId="0" borderId="9" xfId="0" applyNumberFormat="1" applyBorder="1" applyAlignment="1">
      <alignment wrapText="1"/>
    </xf>
    <xf numFmtId="164" fontId="0" fillId="0" borderId="9" xfId="0" applyNumberFormat="1" applyBorder="1"/>
    <xf numFmtId="164" fontId="0" fillId="5" borderId="9" xfId="0" applyNumberFormat="1" applyFill="1" applyBorder="1"/>
    <xf numFmtId="0" fontId="0" fillId="5" borderId="26" xfId="0" applyFill="1" applyBorder="1"/>
    <xf numFmtId="0" fontId="0" fillId="5" borderId="26" xfId="0" applyFill="1" applyBorder="1" applyAlignment="1">
      <alignment horizontal="left" vertical="top"/>
    </xf>
    <xf numFmtId="0" fontId="0" fillId="5" borderId="26" xfId="0" applyFill="1" applyBorder="1" applyAlignment="1">
      <alignment horizontal="left" vertical="center"/>
    </xf>
    <xf numFmtId="164" fontId="0" fillId="5" borderId="23" xfId="0" applyNumberFormat="1" applyFill="1" applyBorder="1"/>
    <xf numFmtId="0" fontId="0" fillId="0" borderId="26" xfId="0" applyBorder="1"/>
    <xf numFmtId="0" fontId="0" fillId="0" borderId="26" xfId="0" applyBorder="1" applyAlignment="1">
      <alignment horizontal="left" vertical="top"/>
    </xf>
    <xf numFmtId="0" fontId="0" fillId="0" borderId="26" xfId="0" applyBorder="1" applyAlignment="1">
      <alignment horizontal="left" vertical="center"/>
    </xf>
    <xf numFmtId="164" fontId="0" fillId="0" borderId="23" xfId="0" applyNumberFormat="1" applyBorder="1"/>
    <xf numFmtId="0" fontId="0" fillId="0" borderId="22" xfId="0" applyBorder="1"/>
    <xf numFmtId="22" fontId="0" fillId="0" borderId="15" xfId="0" applyNumberFormat="1" applyBorder="1" applyAlignment="1">
      <alignment horizontal="left" vertical="top"/>
    </xf>
    <xf numFmtId="0" fontId="0" fillId="5" borderId="28" xfId="0" applyFill="1" applyBorder="1"/>
    <xf numFmtId="22" fontId="0" fillId="5" borderId="24" xfId="0" applyNumberFormat="1" applyFill="1" applyBorder="1" applyAlignment="1">
      <alignment horizontal="right"/>
    </xf>
    <xf numFmtId="22" fontId="0" fillId="0" borderId="24" xfId="0" applyNumberFormat="1" applyBorder="1" applyAlignment="1">
      <alignment horizontal="right"/>
    </xf>
    <xf numFmtId="0" fontId="0" fillId="0" borderId="9" xfId="0" applyBorder="1" applyAlignment="1">
      <alignment wrapText="1"/>
    </xf>
    <xf numFmtId="0" fontId="0" fillId="0" borderId="26" xfId="0" applyBorder="1" applyAlignment="1">
      <alignment wrapText="1"/>
    </xf>
    <xf numFmtId="49" fontId="0" fillId="0" borderId="19" xfId="0" applyNumberFormat="1" applyBorder="1"/>
    <xf numFmtId="49" fontId="0" fillId="5" borderId="19" xfId="0" applyNumberFormat="1" applyFill="1" applyBorder="1"/>
    <xf numFmtId="0" fontId="0" fillId="5" borderId="26" xfId="0" applyFill="1" applyBorder="1" applyAlignment="1">
      <alignment wrapText="1"/>
    </xf>
    <xf numFmtId="0" fontId="0" fillId="0" borderId="6" xfId="0" applyBorder="1" applyAlignment="1">
      <alignment horizontal="left" vertical="top"/>
    </xf>
    <xf numFmtId="49" fontId="0" fillId="0" borderId="18" xfId="0" applyNumberFormat="1" applyBorder="1" applyAlignment="1">
      <alignment horizontal="left" vertical="top"/>
    </xf>
    <xf numFmtId="0" fontId="0" fillId="0" borderId="26" xfId="0" applyBorder="1" applyAlignment="1">
      <alignment horizontal="left" vertical="top" wrapText="1"/>
    </xf>
    <xf numFmtId="0" fontId="0" fillId="0" borderId="6" xfId="0" applyBorder="1" applyAlignment="1">
      <alignment vertical="top"/>
    </xf>
    <xf numFmtId="49" fontId="0" fillId="0" borderId="18" xfId="0" applyNumberFormat="1" applyBorder="1" applyAlignment="1">
      <alignment vertical="top"/>
    </xf>
    <xf numFmtId="0" fontId="0" fillId="0" borderId="26" xfId="0" applyBorder="1" applyAlignment="1">
      <alignment vertical="top"/>
    </xf>
    <xf numFmtId="0" fontId="0" fillId="0" borderId="26" xfId="0" applyBorder="1" applyAlignment="1">
      <alignment vertical="top" wrapText="1"/>
    </xf>
    <xf numFmtId="0" fontId="0" fillId="0" borderId="26" xfId="0" applyBorder="1" applyAlignment="1">
      <alignment horizontal="center" vertical="center"/>
    </xf>
    <xf numFmtId="0" fontId="0" fillId="5" borderId="26" xfId="0" applyFill="1" applyBorder="1" applyAlignment="1">
      <alignment horizontal="center" vertical="center"/>
    </xf>
    <xf numFmtId="49" fontId="0" fillId="0" borderId="18" xfId="0" applyNumberFormat="1" applyBorder="1" applyAlignment="1">
      <alignment wrapText="1"/>
    </xf>
    <xf numFmtId="0" fontId="2" fillId="3" borderId="20" xfId="0" applyFont="1" applyFill="1" applyBorder="1"/>
    <xf numFmtId="49" fontId="2" fillId="2" borderId="21" xfId="0" applyNumberFormat="1" applyFont="1" applyFill="1" applyBorder="1"/>
    <xf numFmtId="0" fontId="2" fillId="2" borderId="22" xfId="0" applyFont="1" applyFill="1" applyBorder="1"/>
    <xf numFmtId="22" fontId="2" fillId="2" borderId="22" xfId="0" applyNumberFormat="1" applyFont="1" applyFill="1" applyBorder="1" applyAlignment="1">
      <alignment horizontal="right"/>
    </xf>
    <xf numFmtId="0" fontId="2" fillId="2" borderId="22" xfId="0" applyFont="1" applyFill="1" applyBorder="1" applyAlignment="1">
      <alignment horizontal="left" vertical="top"/>
    </xf>
    <xf numFmtId="0" fontId="2" fillId="2" borderId="22" xfId="0" applyFont="1" applyFill="1" applyBorder="1" applyAlignment="1">
      <alignment horizontal="left" vertical="center"/>
    </xf>
    <xf numFmtId="0" fontId="2" fillId="2" borderId="23" xfId="0" applyFont="1" applyFill="1" applyBorder="1"/>
    <xf numFmtId="0" fontId="2" fillId="9" borderId="9" xfId="0" applyFont="1" applyFill="1" applyBorder="1" applyAlignment="1">
      <alignment horizontal="center"/>
    </xf>
    <xf numFmtId="49" fontId="2" fillId="10" borderId="9" xfId="0" applyNumberFormat="1" applyFont="1" applyFill="1" applyBorder="1" applyAlignment="1">
      <alignment horizontal="center"/>
    </xf>
    <xf numFmtId="0" fontId="2" fillId="10" borderId="9" xfId="0" applyFont="1" applyFill="1" applyBorder="1" applyAlignment="1">
      <alignment horizontal="center"/>
    </xf>
    <xf numFmtId="0" fontId="2" fillId="10" borderId="9" xfId="0" applyFont="1" applyFill="1" applyBorder="1" applyAlignment="1">
      <alignment horizontal="center" vertical="top"/>
    </xf>
    <xf numFmtId="0" fontId="2" fillId="10" borderId="9" xfId="0" applyFont="1" applyFill="1" applyBorder="1" applyAlignment="1">
      <alignment horizontal="center" vertical="center"/>
    </xf>
    <xf numFmtId="0" fontId="2" fillId="9" borderId="10" xfId="0" applyFont="1" applyFill="1" applyBorder="1" applyAlignment="1">
      <alignment horizontal="center" vertical="center"/>
    </xf>
    <xf numFmtId="49" fontId="2" fillId="10" borderId="10" xfId="0" applyNumberFormat="1" applyFont="1" applyFill="1" applyBorder="1" applyAlignment="1">
      <alignment horizontal="center" vertical="center"/>
    </xf>
    <xf numFmtId="0" fontId="2" fillId="10" borderId="10" xfId="0" applyFont="1" applyFill="1" applyBorder="1" applyAlignment="1">
      <alignment horizontal="center" vertical="center"/>
    </xf>
    <xf numFmtId="0" fontId="0" fillId="11" borderId="0" xfId="0" applyFill="1"/>
    <xf numFmtId="0" fontId="15" fillId="12" borderId="13" xfId="0" applyFont="1" applyFill="1" applyBorder="1" applyAlignment="1">
      <alignment horizontal="center"/>
    </xf>
    <xf numFmtId="0" fontId="15" fillId="12" borderId="8" xfId="0" applyFont="1" applyFill="1" applyBorder="1" applyAlignment="1">
      <alignment horizontal="center"/>
    </xf>
    <xf numFmtId="0" fontId="15" fillId="12" borderId="32" xfId="0" applyFont="1" applyFill="1" applyBorder="1" applyAlignment="1">
      <alignment horizontal="center"/>
    </xf>
    <xf numFmtId="0" fontId="16" fillId="0" borderId="5" xfId="0" applyFont="1" applyBorder="1" applyAlignment="1">
      <alignment horizontal="center"/>
    </xf>
    <xf numFmtId="0" fontId="16" fillId="0" borderId="6" xfId="0" applyFont="1" applyBorder="1" applyAlignment="1">
      <alignment horizontal="center"/>
    </xf>
    <xf numFmtId="0" fontId="16" fillId="0" borderId="33" xfId="0" applyFont="1" applyBorder="1" applyAlignment="1">
      <alignment horizontal="center"/>
    </xf>
    <xf numFmtId="0" fontId="16" fillId="0" borderId="4" xfId="0" applyFont="1" applyBorder="1" applyAlignment="1">
      <alignment horizontal="center"/>
    </xf>
    <xf numFmtId="0" fontId="16" fillId="0" borderId="7" xfId="0" applyFont="1" applyBorder="1" applyAlignment="1">
      <alignment horizontal="center"/>
    </xf>
    <xf numFmtId="0" fontId="16" fillId="0" borderId="3" xfId="0" applyFont="1" applyBorder="1" applyAlignment="1">
      <alignment horizontal="center"/>
    </xf>
    <xf numFmtId="0" fontId="15" fillId="12" borderId="6" xfId="0" applyFont="1" applyFill="1" applyBorder="1" applyAlignment="1">
      <alignment horizontal="center"/>
    </xf>
    <xf numFmtId="1" fontId="0" fillId="11" borderId="6" xfId="0" applyNumberFormat="1" applyFill="1" applyBorder="1" applyAlignment="1">
      <alignment horizontal="center"/>
    </xf>
    <xf numFmtId="0" fontId="0" fillId="0" borderId="0" xfId="0" applyAlignment="1">
      <alignment horizontal="left"/>
    </xf>
    <xf numFmtId="0" fontId="0" fillId="0" borderId="12" xfId="0" applyBorder="1" applyAlignment="1">
      <alignment horizontal="left"/>
    </xf>
    <xf numFmtId="0" fontId="0" fillId="0" borderId="3" xfId="0" applyBorder="1" applyAlignment="1">
      <alignment horizontal="left"/>
    </xf>
    <xf numFmtId="0" fontId="0" fillId="0" borderId="12" xfId="0" applyBorder="1" applyAlignment="1">
      <alignment horizontal="left" wrapText="1"/>
    </xf>
    <xf numFmtId="0" fontId="0" fillId="6" borderId="12" xfId="2" applyFont="1" applyBorder="1" applyAlignment="1">
      <alignment horizontal="left"/>
    </xf>
    <xf numFmtId="0" fontId="0" fillId="0" borderId="0" xfId="0" applyAlignment="1">
      <alignment horizontal="left" wrapText="1"/>
    </xf>
    <xf numFmtId="0" fontId="0" fillId="0" borderId="9" xfId="0" applyBorder="1" applyAlignment="1">
      <alignment horizontal="left"/>
    </xf>
    <xf numFmtId="0" fontId="0" fillId="0" borderId="9" xfId="0" applyBorder="1" applyAlignment="1">
      <alignment horizontal="left" wrapText="1"/>
    </xf>
    <xf numFmtId="0" fontId="0" fillId="0" borderId="3" xfId="0" applyBorder="1" applyAlignment="1">
      <alignment horizontal="left" wrapText="1"/>
    </xf>
    <xf numFmtId="0" fontId="9" fillId="0" borderId="0" xfId="0" applyFont="1" applyAlignment="1">
      <alignment horizontal="left"/>
    </xf>
    <xf numFmtId="0" fontId="10" fillId="0" borderId="0" xfId="0" applyFont="1" applyAlignment="1">
      <alignment horizontal="left"/>
    </xf>
    <xf numFmtId="0" fontId="11" fillId="0" borderId="0" xfId="0" applyFont="1" applyAlignment="1">
      <alignment horizontal="left"/>
    </xf>
    <xf numFmtId="0" fontId="11" fillId="7" borderId="0" xfId="0" applyFont="1" applyFill="1" applyAlignment="1">
      <alignment horizontal="left" wrapText="1"/>
    </xf>
    <xf numFmtId="0" fontId="11" fillId="0" borderId="0" xfId="0" applyFont="1" applyAlignment="1">
      <alignment horizontal="left" vertical="top" wrapText="1"/>
    </xf>
    <xf numFmtId="0" fontId="12" fillId="0" borderId="0" xfId="0" applyFont="1" applyAlignment="1">
      <alignment horizontal="left"/>
    </xf>
    <xf numFmtId="0" fontId="2" fillId="9" borderId="4" xfId="0" applyFont="1" applyFill="1" applyBorder="1" applyAlignment="1">
      <alignment horizontal="left" vertical="center"/>
    </xf>
    <xf numFmtId="49" fontId="2" fillId="10" borderId="1" xfId="0" applyNumberFormat="1" applyFont="1" applyFill="1" applyBorder="1" applyAlignment="1">
      <alignment horizontal="left" vertical="center"/>
    </xf>
    <xf numFmtId="0" fontId="2" fillId="10" borderId="16" xfId="0" applyFont="1" applyFill="1" applyBorder="1" applyAlignment="1">
      <alignment horizontal="left" vertical="center"/>
    </xf>
    <xf numFmtId="22" fontId="2" fillId="10" borderId="16" xfId="0" applyNumberFormat="1" applyFont="1" applyFill="1" applyBorder="1" applyAlignment="1">
      <alignment horizontal="left" vertical="center"/>
    </xf>
    <xf numFmtId="0" fontId="2" fillId="2" borderId="16" xfId="0" applyFont="1" applyFill="1" applyBorder="1" applyAlignment="1">
      <alignment horizontal="left"/>
    </xf>
    <xf numFmtId="0" fontId="2" fillId="2" borderId="0" xfId="0" applyFont="1" applyFill="1" applyAlignment="1">
      <alignment horizontal="left"/>
    </xf>
    <xf numFmtId="0" fontId="2" fillId="2" borderId="14" xfId="0" applyFont="1" applyFill="1" applyBorder="1" applyAlignment="1">
      <alignment horizontal="left"/>
    </xf>
    <xf numFmtId="0" fontId="0" fillId="0" borderId="5" xfId="0" applyBorder="1" applyAlignment="1">
      <alignment horizontal="left"/>
    </xf>
    <xf numFmtId="49" fontId="0" fillId="0" borderId="11" xfId="0" applyNumberFormat="1" applyBorder="1" applyAlignment="1">
      <alignment horizontal="left"/>
    </xf>
    <xf numFmtId="22" fontId="0" fillId="0" borderId="2" xfId="0" applyNumberFormat="1" applyBorder="1" applyAlignment="1">
      <alignment horizontal="left"/>
    </xf>
    <xf numFmtId="0" fontId="0" fillId="0" borderId="12" xfId="0" applyBorder="1" applyAlignment="1">
      <alignment horizontal="left" vertical="center"/>
    </xf>
    <xf numFmtId="164" fontId="0" fillId="0" borderId="12" xfId="0" applyNumberFormat="1" applyBorder="1" applyAlignment="1">
      <alignment horizontal="left"/>
    </xf>
    <xf numFmtId="49" fontId="0" fillId="0" borderId="2" xfId="0" applyNumberFormat="1" applyBorder="1" applyAlignment="1">
      <alignment horizontal="left"/>
    </xf>
    <xf numFmtId="0" fontId="0" fillId="0" borderId="3" xfId="0" applyBorder="1" applyAlignment="1">
      <alignment horizontal="left" vertical="center"/>
    </xf>
    <xf numFmtId="164" fontId="0" fillId="0" borderId="3" xfId="0" applyNumberFormat="1" applyBorder="1" applyAlignment="1">
      <alignment horizontal="left"/>
    </xf>
    <xf numFmtId="164" fontId="0" fillId="0" borderId="15" xfId="0" applyNumberFormat="1" applyBorder="1" applyAlignment="1">
      <alignment horizontal="left"/>
    </xf>
    <xf numFmtId="22" fontId="0" fillId="0" borderId="12" xfId="0" applyNumberFormat="1" applyBorder="1" applyAlignment="1">
      <alignment horizontal="left"/>
    </xf>
    <xf numFmtId="0" fontId="0" fillId="0" borderId="4" xfId="0" applyBorder="1" applyAlignment="1">
      <alignment horizontal="left"/>
    </xf>
    <xf numFmtId="0" fontId="0" fillId="0" borderId="12" xfId="0" applyBorder="1" applyAlignment="1">
      <alignment horizontal="left" vertical="top"/>
    </xf>
    <xf numFmtId="0" fontId="0" fillId="0" borderId="3" xfId="0" applyBorder="1" applyAlignment="1">
      <alignment horizontal="left" vertical="top"/>
    </xf>
    <xf numFmtId="49" fontId="0" fillId="0" borderId="0" xfId="0" applyNumberFormat="1" applyAlignment="1">
      <alignment horizontal="left"/>
    </xf>
    <xf numFmtId="0" fontId="0" fillId="0" borderId="0" xfId="0" applyAlignment="1">
      <alignment horizontal="left" vertical="top"/>
    </xf>
    <xf numFmtId="0" fontId="0" fillId="0" borderId="0" xfId="0" applyAlignment="1">
      <alignment horizontal="left" vertical="center"/>
    </xf>
    <xf numFmtId="164" fontId="0" fillId="0" borderId="0" xfId="0" applyNumberFormat="1" applyAlignment="1">
      <alignment horizontal="left"/>
    </xf>
    <xf numFmtId="22" fontId="0" fillId="0" borderId="0" xfId="0" applyNumberFormat="1" applyAlignment="1">
      <alignment horizontal="left" vertical="top"/>
    </xf>
    <xf numFmtId="0" fontId="1" fillId="6" borderId="5" xfId="2" applyBorder="1" applyAlignment="1">
      <alignment horizontal="left"/>
    </xf>
    <xf numFmtId="49" fontId="0" fillId="6" borderId="11" xfId="2" applyNumberFormat="1" applyFont="1" applyBorder="1" applyAlignment="1">
      <alignment horizontal="left"/>
    </xf>
    <xf numFmtId="22" fontId="0" fillId="6" borderId="2" xfId="2" applyNumberFormat="1" applyFont="1" applyBorder="1" applyAlignment="1">
      <alignment horizontal="left"/>
    </xf>
    <xf numFmtId="0" fontId="0" fillId="6" borderId="12" xfId="2" applyFont="1" applyBorder="1" applyAlignment="1">
      <alignment horizontal="left" vertical="top"/>
    </xf>
    <xf numFmtId="0" fontId="0" fillId="6" borderId="12" xfId="2" applyFont="1" applyBorder="1" applyAlignment="1">
      <alignment horizontal="left" vertical="center"/>
    </xf>
    <xf numFmtId="164" fontId="0" fillId="6" borderId="12" xfId="2" applyNumberFormat="1" applyFont="1" applyBorder="1" applyAlignment="1">
      <alignment horizontal="left"/>
    </xf>
    <xf numFmtId="22" fontId="0" fillId="0" borderId="2" xfId="0" applyNumberFormat="1" applyBorder="1" applyAlignment="1">
      <alignment horizontal="left" wrapText="1"/>
    </xf>
    <xf numFmtId="49" fontId="0" fillId="0" borderId="9" xfId="0" applyNumberFormat="1" applyBorder="1" applyAlignment="1">
      <alignment horizontal="left"/>
    </xf>
    <xf numFmtId="22" fontId="0" fillId="0" borderId="9" xfId="0" applyNumberFormat="1" applyBorder="1" applyAlignment="1">
      <alignment horizontal="left"/>
    </xf>
    <xf numFmtId="164" fontId="0" fillId="0" borderId="9" xfId="0" applyNumberFormat="1" applyBorder="1" applyAlignment="1">
      <alignment horizontal="left"/>
    </xf>
    <xf numFmtId="49" fontId="0" fillId="0" borderId="11" xfId="0" applyNumberFormat="1" applyBorder="1" applyAlignment="1">
      <alignment horizontal="left" wrapText="1"/>
    </xf>
    <xf numFmtId="22" fontId="0" fillId="0" borderId="0" xfId="0" applyNumberFormat="1" applyAlignment="1">
      <alignment horizontal="left"/>
    </xf>
    <xf numFmtId="22" fontId="0" fillId="0" borderId="0" xfId="0" applyNumberFormat="1" applyAlignment="1">
      <alignment horizontal="left" wrapText="1"/>
    </xf>
    <xf numFmtId="14" fontId="0" fillId="0" borderId="0" xfId="0" applyNumberFormat="1" applyAlignment="1">
      <alignment horizontal="left"/>
    </xf>
    <xf numFmtId="49" fontId="3" fillId="0" borderId="2" xfId="1" applyNumberFormat="1" applyFont="1" applyBorder="1" applyAlignment="1">
      <alignment horizontal="left"/>
    </xf>
    <xf numFmtId="0" fontId="0" fillId="0" borderId="0" xfId="1" applyFont="1" applyAlignment="1">
      <alignment horizontal="left"/>
    </xf>
    <xf numFmtId="0" fontId="0" fillId="6" borderId="0" xfId="2" applyFont="1" applyAlignment="1">
      <alignment horizontal="left"/>
    </xf>
    <xf numFmtId="0" fontId="1" fillId="6" borderId="0" xfId="2" applyAlignment="1">
      <alignment horizontal="left"/>
    </xf>
    <xf numFmtId="0" fontId="13" fillId="0" borderId="0" xfId="0" applyFont="1" applyAlignment="1">
      <alignment horizontal="left"/>
    </xf>
    <xf numFmtId="49" fontId="0" fillId="0" borderId="2" xfId="0" applyNumberFormat="1" applyBorder="1" applyAlignment="1">
      <alignment horizontal="left" wrapText="1"/>
    </xf>
    <xf numFmtId="0" fontId="0" fillId="11" borderId="6" xfId="0" applyFill="1" applyBorder="1"/>
    <xf numFmtId="0" fontId="0" fillId="11" borderId="6" xfId="0" applyFill="1" applyBorder="1" applyAlignment="1">
      <alignment horizontal="center"/>
    </xf>
    <xf numFmtId="0" fontId="11" fillId="0" borderId="0" xfId="0" applyFont="1"/>
    <xf numFmtId="0" fontId="10" fillId="0" borderId="0" xfId="0" applyFont="1"/>
    <xf numFmtId="0" fontId="0" fillId="0" borderId="34" xfId="0" applyBorder="1" applyAlignment="1">
      <alignment horizontal="left" vertical="center"/>
    </xf>
    <xf numFmtId="0" fontId="0" fillId="0" borderId="6" xfId="0" applyBorder="1" applyAlignment="1">
      <alignment horizontal="left"/>
    </xf>
    <xf numFmtId="49" fontId="0" fillId="0" borderId="18" xfId="0" applyNumberFormat="1" applyBorder="1" applyAlignment="1">
      <alignment horizontal="left"/>
    </xf>
    <xf numFmtId="0" fontId="0" fillId="0" borderId="19" xfId="0" applyBorder="1" applyAlignment="1">
      <alignment horizontal="left"/>
    </xf>
    <xf numFmtId="22" fontId="0" fillId="0" borderId="17" xfId="0" applyNumberFormat="1" applyBorder="1" applyAlignment="1">
      <alignment horizontal="left"/>
    </xf>
    <xf numFmtId="0" fontId="0" fillId="5" borderId="6" xfId="0" applyFill="1" applyBorder="1" applyAlignment="1">
      <alignment horizontal="left"/>
    </xf>
    <xf numFmtId="49" fontId="0" fillId="5" borderId="18" xfId="0" applyNumberFormat="1" applyFill="1" applyBorder="1" applyAlignment="1">
      <alignment horizontal="left"/>
    </xf>
    <xf numFmtId="0" fontId="0" fillId="5" borderId="19" xfId="0" applyFill="1" applyBorder="1" applyAlignment="1">
      <alignment horizontal="left"/>
    </xf>
    <xf numFmtId="22" fontId="0" fillId="5" borderId="17" xfId="0" applyNumberFormat="1" applyFill="1" applyBorder="1" applyAlignment="1">
      <alignment horizontal="left"/>
    </xf>
    <xf numFmtId="0" fontId="10" fillId="0" borderId="19" xfId="0" applyFont="1" applyBorder="1"/>
    <xf numFmtId="0" fontId="11" fillId="5" borderId="19" xfId="0" applyFont="1" applyFill="1" applyBorder="1"/>
    <xf numFmtId="0" fontId="11" fillId="0" borderId="19" xfId="0" applyFont="1" applyBorder="1"/>
    <xf numFmtId="22" fontId="0" fillId="0" borderId="2" xfId="0" quotePrefix="1" applyNumberFormat="1" applyBorder="1" applyAlignment="1">
      <alignment horizontal="left"/>
    </xf>
    <xf numFmtId="0" fontId="17" fillId="11" borderId="0" xfId="0" applyFont="1" applyFill="1" applyAlignment="1">
      <alignment horizontal="center"/>
    </xf>
    <xf numFmtId="22" fontId="17" fillId="11" borderId="0" xfId="0" applyNumberFormat="1" applyFont="1" applyFill="1" applyAlignment="1">
      <alignment horizontal="right"/>
    </xf>
    <xf numFmtId="165" fontId="17" fillId="11" borderId="0" xfId="0" applyNumberFormat="1" applyFont="1" applyFill="1" applyAlignment="1">
      <alignment horizontal="left"/>
    </xf>
  </cellXfs>
  <cellStyles count="3">
    <cellStyle name="20% - Énfasis1" xfId="2" builtinId="30"/>
    <cellStyle name="Hyperlink" xfId="1" xr:uid="{00000000-000B-0000-0000-000008000000}"/>
    <cellStyle name="Normal" xfId="0" builtinId="0"/>
  </cellStyles>
  <dxfs count="24">
    <dxf>
      <font>
        <b val="0"/>
        <i val="0"/>
        <strike val="0"/>
        <condense val="0"/>
        <extend val="0"/>
        <outline val="0"/>
        <shadow val="0"/>
        <u val="none"/>
        <vertAlign val="baseline"/>
        <sz val="11"/>
        <color theme="1"/>
        <name val="Amasis MT Pro Black"/>
        <family val="1"/>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masis MT Pro Black"/>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masis MT Pro Black"/>
        <family val="1"/>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0"/>
        <name val="Amasis MT Pro Black"/>
        <family val="1"/>
        <scheme val="none"/>
      </font>
      <fill>
        <patternFill patternType="solid">
          <fgColor indexed="64"/>
          <bgColor theme="1" tint="0.34998626667073579"/>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alignment horizontal="left"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left"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left"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left"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left"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left"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left"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left"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left"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left" textRotation="0" indent="0" justifyLastLine="0" shrinkToFit="0" readingOrder="0"/>
    </dxf>
    <dxf>
      <border diagonalUp="0" diagonalDown="0" outline="0">
        <left style="thin">
          <color rgb="FF000000"/>
        </left>
        <right/>
        <top/>
        <bottom/>
      </border>
    </dxf>
    <dxf>
      <font>
        <b val="0"/>
        <i val="0"/>
        <strike val="0"/>
        <condense val="0"/>
        <extend val="0"/>
        <outline val="0"/>
        <shadow val="0"/>
        <u val="none"/>
        <vertAlign val="baseline"/>
        <sz val="11"/>
        <color theme="1"/>
        <name val="Calibri"/>
        <family val="2"/>
        <scheme val="minor"/>
      </font>
      <numFmt numFmtId="30" formatCode="@"/>
      <alignment horizontal="left" textRotation="0" indent="0" justifyLastLine="0" shrinkToFit="0" readingOrder="0"/>
      <border diagonalUp="0" diagonalDown="0">
        <left style="thin">
          <color rgb="FF000000"/>
        </left>
        <right/>
        <top style="thin">
          <color indexed="64"/>
        </top>
        <bottom/>
      </border>
    </dxf>
    <dxf>
      <border diagonalUp="0" diagonalDown="0" outline="0">
        <left/>
        <right style="thin">
          <color indexed="64"/>
        </right>
        <top/>
        <bottom/>
      </border>
    </dxf>
    <dxf>
      <alignment horizontal="left" textRotation="0" indent="0" justifyLastLine="0" shrinkToFit="0" readingOrder="0"/>
      <border diagonalUp="0" diagonalDown="0">
        <left/>
        <right style="thin">
          <color indexed="64"/>
        </right>
        <top style="thin">
          <color indexed="64"/>
        </top>
        <bottom style="thin">
          <color indexed="64"/>
        </bottom>
      </border>
    </dxf>
    <dxf>
      <border outline="0">
        <left style="thin">
          <color indexed="64"/>
        </left>
        <right style="thin">
          <color rgb="FF000000"/>
        </right>
      </border>
    </dxf>
    <dxf>
      <font>
        <b val="0"/>
        <i val="0"/>
        <strike val="0"/>
        <condense val="0"/>
        <extend val="0"/>
        <outline val="0"/>
        <shadow val="0"/>
        <u val="none"/>
        <vertAlign val="baseline"/>
        <sz val="11"/>
        <color theme="1"/>
        <name val="Calibri"/>
        <family val="2"/>
        <scheme val="minor"/>
      </font>
      <alignment horizontal="left" textRotation="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8" tint="-0.249977111117893"/>
        </patternFill>
      </fill>
      <alignment horizontal="left" vertical="center" textRotation="0" wrapText="0" indent="0" justifyLastLine="0" shrinkToFit="0" readingOrder="0"/>
      <border diagonalUp="0" diagonalDown="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'Tickets Diarios'!$D$5</c:f>
              <c:strCache>
                <c:ptCount val="1"/>
                <c:pt idx="0">
                  <c:v>Tickets del mes</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F8E-4718-8EE8-A8033BFB4014}"/>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8-587B-4376-8877-7ECF773B0967}"/>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9-E55B-484A-B6C4-166092C2EB21}"/>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E55B-484A-B6C4-166092C2EB21}"/>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8-E55B-484A-B6C4-166092C2EB21}"/>
              </c:ext>
            </c:extLst>
          </c:dPt>
          <c:cat>
            <c:strRef>
              <c:f>'Tickets Diarios'!$B$6:$B$10</c:f>
              <c:strCache>
                <c:ptCount val="5"/>
                <c:pt idx="0">
                  <c:v>Abierto</c:v>
                </c:pt>
                <c:pt idx="1">
                  <c:v>Resuelto</c:v>
                </c:pt>
                <c:pt idx="2">
                  <c:v>Trabajando</c:v>
                </c:pt>
                <c:pt idx="3">
                  <c:v>Seguimiento</c:v>
                </c:pt>
                <c:pt idx="4">
                  <c:v>Derivado</c:v>
                </c:pt>
              </c:strCache>
            </c:strRef>
          </c:cat>
          <c:val>
            <c:numRef>
              <c:f>'Tickets Diarios'!$D$6:$D$10</c:f>
              <c:numCache>
                <c:formatCode>General</c:formatCode>
                <c:ptCount val="5"/>
                <c:pt idx="0">
                  <c:v>0</c:v>
                </c:pt>
                <c:pt idx="1">
                  <c:v>72</c:v>
                </c:pt>
                <c:pt idx="2">
                  <c:v>4</c:v>
                </c:pt>
                <c:pt idx="3">
                  <c:v>0</c:v>
                </c:pt>
                <c:pt idx="4">
                  <c:v>0</c:v>
                </c:pt>
              </c:numCache>
            </c:numRef>
          </c:val>
          <c:extLst>
            <c:ext xmlns:c16="http://schemas.microsoft.com/office/drawing/2014/chart" uri="{C3380CC4-5D6E-409C-BE32-E72D297353CC}">
              <c16:uniqueId val="{00000005-E55B-484A-B6C4-166092C2EB2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1435100</xdr:colOff>
      <xdr:row>3</xdr:row>
      <xdr:rowOff>0</xdr:rowOff>
    </xdr:from>
    <xdr:to>
      <xdr:col>6</xdr:col>
      <xdr:colOff>254000</xdr:colOff>
      <xdr:row>11</xdr:row>
      <xdr:rowOff>88900</xdr:rowOff>
    </xdr:to>
    <xdr:graphicFrame macro="">
      <xdr:nvGraphicFramePr>
        <xdr:cNvPr id="4" name="Gráfico 3">
          <a:extLst>
            <a:ext uri="{FF2B5EF4-FFF2-40B4-BE49-F238E27FC236}">
              <a16:creationId xmlns:a16="http://schemas.microsoft.com/office/drawing/2014/main" id="{692786FE-B4CE-29C6-AE18-BE59403056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CC352B-3825-46AE-BE72-E11A7B706BC7}" name="Table1" displayName="Table1" ref="A1:L3864" totalsRowShown="0" headerRowDxfId="23" dataDxfId="22" tableBorderDxfId="21">
  <autoFilter ref="A1:L3864" xr:uid="{43CC352B-3825-46AE-BE72-E11A7B706BC7}">
    <filterColumn colId="5">
      <filters>
        <filter val="Resuelto"/>
      </filters>
    </filterColumn>
  </autoFilter>
  <sortState xmlns:xlrd2="http://schemas.microsoft.com/office/spreadsheetml/2017/richdata2" ref="A2:L3864">
    <sortCondition ref="B1:B3864"/>
  </sortState>
  <tableColumns count="12">
    <tableColumn id="1" xr3:uid="{1E4C5FAF-BB6F-4B49-82B0-EE971C4DA8EF}" name="Reporte" dataDxfId="20" totalsRowDxfId="19"/>
    <tableColumn id="2" xr3:uid="{424C1974-48B8-462E-A98C-8A54F4D8C1FD}" name="Numero Ticket" dataDxfId="18" totalsRowDxfId="17"/>
    <tableColumn id="14" xr3:uid="{110BD59A-CBFB-4046-B61E-D8BC0FB80F88}" name="Cliente" dataDxfId="16"/>
    <tableColumn id="10" xr3:uid="{C83B6174-BE77-4C25-AC27-FFA047B9CEBC}" name="Descripción" dataDxfId="15"/>
    <tableColumn id="13" xr3:uid="{B60DF62D-FA36-4E95-A51C-2557E864B10E}" name="Solución" dataDxfId="14"/>
    <tableColumn id="15" xr3:uid="{353B72EE-AD11-4D37-B93C-4C5F63128FAD}" name="Estado" dataDxfId="13"/>
    <tableColumn id="16" xr3:uid="{5CF4120B-0153-4C60-9A11-44CCE0F5A29A}" name="Fecha Inicio" dataDxfId="12"/>
    <tableColumn id="17" xr3:uid="{999C4EE6-E8A4-4D95-B123-4B2C64510E79}" name="Fecha Fin" dataDxfId="11"/>
    <tableColumn id="18" xr3:uid="{C83E7626-04D1-40A1-902C-9F6CC072DD38}" name="Contacto" dataDxfId="10"/>
    <tableColumn id="19" xr3:uid="{63480373-8C64-4641-9177-0266620B97B8}" name="Creado Por" dataDxfId="9"/>
    <tableColumn id="20" xr3:uid="{700436C2-2ECF-450F-B48A-24EAD3D435E9}" name="Derivado a" dataDxfId="8"/>
    <tableColumn id="21" xr3:uid="{10D14050-5AA1-4591-9F8C-6EFCE9B1B09D}" name="Fecha Derivado"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E84933-7253-43E9-99F6-7C584C2A68F5}" name="Tabla3" displayName="Tabla3" ref="B5:D10" totalsRowShown="0" headerRowDxfId="6" headerRowBorderDxfId="5" tableBorderDxfId="4" totalsRowBorderDxfId="3">
  <autoFilter ref="B5:D10" xr:uid="{91E84933-7253-43E9-99F6-7C584C2A68F5}"/>
  <tableColumns count="3">
    <tableColumn id="1" xr3:uid="{05C0815D-4950-48B6-A059-273EFEC5DA52}" name="Estado" dataDxfId="2"/>
    <tableColumn id="2" xr3:uid="{78D540A8-BA69-4C65-B361-9FD81C06D168}" name="Tickets del día" dataDxfId="1"/>
    <tableColumn id="3" xr3:uid="{B03C82DA-A37B-4537-800F-6B16B19066CD}" name="Tickets del mes" dataDxfId="0"/>
  </tableColumns>
  <tableStyleInfo name="TableStyleLight11"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usa1.lightning.force.com/lightning/r/5008W000017fzbVQAQ/view" TargetMode="External"/><Relationship Id="rId13" Type="http://schemas.openxmlformats.org/officeDocument/2006/relationships/hyperlink" Target="https://usa1.lightning.force.com/lightning/r/5008W000016aboKQAQ/view" TargetMode="External"/><Relationship Id="rId18" Type="http://schemas.openxmlformats.org/officeDocument/2006/relationships/hyperlink" Target="https://usa1.lightning.force.com/lightning/r/5008W000016aQ4mQAE/view" TargetMode="External"/><Relationship Id="rId26" Type="http://schemas.openxmlformats.org/officeDocument/2006/relationships/hyperlink" Target="https://usa1.lightning.force.com/lightning/r/5004R000020n29cQAA/view" TargetMode="External"/><Relationship Id="rId3" Type="http://schemas.openxmlformats.org/officeDocument/2006/relationships/hyperlink" Target="https://usa1.lightning.force.com/lightning/r/5008W000016YJRXQA4/view" TargetMode="External"/><Relationship Id="rId21" Type="http://schemas.openxmlformats.org/officeDocument/2006/relationships/hyperlink" Target="https://usa1.lightning.force.com/lightning/r/5008W000016aPr4QAE/view" TargetMode="External"/><Relationship Id="rId7" Type="http://schemas.openxmlformats.org/officeDocument/2006/relationships/hyperlink" Target="https://usa1.lightning.force.com/lightning/r/5008W000017g2VAQAY/view" TargetMode="External"/><Relationship Id="rId12" Type="http://schemas.openxmlformats.org/officeDocument/2006/relationships/hyperlink" Target="https://usa1.lightning.force.com/lightning/r/5008W000017fqH9QAI/view" TargetMode="External"/><Relationship Id="rId17" Type="http://schemas.openxmlformats.org/officeDocument/2006/relationships/hyperlink" Target="https://usa1.lightning.force.com/lightning/r/5008W000016aUqfQAE/view" TargetMode="External"/><Relationship Id="rId25" Type="http://schemas.openxmlformats.org/officeDocument/2006/relationships/hyperlink" Target="https://usa1.lightning.force.com/lightning/r/5004R000020mfpIQAQ/view" TargetMode="External"/><Relationship Id="rId2" Type="http://schemas.openxmlformats.org/officeDocument/2006/relationships/hyperlink" Target="https://usa1.lightning.force.com/lightning/r/5008W000016Y5pfQAC/view" TargetMode="External"/><Relationship Id="rId16" Type="http://schemas.openxmlformats.org/officeDocument/2006/relationships/hyperlink" Target="https://usa1.lightning.force.com/lightning/r/5008W000016afQHQAY/view" TargetMode="External"/><Relationship Id="rId20" Type="http://schemas.openxmlformats.org/officeDocument/2006/relationships/hyperlink" Target="https://usa1.lightning.force.com/lightning/r/5008W000016aPRQQA2/view" TargetMode="External"/><Relationship Id="rId29" Type="http://schemas.openxmlformats.org/officeDocument/2006/relationships/hyperlink" Target="https://usa1.lightning.force.com/lightning/r/5004R000021eIlSQAU/view" TargetMode="External"/><Relationship Id="rId1" Type="http://schemas.openxmlformats.org/officeDocument/2006/relationships/hyperlink" Target="https://usa1.lightning.force.com/lightning/r/5008W000016YIlMQAW/view" TargetMode="External"/><Relationship Id="rId6" Type="http://schemas.openxmlformats.org/officeDocument/2006/relationships/hyperlink" Target="https://usa1.lightning.force.com/lightning/r/5008W000017g2ppQAA/view" TargetMode="External"/><Relationship Id="rId11" Type="http://schemas.openxmlformats.org/officeDocument/2006/relationships/hyperlink" Target="https://usa1.lightning.force.com/lightning/r/5008W000017ftfxQAA/view" TargetMode="External"/><Relationship Id="rId24" Type="http://schemas.openxmlformats.org/officeDocument/2006/relationships/hyperlink" Target="https://usa1.lightning.force.com/lightning/r/5004R000020iI3UQAU/view" TargetMode="External"/><Relationship Id="rId32" Type="http://schemas.openxmlformats.org/officeDocument/2006/relationships/hyperlink" Target="https://usa1.lightning.force.com/lightning/r/5004R0000235YU1QAM/view" TargetMode="External"/><Relationship Id="rId5" Type="http://schemas.openxmlformats.org/officeDocument/2006/relationships/hyperlink" Target="https://usa1.lightning.force.com/lightning/r/5008W000016Z0KYQA0/view" TargetMode="External"/><Relationship Id="rId15" Type="http://schemas.openxmlformats.org/officeDocument/2006/relationships/hyperlink" Target="https://usa1.lightning.force.com/lightning/r/5008W000016aYT9QAM/view" TargetMode="External"/><Relationship Id="rId23" Type="http://schemas.openxmlformats.org/officeDocument/2006/relationships/hyperlink" Target="https://usa1.lightning.force.com/lightning/r/5004R000020iGq0QAE/view" TargetMode="External"/><Relationship Id="rId28" Type="http://schemas.openxmlformats.org/officeDocument/2006/relationships/hyperlink" Target="https://usa1.lightning.force.com/lightning/r/5004R000020oU17QAE/view" TargetMode="External"/><Relationship Id="rId10" Type="http://schemas.openxmlformats.org/officeDocument/2006/relationships/hyperlink" Target="https://usa1.lightning.force.com/lightning/r/5008W000017ftaPQAQ/view" TargetMode="External"/><Relationship Id="rId19" Type="http://schemas.openxmlformats.org/officeDocument/2006/relationships/hyperlink" Target="https://usa1.lightning.force.com/lightning/r/5008W000016aPl6QAE/view" TargetMode="External"/><Relationship Id="rId31" Type="http://schemas.openxmlformats.org/officeDocument/2006/relationships/hyperlink" Target="https://usa1.lightning.force.com/lightning/r/5004R00002353mIQAQ/view" TargetMode="External"/><Relationship Id="rId4" Type="http://schemas.openxmlformats.org/officeDocument/2006/relationships/hyperlink" Target="https://usa1.lightning.force.com/lightning/r/5008W000016YKHoQAO/view" TargetMode="External"/><Relationship Id="rId9" Type="http://schemas.openxmlformats.org/officeDocument/2006/relationships/hyperlink" Target="https://usa1.lightning.force.com/lightning/r/5008W000017fuwuQAA/view" TargetMode="External"/><Relationship Id="rId14" Type="http://schemas.openxmlformats.org/officeDocument/2006/relationships/hyperlink" Target="https://usa1.lightning.force.com/lightning/r/5008W000016aYYJQA2/view" TargetMode="External"/><Relationship Id="rId22" Type="http://schemas.openxmlformats.org/officeDocument/2006/relationships/hyperlink" Target="https://usa1.lightning.force.com/lightning/r/5008W000016aOaMQAU/view" TargetMode="External"/><Relationship Id="rId27" Type="http://schemas.openxmlformats.org/officeDocument/2006/relationships/hyperlink" Target="https://usa1.lightning.force.com/lightning/r/5004R000020oKzTQAU/view" TargetMode="External"/><Relationship Id="rId30" Type="http://schemas.openxmlformats.org/officeDocument/2006/relationships/hyperlink" Target="https://usa1.lightning.force.com/lightning/r/5004R0000234ZeZQAU/view"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usa1.lightning.force.com/lightning/r/500Qi00000Eq2goIAB/view" TargetMode="External"/><Relationship Id="rId117" Type="http://schemas.openxmlformats.org/officeDocument/2006/relationships/hyperlink" Target="https://usa1.lightning.force.com/lightning/r/500Qi00000H5CbTIAV/view" TargetMode="External"/><Relationship Id="rId21" Type="http://schemas.openxmlformats.org/officeDocument/2006/relationships/hyperlink" Target="https://usa1.lightning.force.com/lightning/r/500Qi00000EMPCbIAP/view" TargetMode="External"/><Relationship Id="rId42" Type="http://schemas.openxmlformats.org/officeDocument/2006/relationships/hyperlink" Target="https://usa1.lightning.force.com/lightning/r/500Qi00000F66QKIAZ/view" TargetMode="External"/><Relationship Id="rId47" Type="http://schemas.openxmlformats.org/officeDocument/2006/relationships/hyperlink" Target="https://usa1.lightning.force.com/lightning/r/500Qi00000FcjbNIAR/view" TargetMode="External"/><Relationship Id="rId63" Type="http://schemas.openxmlformats.org/officeDocument/2006/relationships/hyperlink" Target="https://usa1.lightning.force.com/lightning/r/500Qi00000FoFb7IAF/view" TargetMode="External"/><Relationship Id="rId68" Type="http://schemas.openxmlformats.org/officeDocument/2006/relationships/hyperlink" Target="https://usa1.lightning.force.com/lightning/r/500Qi00000GEotNIAT/view" TargetMode="External"/><Relationship Id="rId84" Type="http://schemas.openxmlformats.org/officeDocument/2006/relationships/hyperlink" Target="https://usa1.lightning.force.com/lightning/r/500Qi00000GPn18IAD/view" TargetMode="External"/><Relationship Id="rId89" Type="http://schemas.openxmlformats.org/officeDocument/2006/relationships/hyperlink" Target="https://usa1.lightning.force.com/lightning/r/500Qi00000GR9IwIAL/view" TargetMode="External"/><Relationship Id="rId112" Type="http://schemas.openxmlformats.org/officeDocument/2006/relationships/hyperlink" Target="https://usa1.lightning.force.com/lightning/r/500Qi00000H1dAPIAZ/view" TargetMode="External"/><Relationship Id="rId133" Type="http://schemas.openxmlformats.org/officeDocument/2006/relationships/hyperlink" Target="https://usa1.lightning.force.com/lightning/r/500Qi00000HCgMkIAL/view" TargetMode="External"/><Relationship Id="rId16" Type="http://schemas.openxmlformats.org/officeDocument/2006/relationships/hyperlink" Target="https://usa1.lightning.force.com/lightning/r/500Qi00000ELlOsIAL/view" TargetMode="External"/><Relationship Id="rId107" Type="http://schemas.openxmlformats.org/officeDocument/2006/relationships/hyperlink" Target="https://usa1.lightning.force.com/lightning/r/500Qi00000H1cW5IAJ/view" TargetMode="External"/><Relationship Id="rId11" Type="http://schemas.openxmlformats.org/officeDocument/2006/relationships/hyperlink" Target="https://usa1.lightning.force.com/lightning/r/Contact/0031I000012Ob0mQAC/view" TargetMode="External"/><Relationship Id="rId32" Type="http://schemas.openxmlformats.org/officeDocument/2006/relationships/hyperlink" Target="https://usa1.lightning.force.com/lightning/r/500Qi00000ExHuRIAV/view" TargetMode="External"/><Relationship Id="rId37" Type="http://schemas.openxmlformats.org/officeDocument/2006/relationships/hyperlink" Target="https://usa1.lightning.force.com/lightning/r/500Qi00000F3L48IAF/view" TargetMode="External"/><Relationship Id="rId53" Type="http://schemas.openxmlformats.org/officeDocument/2006/relationships/hyperlink" Target="https://usa1.lightning.force.com/lightning/r/500Qi00000FgqmNIAR/view" TargetMode="External"/><Relationship Id="rId58" Type="http://schemas.openxmlformats.org/officeDocument/2006/relationships/hyperlink" Target="https://usa1.lightning.force.com/lightning/r/500Qi00000FkQ27IAF/view" TargetMode="External"/><Relationship Id="rId74" Type="http://schemas.openxmlformats.org/officeDocument/2006/relationships/hyperlink" Target="https://usa1.lightning.force.com/lightning/r/500Qi00000GJs5DIAT/view" TargetMode="External"/><Relationship Id="rId79" Type="http://schemas.openxmlformats.org/officeDocument/2006/relationships/hyperlink" Target="https://usa1.lightning.force.com/lightning/r/500Qi00000GNIKpIAP/view" TargetMode="External"/><Relationship Id="rId102" Type="http://schemas.openxmlformats.org/officeDocument/2006/relationships/hyperlink" Target="https://usa1.lightning.force.com/lightning/r/500Qi00000GYlzTIAT/view" TargetMode="External"/><Relationship Id="rId123" Type="http://schemas.openxmlformats.org/officeDocument/2006/relationships/hyperlink" Target="https://usa1.lightning.force.com/lightning/r/500Qi00000H8dtfIAB/view" TargetMode="External"/><Relationship Id="rId128" Type="http://schemas.openxmlformats.org/officeDocument/2006/relationships/hyperlink" Target="https://usa1.lightning.force.com/lightning/r/500Qi00000HAcGjIAL/view" TargetMode="External"/><Relationship Id="rId5" Type="http://schemas.openxmlformats.org/officeDocument/2006/relationships/hyperlink" Target="https://usa1.lightning.force.com/lightning/r/500Qi00000DcqkUIAR/view" TargetMode="External"/><Relationship Id="rId90" Type="http://schemas.openxmlformats.org/officeDocument/2006/relationships/hyperlink" Target="https://usa1.lightning.force.com/lightning/r/500Qi00000GR7NaIAL/view" TargetMode="External"/><Relationship Id="rId95" Type="http://schemas.openxmlformats.org/officeDocument/2006/relationships/hyperlink" Target="https://usa1.lightning.force.com/lightning/r/500Qi00000GUF8WIAX/view" TargetMode="External"/><Relationship Id="rId14" Type="http://schemas.openxmlformats.org/officeDocument/2006/relationships/hyperlink" Target="https://usa1.lightning.force.com/lightning/r/500Qi00000ELR3ZIAX/view" TargetMode="External"/><Relationship Id="rId22" Type="http://schemas.openxmlformats.org/officeDocument/2006/relationships/hyperlink" Target="https://usa1.lightning.force.com/lightning/r/500Qi00000EPVJwIAP/view" TargetMode="External"/><Relationship Id="rId27" Type="http://schemas.openxmlformats.org/officeDocument/2006/relationships/hyperlink" Target="https://usa1.lightning.force.com/lightning/r/500Qi00000ErSAzIAN/view" TargetMode="External"/><Relationship Id="rId30" Type="http://schemas.openxmlformats.org/officeDocument/2006/relationships/hyperlink" Target="https://usa1.lightning.force.com/lightning/r/500Qi00000EwqfkIAB/view" TargetMode="External"/><Relationship Id="rId35" Type="http://schemas.openxmlformats.org/officeDocument/2006/relationships/hyperlink" Target="https://usa1.lightning.force.com/lightning/r/500Qi00000F0zE9IAJ/view" TargetMode="External"/><Relationship Id="rId43" Type="http://schemas.openxmlformats.org/officeDocument/2006/relationships/hyperlink" Target="https://usa1.lightning.force.com/lightning/r/500Qi00000F6SLxIAN/view" TargetMode="External"/><Relationship Id="rId48" Type="http://schemas.openxmlformats.org/officeDocument/2006/relationships/hyperlink" Target="https://usa1.lightning.force.com/lightning/r/500Qi00000FcrcAIAR/view" TargetMode="External"/><Relationship Id="rId56" Type="http://schemas.openxmlformats.org/officeDocument/2006/relationships/hyperlink" Target="https://usa1.lightning.force.com/lightning/r/500Qi00000FhUjoIAF/view" TargetMode="External"/><Relationship Id="rId64" Type="http://schemas.openxmlformats.org/officeDocument/2006/relationships/hyperlink" Target="https://usa1.lightning.force.com/lightning/r/500Qi00000FrsrFIAR/view" TargetMode="External"/><Relationship Id="rId69" Type="http://schemas.openxmlformats.org/officeDocument/2006/relationships/hyperlink" Target="https://usa1.lightning.force.com/lightning/r/500Qi00000GEfIJIA1/view" TargetMode="External"/><Relationship Id="rId77" Type="http://schemas.openxmlformats.org/officeDocument/2006/relationships/hyperlink" Target="https://usa1.lightning.force.com/lightning/r/500Qi00000GNBhaIAH/view" TargetMode="External"/><Relationship Id="rId100" Type="http://schemas.openxmlformats.org/officeDocument/2006/relationships/hyperlink" Target="https://usa1.lightning.force.com/lightning/r/500Qi00000GVA5BIAX/view" TargetMode="External"/><Relationship Id="rId105" Type="http://schemas.openxmlformats.org/officeDocument/2006/relationships/hyperlink" Target="https://usa1.lightning.force.com/lightning/r/500Qi00000GZX1WIAX/view" TargetMode="External"/><Relationship Id="rId113" Type="http://schemas.openxmlformats.org/officeDocument/2006/relationships/hyperlink" Target="https://usa1.lightning.force.com/lightning/r/500Qi00000H1VmPIAV/view" TargetMode="External"/><Relationship Id="rId118" Type="http://schemas.openxmlformats.org/officeDocument/2006/relationships/hyperlink" Target="https://usa1.lightning.force.com/lightning/r/500Qi00000H5K17IAF/view" TargetMode="External"/><Relationship Id="rId126" Type="http://schemas.openxmlformats.org/officeDocument/2006/relationships/hyperlink" Target="https://usa1.lightning.force.com/lightning/r/500Qi00000HAZ7aIAH/view" TargetMode="External"/><Relationship Id="rId134" Type="http://schemas.openxmlformats.org/officeDocument/2006/relationships/printerSettings" Target="../printerSettings/printerSettings1.bin"/><Relationship Id="rId8" Type="http://schemas.openxmlformats.org/officeDocument/2006/relationships/hyperlink" Target="https://usa1.lightning.force.com/lightning/r/500Qi00000DeIpyIAF/view" TargetMode="External"/><Relationship Id="rId51" Type="http://schemas.openxmlformats.org/officeDocument/2006/relationships/hyperlink" Target="https://usa1.lightning.force.com/lightning/r/500Qi00000FgdkHIAR/view" TargetMode="External"/><Relationship Id="rId72" Type="http://schemas.openxmlformats.org/officeDocument/2006/relationships/hyperlink" Target="https://usa1.lightning.force.com/lightning/r/500Qi00000GI6fMIAT/view" TargetMode="External"/><Relationship Id="rId80" Type="http://schemas.openxmlformats.org/officeDocument/2006/relationships/hyperlink" Target="https://usa1.lightning.force.com/lightning/r/500Qi00000GPBlUIAX/view" TargetMode="External"/><Relationship Id="rId85" Type="http://schemas.openxmlformats.org/officeDocument/2006/relationships/hyperlink" Target="https://usa1.lightning.force.com/lightning/r/500Qi00000GPuVdIAL/view" TargetMode="External"/><Relationship Id="rId93" Type="http://schemas.openxmlformats.org/officeDocument/2006/relationships/hyperlink" Target="https://usa1.lightning.force.com/lightning/r/500Qi00000GRHwRIAX/view" TargetMode="External"/><Relationship Id="rId98" Type="http://schemas.openxmlformats.org/officeDocument/2006/relationships/hyperlink" Target="https://usa1.lightning.force.com/lightning/r/500Qi00000GUXtVIAX/view" TargetMode="External"/><Relationship Id="rId121" Type="http://schemas.openxmlformats.org/officeDocument/2006/relationships/hyperlink" Target="https://usa1.lightning.force.com/lightning/r/500Qi00000H5dgWIAR/view" TargetMode="External"/><Relationship Id="rId3" Type="http://schemas.openxmlformats.org/officeDocument/2006/relationships/hyperlink" Target="https://usa1.lightning.force.com/lightning/r/500Qi00000AcF3bIAF/view" TargetMode="External"/><Relationship Id="rId12" Type="http://schemas.openxmlformats.org/officeDocument/2006/relationships/hyperlink" Target="https://usa1.lightning.force.com/lightning/r/500Qi00000E5RXNIA3/view" TargetMode="External"/><Relationship Id="rId17" Type="http://schemas.openxmlformats.org/officeDocument/2006/relationships/hyperlink" Target="https://usa1.lightning.force.com/lightning/r/500Qi00000ELp5tIAD/view" TargetMode="External"/><Relationship Id="rId25" Type="http://schemas.openxmlformats.org/officeDocument/2006/relationships/hyperlink" Target="https://usa1.lightning.force.com/lightning/r/500Qi00000EpfPIIAZ/view" TargetMode="External"/><Relationship Id="rId33" Type="http://schemas.openxmlformats.org/officeDocument/2006/relationships/hyperlink" Target="https://usa1.lightning.force.com/lightning/r/500Qi00000ExWv4IAF/view" TargetMode="External"/><Relationship Id="rId38" Type="http://schemas.openxmlformats.org/officeDocument/2006/relationships/hyperlink" Target="https://usa1.lightning.force.com/lightning/r/500Qi00000F3EAhIAN/view" TargetMode="External"/><Relationship Id="rId46" Type="http://schemas.openxmlformats.org/officeDocument/2006/relationships/hyperlink" Target="https://usa1.lightning.force.com/lightning/r/500Qi00000F6sJeIAJ/view" TargetMode="External"/><Relationship Id="rId59" Type="http://schemas.openxmlformats.org/officeDocument/2006/relationships/hyperlink" Target="https://usa1.lightning.force.com/lightning/r/500Qi00000FkSK1IAN/view" TargetMode="External"/><Relationship Id="rId67" Type="http://schemas.openxmlformats.org/officeDocument/2006/relationships/hyperlink" Target="https://usa1.lightning.force.com/lightning/r/500Qi00000GDktYIAT/view" TargetMode="External"/><Relationship Id="rId103" Type="http://schemas.openxmlformats.org/officeDocument/2006/relationships/hyperlink" Target="https://usa1.lightning.force.com/lightning/r/500Qi00000GZEN5IAP/view" TargetMode="External"/><Relationship Id="rId108" Type="http://schemas.openxmlformats.org/officeDocument/2006/relationships/hyperlink" Target="https://usa1.lightning.force.com/lightning/r/500Qi00000H1WdbIAF/view" TargetMode="External"/><Relationship Id="rId116" Type="http://schemas.openxmlformats.org/officeDocument/2006/relationships/hyperlink" Target="https://usa1.lightning.force.com/lightning/r/500Qi00000H5JkzIAF/view" TargetMode="External"/><Relationship Id="rId124" Type="http://schemas.openxmlformats.org/officeDocument/2006/relationships/hyperlink" Target="https://usa1.lightning.force.com/lightning/r/500Qi00000H91RNIAZ/view" TargetMode="External"/><Relationship Id="rId129" Type="http://schemas.openxmlformats.org/officeDocument/2006/relationships/hyperlink" Target="https://usa1.lightning.force.com/lightning/r/500Qi00000HAeqQIAT/view" TargetMode="External"/><Relationship Id="rId20" Type="http://schemas.openxmlformats.org/officeDocument/2006/relationships/hyperlink" Target="https://usa1.lightning.force.com/lightning/r/500Qi00000EM8N9IAL/view" TargetMode="External"/><Relationship Id="rId41" Type="http://schemas.openxmlformats.org/officeDocument/2006/relationships/hyperlink" Target="https://usa1.lightning.force.com/lightning/r/500Qi00000F3oAzIAJ/view" TargetMode="External"/><Relationship Id="rId54" Type="http://schemas.openxmlformats.org/officeDocument/2006/relationships/hyperlink" Target="https://usa1.lightning.force.com/lightning/r/500Qi00000Fh4HTIAZ/view" TargetMode="External"/><Relationship Id="rId62" Type="http://schemas.openxmlformats.org/officeDocument/2006/relationships/hyperlink" Target="https://usa1.lightning.force.com/lightning/r/500Qi00000FnwS4IAJ/view" TargetMode="External"/><Relationship Id="rId70" Type="http://schemas.openxmlformats.org/officeDocument/2006/relationships/hyperlink" Target="https://usa1.lightning.force.com/lightning/r/500Qi00000GHyWSIA1/view" TargetMode="External"/><Relationship Id="rId75" Type="http://schemas.openxmlformats.org/officeDocument/2006/relationships/hyperlink" Target="https://usa1.lightning.force.com/lightning/r/500Qi00000GLk55IAD/view" TargetMode="External"/><Relationship Id="rId83" Type="http://schemas.openxmlformats.org/officeDocument/2006/relationships/hyperlink" Target="https://usa1.lightning.force.com/lightning/r/500Qi00000GPTf7IAH/view" TargetMode="External"/><Relationship Id="rId88" Type="http://schemas.openxmlformats.org/officeDocument/2006/relationships/hyperlink" Target="https://usa1.lightning.force.com/lightning/r/500Qi00000GQyfGIAT/view" TargetMode="External"/><Relationship Id="rId91" Type="http://schemas.openxmlformats.org/officeDocument/2006/relationships/hyperlink" Target="https://usa1.lightning.force.com/lightning/r/500Qi00000GR83WIAT/view" TargetMode="External"/><Relationship Id="rId96" Type="http://schemas.openxmlformats.org/officeDocument/2006/relationships/hyperlink" Target="https://usa1.lightning.force.com/lightning/r/500Qi00000GUWywIAH/view" TargetMode="External"/><Relationship Id="rId111" Type="http://schemas.openxmlformats.org/officeDocument/2006/relationships/hyperlink" Target="https://usa1.lightning.force.com/lightning/r/500Qi00000H1cxVIAR/view" TargetMode="External"/><Relationship Id="rId132" Type="http://schemas.openxmlformats.org/officeDocument/2006/relationships/hyperlink" Target="https://usa1.lightning.force.com/lightning/r/500Qi00000HCY2XIAX/view" TargetMode="External"/><Relationship Id="rId1" Type="http://schemas.openxmlformats.org/officeDocument/2006/relationships/hyperlink" Target="https://usa1.lightning.force.com/lightning/r/5004R000023rlQjQAI/view" TargetMode="External"/><Relationship Id="rId6" Type="http://schemas.openxmlformats.org/officeDocument/2006/relationships/hyperlink" Target="https://usa1.lightning.force.com/lightning/r/500Qi00000DdHstIAF/view" TargetMode="External"/><Relationship Id="rId15" Type="http://schemas.openxmlformats.org/officeDocument/2006/relationships/hyperlink" Target="https://usa1.lightning.force.com/lightning/r/500Qi00000ELSPRIA5/view" TargetMode="External"/><Relationship Id="rId23" Type="http://schemas.openxmlformats.org/officeDocument/2006/relationships/hyperlink" Target="https://usa1.lightning.force.com/lightning/r/500Qi00000EQ7c6IAD/view" TargetMode="External"/><Relationship Id="rId28" Type="http://schemas.openxmlformats.org/officeDocument/2006/relationships/hyperlink" Target="https://usa1.lightning.force.com/lightning/r/500Qi00000ErVP2IAN/view" TargetMode="External"/><Relationship Id="rId36" Type="http://schemas.openxmlformats.org/officeDocument/2006/relationships/hyperlink" Target="https://usa1.lightning.force.com/lightning/r/500Qi00000F26QTIAZ/view" TargetMode="External"/><Relationship Id="rId49" Type="http://schemas.openxmlformats.org/officeDocument/2006/relationships/hyperlink" Target="https://usa1.lightning.force.com/lightning/r/500Qi00000FdKZJIA3/view" TargetMode="External"/><Relationship Id="rId57" Type="http://schemas.openxmlformats.org/officeDocument/2006/relationships/hyperlink" Target="https://usa1.lightning.force.com/lightning/r/500Qi00000FkGCQIA3/view" TargetMode="External"/><Relationship Id="rId106" Type="http://schemas.openxmlformats.org/officeDocument/2006/relationships/hyperlink" Target="https://usa1.lightning.force.com/lightning/r/500Qi00000H1c1RIAR/view" TargetMode="External"/><Relationship Id="rId114" Type="http://schemas.openxmlformats.org/officeDocument/2006/relationships/hyperlink" Target="https://usa1.lightning.force.com/lightning/r/500Qi00000H1impIAB/view" TargetMode="External"/><Relationship Id="rId119" Type="http://schemas.openxmlformats.org/officeDocument/2006/relationships/hyperlink" Target="https://usa1.lightning.force.com/lightning/r/500Qi00000H5e6HIAR/view" TargetMode="External"/><Relationship Id="rId127" Type="http://schemas.openxmlformats.org/officeDocument/2006/relationships/hyperlink" Target="https://usa1.lightning.force.com/lightning/r/500Qi00000HAVjuIAH/view" TargetMode="External"/><Relationship Id="rId10" Type="http://schemas.openxmlformats.org/officeDocument/2006/relationships/hyperlink" Target="https://usa1.lightning.force.com/lightning/r/Contact/0038W00001iTMXpQAO/view" TargetMode="External"/><Relationship Id="rId31" Type="http://schemas.openxmlformats.org/officeDocument/2006/relationships/hyperlink" Target="https://usa1.lightning.force.com/lightning/r/500Qi00000ExNTZIA3/view" TargetMode="External"/><Relationship Id="rId44" Type="http://schemas.openxmlformats.org/officeDocument/2006/relationships/hyperlink" Target="https://usa1.lightning.force.com/lightning/r/500Qi00000F6IBMIA3/view" TargetMode="External"/><Relationship Id="rId52" Type="http://schemas.openxmlformats.org/officeDocument/2006/relationships/hyperlink" Target="https://usa1.lightning.force.com/lightning/r/500Qi00000FgWVwIAN/view" TargetMode="External"/><Relationship Id="rId60" Type="http://schemas.openxmlformats.org/officeDocument/2006/relationships/hyperlink" Target="https://usa1.lightning.force.com/lightning/r/500Qi00000FkRB4IAN/view" TargetMode="External"/><Relationship Id="rId65" Type="http://schemas.openxmlformats.org/officeDocument/2006/relationships/hyperlink" Target="https://usa1.lightning.force.com/lightning/r/500Qi00000FrgdCIAR/view" TargetMode="External"/><Relationship Id="rId73" Type="http://schemas.openxmlformats.org/officeDocument/2006/relationships/hyperlink" Target="https://usa1.lightning.force.com/lightning/r/500Qi00000GJY01IAH/view" TargetMode="External"/><Relationship Id="rId78" Type="http://schemas.openxmlformats.org/officeDocument/2006/relationships/hyperlink" Target="https://usa1.lightning.force.com/lightning/r/500Qi00000GNQ2DIAX/view" TargetMode="External"/><Relationship Id="rId81" Type="http://schemas.openxmlformats.org/officeDocument/2006/relationships/hyperlink" Target="https://usa1.lightning.force.com/lightning/r/500Qi00000GPFYvIAP/view" TargetMode="External"/><Relationship Id="rId86" Type="http://schemas.openxmlformats.org/officeDocument/2006/relationships/hyperlink" Target="https://usa1.lightning.force.com/lightning/r/500Qi00000GPpHWIA1/view" TargetMode="External"/><Relationship Id="rId94" Type="http://schemas.openxmlformats.org/officeDocument/2006/relationships/hyperlink" Target="https://usa1.lightning.force.com/lightning/r/500Qi00000GSwhQIAT/view" TargetMode="External"/><Relationship Id="rId99" Type="http://schemas.openxmlformats.org/officeDocument/2006/relationships/hyperlink" Target="https://usa1.lightning.force.com/lightning/r/500Qi00000GUkfLIAT/view" TargetMode="External"/><Relationship Id="rId101" Type="http://schemas.openxmlformats.org/officeDocument/2006/relationships/hyperlink" Target="https://usa1.lightning.force.com/lightning/r/500Qi00000GXMoZIAX/view" TargetMode="External"/><Relationship Id="rId122" Type="http://schemas.openxmlformats.org/officeDocument/2006/relationships/hyperlink" Target="https://usa1.lightning.force.com/lightning/r/500Qi00000H8SmvIAF/view" TargetMode="External"/><Relationship Id="rId130" Type="http://schemas.openxmlformats.org/officeDocument/2006/relationships/hyperlink" Target="https://usa1.lightning.force.com/lightning/r/500Qi00000HBvKXIA1/view" TargetMode="External"/><Relationship Id="rId135" Type="http://schemas.openxmlformats.org/officeDocument/2006/relationships/table" Target="../tables/table1.xml"/><Relationship Id="rId4" Type="http://schemas.openxmlformats.org/officeDocument/2006/relationships/hyperlink" Target="https://usa1.lightning.force.com/lightning/r/500Qi00000DbvHZIAZ/view" TargetMode="External"/><Relationship Id="rId9" Type="http://schemas.openxmlformats.org/officeDocument/2006/relationships/hyperlink" Target="https://usa1.lightning.force.com/lightning/r/Contact/0038W00001iTMXpQAO/view" TargetMode="External"/><Relationship Id="rId13" Type="http://schemas.openxmlformats.org/officeDocument/2006/relationships/hyperlink" Target="https://usa1.lightning.force.com/lightning/r/500Qi00000ELQ4IIAX/view" TargetMode="External"/><Relationship Id="rId18" Type="http://schemas.openxmlformats.org/officeDocument/2006/relationships/hyperlink" Target="https://usa1.lightning.force.com/lightning/r/500Qi00000ELiR0IAL/view" TargetMode="External"/><Relationship Id="rId39" Type="http://schemas.openxmlformats.org/officeDocument/2006/relationships/hyperlink" Target="https://usa1.lightning.force.com/lightning/r/500Qi00000F3MkxIAF/view" TargetMode="External"/><Relationship Id="rId109" Type="http://schemas.openxmlformats.org/officeDocument/2006/relationships/hyperlink" Target="https://usa1.lightning.force.com/lightning/r/500Qi00000H1VWGIA3/view" TargetMode="External"/><Relationship Id="rId34" Type="http://schemas.openxmlformats.org/officeDocument/2006/relationships/hyperlink" Target="https://usa1.lightning.force.com/lightning/r/500Qi00000F0z7hIAB/view" TargetMode="External"/><Relationship Id="rId50" Type="http://schemas.openxmlformats.org/officeDocument/2006/relationships/hyperlink" Target="https://usa1.lightning.force.com/lightning/r/500Qi00000FdSgaIAF/view" TargetMode="External"/><Relationship Id="rId55" Type="http://schemas.openxmlformats.org/officeDocument/2006/relationships/hyperlink" Target="https://usa1.lightning.force.com/lightning/r/500Qi00000FiisjIAB/view" TargetMode="External"/><Relationship Id="rId76" Type="http://schemas.openxmlformats.org/officeDocument/2006/relationships/hyperlink" Target="https://usa1.lightning.force.com/lightning/r/500Qi00000GM1vXIAT/view" TargetMode="External"/><Relationship Id="rId97" Type="http://schemas.openxmlformats.org/officeDocument/2006/relationships/hyperlink" Target="https://usa1.lightning.force.com/lightning/r/500Qi00000GUpDZIA1/view" TargetMode="External"/><Relationship Id="rId104" Type="http://schemas.openxmlformats.org/officeDocument/2006/relationships/hyperlink" Target="https://usa1.lightning.force.com/lightning/r/500Qi00000GZUoPIAX/view" TargetMode="External"/><Relationship Id="rId120" Type="http://schemas.openxmlformats.org/officeDocument/2006/relationships/hyperlink" Target="https://usa1.lightning.force.com/lightning/r/500Qi00000H5VJ9IAN/view" TargetMode="External"/><Relationship Id="rId125" Type="http://schemas.openxmlformats.org/officeDocument/2006/relationships/hyperlink" Target="https://usa1.lightning.force.com/lightning/r/500Qi00000H91r9IAB/view" TargetMode="External"/><Relationship Id="rId7" Type="http://schemas.openxmlformats.org/officeDocument/2006/relationships/hyperlink" Target="https://usa1.lightning.force.com/lightning/r/500Qi00000Ddz93IAB/view" TargetMode="External"/><Relationship Id="rId71" Type="http://schemas.openxmlformats.org/officeDocument/2006/relationships/hyperlink" Target="https://usa1.lightning.force.com/lightning/r/500Qi00000GI8XNIA1/view" TargetMode="External"/><Relationship Id="rId92" Type="http://schemas.openxmlformats.org/officeDocument/2006/relationships/hyperlink" Target="https://usa1.lightning.force.com/lightning/r/500Qi00000GRJyDIAX/view" TargetMode="External"/><Relationship Id="rId2" Type="http://schemas.openxmlformats.org/officeDocument/2006/relationships/hyperlink" Target="https://usa1.lightning.force.com/lightning/r/5004R000023rmY3QAI/view" TargetMode="External"/><Relationship Id="rId29" Type="http://schemas.openxmlformats.org/officeDocument/2006/relationships/hyperlink" Target="https://usa1.lightning.force.com/lightning/r/500Qi00000EtpwHIAR/view" TargetMode="External"/><Relationship Id="rId24" Type="http://schemas.openxmlformats.org/officeDocument/2006/relationships/hyperlink" Target="https://usa1.lightning.force.com/lightning/r/500Qi00000EoLkMIAV/view" TargetMode="External"/><Relationship Id="rId40" Type="http://schemas.openxmlformats.org/officeDocument/2006/relationships/hyperlink" Target="https://usa1.lightning.force.com/lightning/r/500Qi00000F3QewIAF/view" TargetMode="External"/><Relationship Id="rId45" Type="http://schemas.openxmlformats.org/officeDocument/2006/relationships/hyperlink" Target="https://usa1.lightning.force.com/lightning/r/500Qi00000F6JljIAF/view" TargetMode="External"/><Relationship Id="rId66" Type="http://schemas.openxmlformats.org/officeDocument/2006/relationships/hyperlink" Target="https://usa1.lightning.force.com/lightning/r/500Qi00000GDhyrIAD/view" TargetMode="External"/><Relationship Id="rId87" Type="http://schemas.openxmlformats.org/officeDocument/2006/relationships/hyperlink" Target="https://usa1.lightning.force.com/lightning/r/500Qi00000GQnS6IAL/view" TargetMode="External"/><Relationship Id="rId110" Type="http://schemas.openxmlformats.org/officeDocument/2006/relationships/hyperlink" Target="https://usa1.lightning.force.com/lightning/r/500Qi00000H1SIGIA3/view" TargetMode="External"/><Relationship Id="rId115" Type="http://schemas.openxmlformats.org/officeDocument/2006/relationships/hyperlink" Target="https://usa1.lightning.force.com/lightning/r/500Qi00000H5JwHIAV/view" TargetMode="External"/><Relationship Id="rId131" Type="http://schemas.openxmlformats.org/officeDocument/2006/relationships/hyperlink" Target="https://usa1.lightning.force.com/lightning/r/500Qi00000HC9gsIAD/view" TargetMode="External"/><Relationship Id="rId61" Type="http://schemas.openxmlformats.org/officeDocument/2006/relationships/hyperlink" Target="https://usa1.lightning.force.com/lightning/r/500Qi00000Fkoh9IAB/view" TargetMode="External"/><Relationship Id="rId82" Type="http://schemas.openxmlformats.org/officeDocument/2006/relationships/hyperlink" Target="https://usa1.lightning.force.com/lightning/r/500Qi00000GPFdlIAH/view" TargetMode="External"/><Relationship Id="rId19" Type="http://schemas.openxmlformats.org/officeDocument/2006/relationships/hyperlink" Target="https://usa1.lightning.force.com/lightning/r/500Qi00000EMMY6IAP/view"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usa1.lightning.force.com/lightning/r/500Qi00000HCgMkIAL/view" TargetMode="External"/><Relationship Id="rId2" Type="http://schemas.openxmlformats.org/officeDocument/2006/relationships/hyperlink" Target="https://usa1.lightning.force.com/lightning/r/500Qi00000HCY2XIAX/view" TargetMode="External"/><Relationship Id="rId1" Type="http://schemas.openxmlformats.org/officeDocument/2006/relationships/hyperlink" Target="https://usa1.lightning.force.com/lightning/r/500Qi00000HC9gsIAD/view" TargetMode="Externa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C773C-0523-4091-AF79-F31107616230}">
  <dimension ref="A1:L1437"/>
  <sheetViews>
    <sheetView topLeftCell="D1" workbookViewId="0"/>
  </sheetViews>
  <sheetFormatPr baseColWidth="10" defaultColWidth="11.453125" defaultRowHeight="14.5"/>
  <cols>
    <col min="2" max="2" width="21" bestFit="1" customWidth="1"/>
    <col min="3" max="3" width="12.81640625" bestFit="1" customWidth="1"/>
    <col min="6" max="6" width="26.7265625" bestFit="1" customWidth="1"/>
    <col min="7" max="7" width="23.453125" bestFit="1" customWidth="1"/>
    <col min="8" max="8" width="19.453125" bestFit="1" customWidth="1"/>
    <col min="9" max="9" width="29.1796875" bestFit="1" customWidth="1"/>
    <col min="10" max="10" width="14.81640625" bestFit="1" customWidth="1"/>
    <col min="11" max="11" width="14.7265625" bestFit="1" customWidth="1"/>
    <col min="12" max="12" width="15.453125" bestFit="1" customWidth="1"/>
  </cols>
  <sheetData>
    <row r="1" spans="1:12">
      <c r="A1" s="105" t="s">
        <v>0</v>
      </c>
      <c r="B1" s="106" t="s">
        <v>1</v>
      </c>
      <c r="C1" s="107" t="s">
        <v>2</v>
      </c>
      <c r="D1" s="107" t="s">
        <v>3</v>
      </c>
      <c r="E1" s="107" t="s">
        <v>4</v>
      </c>
      <c r="F1" s="107" t="s">
        <v>5</v>
      </c>
      <c r="G1" s="108" t="s">
        <v>6</v>
      </c>
      <c r="H1" s="108" t="s">
        <v>7</v>
      </c>
      <c r="I1" s="109" t="s">
        <v>8</v>
      </c>
      <c r="J1" s="110" t="s">
        <v>9</v>
      </c>
      <c r="K1" s="110" t="s">
        <v>10</v>
      </c>
      <c r="L1" s="111" t="s">
        <v>11</v>
      </c>
    </row>
    <row r="2" spans="1:12">
      <c r="A2" s="29" t="s">
        <v>12</v>
      </c>
      <c r="B2" s="30">
        <v>481969</v>
      </c>
      <c r="C2" s="31" t="s">
        <v>13</v>
      </c>
      <c r="D2" s="31" t="s">
        <v>14</v>
      </c>
      <c r="E2" s="31" t="s">
        <v>15</v>
      </c>
      <c r="F2" s="31" t="s">
        <v>16</v>
      </c>
      <c r="G2" s="22">
        <v>45085.888888888891</v>
      </c>
      <c r="H2" s="22">
        <v>45085.986111111109</v>
      </c>
      <c r="I2" s="31" t="s">
        <v>17</v>
      </c>
      <c r="J2" s="31" t="s">
        <v>18</v>
      </c>
      <c r="K2" s="31" t="s">
        <v>19</v>
      </c>
      <c r="L2" s="32" t="s">
        <v>19</v>
      </c>
    </row>
    <row r="3" spans="1:12">
      <c r="A3" s="33" t="s">
        <v>20</v>
      </c>
      <c r="B3" s="34">
        <v>481995</v>
      </c>
      <c r="C3" s="35" t="s">
        <v>21</v>
      </c>
      <c r="D3" s="35" t="s">
        <v>22</v>
      </c>
      <c r="E3" s="35" t="s">
        <v>23</v>
      </c>
      <c r="F3" s="35" t="s">
        <v>24</v>
      </c>
      <c r="G3" s="16">
        <v>45086.256944444445</v>
      </c>
      <c r="H3" s="16">
        <v>45086.263888888891</v>
      </c>
      <c r="I3" s="35" t="s">
        <v>25</v>
      </c>
      <c r="J3" s="35" t="s">
        <v>26</v>
      </c>
      <c r="K3" s="35" t="s">
        <v>19</v>
      </c>
      <c r="L3" s="36" t="s">
        <v>19</v>
      </c>
    </row>
    <row r="4" spans="1:12">
      <c r="A4" s="29" t="s">
        <v>27</v>
      </c>
      <c r="B4" s="30">
        <v>481997</v>
      </c>
      <c r="C4" s="31" t="s">
        <v>28</v>
      </c>
      <c r="D4" s="31" t="s">
        <v>29</v>
      </c>
      <c r="E4" s="31" t="s">
        <v>30</v>
      </c>
      <c r="F4" s="31" t="s">
        <v>31</v>
      </c>
      <c r="G4" s="22">
        <v>45086.258333333331</v>
      </c>
      <c r="H4" s="22" t="s">
        <v>19</v>
      </c>
      <c r="I4" s="31" t="s">
        <v>32</v>
      </c>
      <c r="J4" s="31" t="s">
        <v>18</v>
      </c>
      <c r="K4" s="31" t="s">
        <v>19</v>
      </c>
      <c r="L4" s="32" t="s">
        <v>19</v>
      </c>
    </row>
    <row r="5" spans="1:12">
      <c r="A5" s="33" t="s">
        <v>27</v>
      </c>
      <c r="B5" s="34">
        <v>481998</v>
      </c>
      <c r="C5" s="35" t="s">
        <v>33</v>
      </c>
      <c r="D5" s="35" t="s">
        <v>34</v>
      </c>
      <c r="E5" s="35" t="s">
        <v>35</v>
      </c>
      <c r="F5" s="35" t="s">
        <v>16</v>
      </c>
      <c r="G5" s="16">
        <v>45086.277083333334</v>
      </c>
      <c r="H5" s="16">
        <v>45086.279166666667</v>
      </c>
      <c r="I5" s="35" t="s">
        <v>25</v>
      </c>
      <c r="J5" s="35" t="s">
        <v>18</v>
      </c>
      <c r="K5" s="35"/>
      <c r="L5" s="36"/>
    </row>
    <row r="6" spans="1:12">
      <c r="A6" s="37" t="s">
        <v>36</v>
      </c>
      <c r="B6" s="30">
        <v>482003</v>
      </c>
      <c r="C6" s="31" t="s">
        <v>37</v>
      </c>
      <c r="D6" s="31" t="s">
        <v>38</v>
      </c>
      <c r="E6" s="31" t="s">
        <v>39</v>
      </c>
      <c r="F6" s="31" t="s">
        <v>40</v>
      </c>
      <c r="G6" s="22">
        <v>45086.336805555555</v>
      </c>
      <c r="H6" s="22">
        <v>45086.340277777781</v>
      </c>
      <c r="I6" s="31" t="s">
        <v>32</v>
      </c>
      <c r="J6" s="31" t="s">
        <v>41</v>
      </c>
      <c r="K6" s="31" t="s">
        <v>42</v>
      </c>
      <c r="L6" s="32" t="s">
        <v>42</v>
      </c>
    </row>
    <row r="7" spans="1:12">
      <c r="A7" s="29" t="s">
        <v>12</v>
      </c>
      <c r="B7" s="34">
        <v>482053</v>
      </c>
      <c r="C7" s="34" t="s">
        <v>43</v>
      </c>
      <c r="D7" s="34" t="s">
        <v>44</v>
      </c>
      <c r="E7" s="34" t="s">
        <v>45</v>
      </c>
      <c r="F7" s="34" t="s">
        <v>16</v>
      </c>
      <c r="G7" s="16">
        <v>45087.020833333336</v>
      </c>
      <c r="H7" s="16">
        <v>45087.083333333336</v>
      </c>
      <c r="I7" s="34" t="s">
        <v>17</v>
      </c>
      <c r="J7" s="34"/>
      <c r="K7" s="34"/>
      <c r="L7" s="38"/>
    </row>
    <row r="8" spans="1:12">
      <c r="A8" s="37" t="s">
        <v>12</v>
      </c>
      <c r="B8" s="30">
        <v>482058</v>
      </c>
      <c r="C8" s="30" t="s">
        <v>46</v>
      </c>
      <c r="D8" s="30" t="s">
        <v>47</v>
      </c>
      <c r="E8" s="30" t="s">
        <v>48</v>
      </c>
      <c r="F8" s="30" t="s">
        <v>16</v>
      </c>
      <c r="G8" s="22">
        <v>45087.020833333336</v>
      </c>
      <c r="H8" s="22">
        <v>45087.083333333336</v>
      </c>
      <c r="I8" s="30" t="s">
        <v>17</v>
      </c>
      <c r="J8" s="30" t="s">
        <v>19</v>
      </c>
      <c r="K8" s="30"/>
      <c r="L8" s="39"/>
    </row>
    <row r="9" spans="1:12">
      <c r="A9" s="40" t="s">
        <v>20</v>
      </c>
      <c r="B9" s="34">
        <v>482074</v>
      </c>
      <c r="C9" s="34" t="s">
        <v>49</v>
      </c>
      <c r="D9" s="34" t="s">
        <v>50</v>
      </c>
      <c r="E9" s="34" t="s">
        <v>51</v>
      </c>
      <c r="F9" s="34" t="s">
        <v>40</v>
      </c>
      <c r="G9" s="16">
        <v>45086.884027777778</v>
      </c>
      <c r="H9" s="16">
        <v>45086.888888888891</v>
      </c>
      <c r="I9" s="34" t="s">
        <v>52</v>
      </c>
      <c r="J9" s="34" t="s">
        <v>41</v>
      </c>
      <c r="K9" s="34"/>
      <c r="L9" s="38"/>
    </row>
    <row r="10" spans="1:12">
      <c r="A10" s="41" t="s">
        <v>20</v>
      </c>
      <c r="B10" s="30">
        <v>482108</v>
      </c>
      <c r="C10" s="30" t="s">
        <v>13</v>
      </c>
      <c r="D10" s="30" t="s">
        <v>53</v>
      </c>
      <c r="E10" s="30" t="s">
        <v>54</v>
      </c>
      <c r="F10" s="30" t="s">
        <v>40</v>
      </c>
      <c r="G10" s="22">
        <v>45236.966666666667</v>
      </c>
      <c r="H10" s="22">
        <v>45237.216666666667</v>
      </c>
      <c r="I10" s="30" t="s">
        <v>17</v>
      </c>
      <c r="J10" s="30" t="s">
        <v>41</v>
      </c>
      <c r="K10" s="30"/>
      <c r="L10" s="39"/>
    </row>
    <row r="11" spans="1:12">
      <c r="A11" s="42" t="s">
        <v>55</v>
      </c>
      <c r="B11" s="34">
        <v>482128</v>
      </c>
      <c r="C11" s="34" t="s">
        <v>37</v>
      </c>
      <c r="D11" s="34" t="s">
        <v>56</v>
      </c>
      <c r="E11" s="34" t="s">
        <v>57</v>
      </c>
      <c r="F11" s="34" t="s">
        <v>40</v>
      </c>
      <c r="G11" s="16">
        <v>45266.147222222222</v>
      </c>
      <c r="H11" s="16">
        <v>45266.150694444441</v>
      </c>
      <c r="I11" s="34" t="s">
        <v>32</v>
      </c>
      <c r="J11" s="34" t="s">
        <v>41</v>
      </c>
      <c r="K11" s="34"/>
      <c r="L11" s="38"/>
    </row>
    <row r="12" spans="1:12">
      <c r="A12" s="41" t="s">
        <v>20</v>
      </c>
      <c r="B12" s="30">
        <v>488589</v>
      </c>
      <c r="C12" s="43" t="s">
        <v>13</v>
      </c>
      <c r="D12" s="43" t="s">
        <v>58</v>
      </c>
      <c r="E12" s="43" t="s">
        <v>59</v>
      </c>
      <c r="F12" s="43" t="s">
        <v>40</v>
      </c>
      <c r="G12" s="22">
        <v>45151.64166666667</v>
      </c>
      <c r="H12" s="22">
        <v>45151.689583333333</v>
      </c>
      <c r="I12" s="44" t="s">
        <v>60</v>
      </c>
      <c r="J12" s="45" t="s">
        <v>61</v>
      </c>
      <c r="K12" s="45"/>
      <c r="L12" s="46"/>
    </row>
    <row r="13" spans="1:12">
      <c r="A13" s="42" t="s">
        <v>20</v>
      </c>
      <c r="B13" s="34">
        <v>489931</v>
      </c>
      <c r="C13" s="47" t="s">
        <v>21</v>
      </c>
      <c r="D13" s="47" t="s">
        <v>62</v>
      </c>
      <c r="E13" s="47" t="s">
        <v>63</v>
      </c>
      <c r="F13" s="47" t="s">
        <v>40</v>
      </c>
      <c r="G13" s="16">
        <v>45164.900694444441</v>
      </c>
      <c r="H13" s="16">
        <v>45164.952777777777</v>
      </c>
      <c r="I13" s="48" t="s">
        <v>64</v>
      </c>
      <c r="J13" s="49" t="s">
        <v>61</v>
      </c>
      <c r="K13" s="49"/>
      <c r="L13" s="50"/>
    </row>
    <row r="14" spans="1:12">
      <c r="A14" s="41" t="s">
        <v>20</v>
      </c>
      <c r="B14" s="30">
        <v>491041</v>
      </c>
      <c r="C14" s="43" t="s">
        <v>13</v>
      </c>
      <c r="D14" s="43" t="s">
        <v>65</v>
      </c>
      <c r="E14" s="43" t="s">
        <v>66</v>
      </c>
      <c r="F14" s="43" t="s">
        <v>40</v>
      </c>
      <c r="G14" s="22">
        <v>45175.333333333336</v>
      </c>
      <c r="H14" s="22">
        <v>45175.395833333336</v>
      </c>
      <c r="I14" s="44" t="s">
        <v>67</v>
      </c>
      <c r="J14" s="45" t="s">
        <v>61</v>
      </c>
      <c r="K14" s="45"/>
      <c r="L14" s="46"/>
    </row>
    <row r="15" spans="1:12">
      <c r="A15" s="42" t="s">
        <v>20</v>
      </c>
      <c r="B15" s="34">
        <v>491066</v>
      </c>
      <c r="C15" s="47" t="s">
        <v>13</v>
      </c>
      <c r="D15" s="47" t="s">
        <v>68</v>
      </c>
      <c r="E15" s="47" t="s">
        <v>69</v>
      </c>
      <c r="F15" s="47" t="s">
        <v>40</v>
      </c>
      <c r="G15" s="16">
        <v>45175.486111111109</v>
      </c>
      <c r="H15" s="16">
        <v>45175.527777777781</v>
      </c>
      <c r="I15" s="48" t="s">
        <v>17</v>
      </c>
      <c r="J15" s="49" t="s">
        <v>61</v>
      </c>
      <c r="K15" s="49"/>
      <c r="L15" s="50"/>
    </row>
    <row r="16" spans="1:12">
      <c r="A16" s="41" t="s">
        <v>20</v>
      </c>
      <c r="B16" s="30">
        <v>491194</v>
      </c>
      <c r="C16" s="43" t="s">
        <v>21</v>
      </c>
      <c r="D16" s="43" t="s">
        <v>70</v>
      </c>
      <c r="E16" s="43" t="s">
        <v>71</v>
      </c>
      <c r="F16" s="43" t="s">
        <v>40</v>
      </c>
      <c r="G16" s="22">
        <v>45176.09375</v>
      </c>
      <c r="H16" s="22">
        <v>45176.109027777777</v>
      </c>
      <c r="I16" s="44" t="s">
        <v>52</v>
      </c>
      <c r="J16" s="45" t="s">
        <v>72</v>
      </c>
      <c r="K16" s="45"/>
      <c r="L16" s="46"/>
    </row>
    <row r="17" spans="1:12">
      <c r="A17" s="1" t="s">
        <v>20</v>
      </c>
      <c r="B17" s="34">
        <v>491207</v>
      </c>
      <c r="C17" s="47" t="s">
        <v>13</v>
      </c>
      <c r="D17" s="47" t="s">
        <v>73</v>
      </c>
      <c r="E17" s="47" t="s">
        <v>71</v>
      </c>
      <c r="F17" s="47" t="s">
        <v>40</v>
      </c>
      <c r="G17" s="16">
        <v>45176.220138888886</v>
      </c>
      <c r="H17" s="16">
        <v>45176.237500000003</v>
      </c>
      <c r="I17" s="48" t="s">
        <v>74</v>
      </c>
      <c r="J17" s="49" t="s">
        <v>72</v>
      </c>
      <c r="K17" s="49"/>
      <c r="L17" s="50"/>
    </row>
    <row r="18" spans="1:12">
      <c r="A18" s="19"/>
      <c r="B18" s="30">
        <v>499514</v>
      </c>
      <c r="C18" s="43"/>
      <c r="D18" s="43" t="s">
        <v>75</v>
      </c>
      <c r="E18" s="43"/>
      <c r="F18" s="43"/>
      <c r="G18" s="22"/>
      <c r="H18" s="22"/>
      <c r="I18" s="44"/>
      <c r="J18" s="45"/>
      <c r="K18" s="45"/>
      <c r="L18" s="46"/>
    </row>
    <row r="19" spans="1:12">
      <c r="A19" s="51" t="s">
        <v>76</v>
      </c>
      <c r="B19" s="34" t="s">
        <v>77</v>
      </c>
      <c r="C19" s="34" t="s">
        <v>78</v>
      </c>
      <c r="D19" s="34" t="s">
        <v>79</v>
      </c>
      <c r="E19" s="34" t="s">
        <v>80</v>
      </c>
      <c r="F19" s="34" t="s">
        <v>16</v>
      </c>
      <c r="G19" s="16">
        <v>45086.910416666666</v>
      </c>
      <c r="H19" s="16">
        <v>45086.965277777781</v>
      </c>
      <c r="I19" s="34" t="s">
        <v>81</v>
      </c>
      <c r="J19" s="34" t="s">
        <v>18</v>
      </c>
      <c r="K19" s="34"/>
      <c r="L19" s="38"/>
    </row>
    <row r="20" spans="1:12" ht="29">
      <c r="A20" s="19" t="s">
        <v>20</v>
      </c>
      <c r="B20" s="52" t="s">
        <v>82</v>
      </c>
      <c r="C20" s="43" t="s">
        <v>21</v>
      </c>
      <c r="D20" s="43" t="s">
        <v>83</v>
      </c>
      <c r="E20" s="43" t="s">
        <v>84</v>
      </c>
      <c r="F20" s="43" t="s">
        <v>40</v>
      </c>
      <c r="G20" s="22" t="s">
        <v>85</v>
      </c>
      <c r="H20" s="22" t="s">
        <v>86</v>
      </c>
      <c r="I20" s="44" t="s">
        <v>87</v>
      </c>
      <c r="J20" s="45" t="s">
        <v>88</v>
      </c>
      <c r="K20" s="45"/>
      <c r="L20" s="46"/>
    </row>
    <row r="21" spans="1:12">
      <c r="A21" s="1" t="s">
        <v>20</v>
      </c>
      <c r="B21" s="34" t="s">
        <v>89</v>
      </c>
      <c r="C21" s="47" t="s">
        <v>13</v>
      </c>
      <c r="D21" s="47" t="s">
        <v>90</v>
      </c>
      <c r="E21" s="47" t="s">
        <v>91</v>
      </c>
      <c r="F21" s="47" t="s">
        <v>40</v>
      </c>
      <c r="G21" s="16" t="s">
        <v>92</v>
      </c>
      <c r="H21" s="16" t="s">
        <v>93</v>
      </c>
      <c r="I21" s="48" t="s">
        <v>17</v>
      </c>
      <c r="J21" s="49" t="s">
        <v>94</v>
      </c>
      <c r="K21" s="49"/>
      <c r="L21" s="50"/>
    </row>
    <row r="22" spans="1:12">
      <c r="A22" s="19" t="s">
        <v>95</v>
      </c>
      <c r="B22" s="30" t="s">
        <v>96</v>
      </c>
      <c r="C22" s="30" t="s">
        <v>97</v>
      </c>
      <c r="D22" s="30" t="s">
        <v>98</v>
      </c>
      <c r="E22" s="30" t="s">
        <v>99</v>
      </c>
      <c r="F22" s="30" t="s">
        <v>40</v>
      </c>
      <c r="G22" s="22">
        <v>45075.958333333336</v>
      </c>
      <c r="H22" s="22">
        <v>45076</v>
      </c>
      <c r="I22" s="30" t="s">
        <v>100</v>
      </c>
      <c r="J22" s="30" t="s">
        <v>101</v>
      </c>
      <c r="K22" s="30"/>
      <c r="L22" s="39"/>
    </row>
    <row r="23" spans="1:12">
      <c r="A23" s="1" t="s">
        <v>20</v>
      </c>
      <c r="B23" s="34" t="s">
        <v>102</v>
      </c>
      <c r="C23" s="34" t="s">
        <v>49</v>
      </c>
      <c r="D23" s="34" t="s">
        <v>103</v>
      </c>
      <c r="E23" s="34" t="s">
        <v>104</v>
      </c>
      <c r="F23" s="34" t="s">
        <v>40</v>
      </c>
      <c r="G23" s="16">
        <v>45075.961805555555</v>
      </c>
      <c r="H23" s="16">
        <v>45076.020833333336</v>
      </c>
      <c r="I23" s="34" t="s">
        <v>105</v>
      </c>
      <c r="J23" s="34" t="s">
        <v>101</v>
      </c>
      <c r="K23" s="34"/>
      <c r="L23" s="38"/>
    </row>
    <row r="24" spans="1:12">
      <c r="A24" s="19" t="s">
        <v>106</v>
      </c>
      <c r="B24" s="30" t="s">
        <v>107</v>
      </c>
      <c r="C24" s="30" t="s">
        <v>108</v>
      </c>
      <c r="D24" s="30" t="s">
        <v>109</v>
      </c>
      <c r="E24" s="30" t="s">
        <v>110</v>
      </c>
      <c r="F24" s="30" t="s">
        <v>40</v>
      </c>
      <c r="G24" s="22">
        <v>45075</v>
      </c>
      <c r="H24" s="22">
        <v>45076.974305555559</v>
      </c>
      <c r="I24" s="30" t="s">
        <v>111</v>
      </c>
      <c r="J24" s="30" t="s">
        <v>101</v>
      </c>
      <c r="K24" s="30"/>
      <c r="L24" s="39"/>
    </row>
    <row r="25" spans="1:12">
      <c r="A25" s="1" t="s">
        <v>95</v>
      </c>
      <c r="B25" s="34" t="s">
        <v>112</v>
      </c>
      <c r="C25" s="34" t="s">
        <v>113</v>
      </c>
      <c r="D25" s="34" t="s">
        <v>114</v>
      </c>
      <c r="E25" s="34" t="s">
        <v>115</v>
      </c>
      <c r="F25" s="34" t="s">
        <v>40</v>
      </c>
      <c r="G25" s="16">
        <v>45076.159722222219</v>
      </c>
      <c r="H25" s="16">
        <v>45076.194444444445</v>
      </c>
      <c r="I25" s="34" t="s">
        <v>116</v>
      </c>
      <c r="J25" s="34" t="s">
        <v>101</v>
      </c>
      <c r="K25" s="34"/>
      <c r="L25" s="38"/>
    </row>
    <row r="26" spans="1:12">
      <c r="A26" s="19" t="s">
        <v>95</v>
      </c>
      <c r="B26" s="30" t="s">
        <v>117</v>
      </c>
      <c r="C26" s="30" t="s">
        <v>118</v>
      </c>
      <c r="D26" s="30" t="s">
        <v>119</v>
      </c>
      <c r="E26" s="30" t="s">
        <v>120</v>
      </c>
      <c r="F26" s="30" t="s">
        <v>40</v>
      </c>
      <c r="G26" s="22">
        <v>45076.073611111111</v>
      </c>
      <c r="H26" s="22">
        <v>45076.236111111109</v>
      </c>
      <c r="I26" s="30" t="s">
        <v>121</v>
      </c>
      <c r="J26" s="30" t="s">
        <v>101</v>
      </c>
      <c r="K26" s="30"/>
      <c r="L26" s="39"/>
    </row>
    <row r="27" spans="1:12">
      <c r="A27" s="1" t="s">
        <v>95</v>
      </c>
      <c r="B27" s="34" t="s">
        <v>122</v>
      </c>
      <c r="C27" s="34" t="s">
        <v>97</v>
      </c>
      <c r="D27" s="34" t="s">
        <v>123</v>
      </c>
      <c r="E27" s="34" t="s">
        <v>124</v>
      </c>
      <c r="F27" s="34" t="s">
        <v>40</v>
      </c>
      <c r="G27" s="16" t="s">
        <v>125</v>
      </c>
      <c r="H27" s="16" t="s">
        <v>126</v>
      </c>
      <c r="I27" s="34" t="s">
        <v>105</v>
      </c>
      <c r="J27" s="34" t="s">
        <v>101</v>
      </c>
      <c r="K27" s="34"/>
      <c r="L27" s="38"/>
    </row>
    <row r="28" spans="1:12">
      <c r="A28" s="19" t="s">
        <v>20</v>
      </c>
      <c r="B28" s="30" t="s">
        <v>127</v>
      </c>
      <c r="C28" s="30" t="s">
        <v>13</v>
      </c>
      <c r="D28" s="30" t="s">
        <v>128</v>
      </c>
      <c r="E28" s="30" t="s">
        <v>129</v>
      </c>
      <c r="F28" s="30" t="s">
        <v>130</v>
      </c>
      <c r="G28" s="22" t="s">
        <v>131</v>
      </c>
      <c r="H28" s="22"/>
      <c r="I28" s="30" t="s">
        <v>17</v>
      </c>
      <c r="J28" s="30" t="s">
        <v>101</v>
      </c>
      <c r="K28" s="30" t="s">
        <v>132</v>
      </c>
      <c r="L28" s="39">
        <v>45077</v>
      </c>
    </row>
    <row r="29" spans="1:12">
      <c r="A29" s="1" t="s">
        <v>20</v>
      </c>
      <c r="B29" s="34" t="s">
        <v>133</v>
      </c>
      <c r="C29" s="34" t="s">
        <v>13</v>
      </c>
      <c r="D29" s="34" t="s">
        <v>134</v>
      </c>
      <c r="E29" s="34" t="s">
        <v>135</v>
      </c>
      <c r="F29" s="34" t="s">
        <v>40</v>
      </c>
      <c r="G29" s="16" t="s">
        <v>136</v>
      </c>
      <c r="H29" s="16" t="s">
        <v>137</v>
      </c>
      <c r="I29" s="34" t="s">
        <v>17</v>
      </c>
      <c r="J29" s="34" t="s">
        <v>101</v>
      </c>
      <c r="K29" s="34"/>
      <c r="L29" s="38"/>
    </row>
    <row r="30" spans="1:12">
      <c r="A30" s="19" t="s">
        <v>20</v>
      </c>
      <c r="B30" s="30" t="s">
        <v>138</v>
      </c>
      <c r="C30" s="30" t="s">
        <v>13</v>
      </c>
      <c r="D30" s="30" t="s">
        <v>139</v>
      </c>
      <c r="E30" s="30" t="s">
        <v>140</v>
      </c>
      <c r="F30" s="30" t="s">
        <v>40</v>
      </c>
      <c r="G30" s="22" t="s">
        <v>141</v>
      </c>
      <c r="H30" s="22" t="s">
        <v>142</v>
      </c>
      <c r="I30" s="30" t="s">
        <v>143</v>
      </c>
      <c r="J30" s="30" t="s">
        <v>101</v>
      </c>
      <c r="K30" s="30"/>
      <c r="L30" s="39"/>
    </row>
    <row r="31" spans="1:12">
      <c r="A31" s="1" t="s">
        <v>20</v>
      </c>
      <c r="B31" s="34" t="s">
        <v>144</v>
      </c>
      <c r="C31" s="34" t="s">
        <v>13</v>
      </c>
      <c r="D31" s="34" t="s">
        <v>145</v>
      </c>
      <c r="E31" s="34" t="s">
        <v>146</v>
      </c>
      <c r="F31" s="34" t="s">
        <v>40</v>
      </c>
      <c r="G31" s="16" t="s">
        <v>147</v>
      </c>
      <c r="H31" s="16" t="s">
        <v>148</v>
      </c>
      <c r="I31" s="34" t="s">
        <v>149</v>
      </c>
      <c r="J31" s="34" t="s">
        <v>132</v>
      </c>
      <c r="K31" s="34"/>
      <c r="L31" s="38"/>
    </row>
    <row r="32" spans="1:12">
      <c r="A32" s="19" t="s">
        <v>95</v>
      </c>
      <c r="B32" s="30" t="s">
        <v>150</v>
      </c>
      <c r="C32" s="30" t="s">
        <v>97</v>
      </c>
      <c r="D32" s="30" t="s">
        <v>151</v>
      </c>
      <c r="E32" s="30" t="s">
        <v>152</v>
      </c>
      <c r="F32" s="30" t="s">
        <v>40</v>
      </c>
      <c r="G32" s="22" t="s">
        <v>153</v>
      </c>
      <c r="H32" s="22" t="s">
        <v>154</v>
      </c>
      <c r="I32" s="30" t="s">
        <v>155</v>
      </c>
      <c r="J32" s="30" t="s">
        <v>72</v>
      </c>
      <c r="K32" s="30"/>
      <c r="L32" s="39"/>
    </row>
    <row r="33" spans="1:12">
      <c r="A33" s="1" t="s">
        <v>20</v>
      </c>
      <c r="B33" s="34" t="s">
        <v>156</v>
      </c>
      <c r="C33" s="34" t="s">
        <v>49</v>
      </c>
      <c r="D33" s="34" t="s">
        <v>157</v>
      </c>
      <c r="E33" s="34" t="s">
        <v>158</v>
      </c>
      <c r="F33" s="34" t="s">
        <v>40</v>
      </c>
      <c r="G33" s="16" t="s">
        <v>159</v>
      </c>
      <c r="H33" s="16" t="s">
        <v>160</v>
      </c>
      <c r="I33" s="34" t="s">
        <v>161</v>
      </c>
      <c r="J33" s="34" t="s">
        <v>72</v>
      </c>
      <c r="K33" s="34"/>
      <c r="L33" s="38"/>
    </row>
    <row r="34" spans="1:12">
      <c r="A34" s="19" t="s">
        <v>95</v>
      </c>
      <c r="B34" s="30" t="s">
        <v>162</v>
      </c>
      <c r="C34" s="30" t="s">
        <v>97</v>
      </c>
      <c r="D34" s="30" t="s">
        <v>163</v>
      </c>
      <c r="E34" s="30" t="s">
        <v>164</v>
      </c>
      <c r="F34" s="30" t="s">
        <v>40</v>
      </c>
      <c r="G34" s="22" t="s">
        <v>165</v>
      </c>
      <c r="H34" s="22" t="s">
        <v>166</v>
      </c>
      <c r="I34" s="30" t="s">
        <v>105</v>
      </c>
      <c r="J34" s="30" t="s">
        <v>72</v>
      </c>
      <c r="K34" s="30"/>
      <c r="L34" s="39"/>
    </row>
    <row r="35" spans="1:12">
      <c r="A35" s="1" t="s">
        <v>20</v>
      </c>
      <c r="B35" s="34" t="s">
        <v>167</v>
      </c>
      <c r="C35" s="34" t="s">
        <v>13</v>
      </c>
      <c r="D35" s="34" t="s">
        <v>168</v>
      </c>
      <c r="E35" s="34" t="s">
        <v>169</v>
      </c>
      <c r="F35" s="34" t="s">
        <v>40</v>
      </c>
      <c r="G35" s="16" t="s">
        <v>170</v>
      </c>
      <c r="H35" s="16" t="s">
        <v>171</v>
      </c>
      <c r="I35" s="34" t="s">
        <v>17</v>
      </c>
      <c r="J35" s="34" t="s">
        <v>72</v>
      </c>
      <c r="K35" s="34"/>
      <c r="L35" s="38"/>
    </row>
    <row r="36" spans="1:12">
      <c r="A36" s="19" t="s">
        <v>20</v>
      </c>
      <c r="B36" s="30" t="s">
        <v>172</v>
      </c>
      <c r="C36" s="30" t="s">
        <v>21</v>
      </c>
      <c r="D36" s="30" t="s">
        <v>173</v>
      </c>
      <c r="E36" s="30" t="s">
        <v>174</v>
      </c>
      <c r="F36" s="30" t="s">
        <v>40</v>
      </c>
      <c r="G36" s="22" t="s">
        <v>175</v>
      </c>
      <c r="H36" s="22" t="s">
        <v>176</v>
      </c>
      <c r="I36" s="30" t="s">
        <v>64</v>
      </c>
      <c r="J36" s="30" t="s">
        <v>72</v>
      </c>
      <c r="K36" s="30"/>
      <c r="L36" s="39"/>
    </row>
    <row r="37" spans="1:12">
      <c r="A37" s="1" t="s">
        <v>20</v>
      </c>
      <c r="B37" s="34" t="s">
        <v>177</v>
      </c>
      <c r="C37" s="34" t="s">
        <v>21</v>
      </c>
      <c r="D37" s="34" t="s">
        <v>178</v>
      </c>
      <c r="E37" s="34" t="s">
        <v>179</v>
      </c>
      <c r="F37" s="34" t="s">
        <v>40</v>
      </c>
      <c r="G37" s="16" t="s">
        <v>180</v>
      </c>
      <c r="H37" s="16" t="s">
        <v>181</v>
      </c>
      <c r="I37" s="34" t="s">
        <v>64</v>
      </c>
      <c r="J37" s="34" t="s">
        <v>72</v>
      </c>
      <c r="K37" s="34"/>
      <c r="L37" s="38"/>
    </row>
    <row r="38" spans="1:12">
      <c r="A38" s="19" t="s">
        <v>95</v>
      </c>
      <c r="B38" s="30" t="s">
        <v>182</v>
      </c>
      <c r="C38" s="30" t="s">
        <v>97</v>
      </c>
      <c r="D38" s="30" t="s">
        <v>183</v>
      </c>
      <c r="E38" s="30" t="s">
        <v>184</v>
      </c>
      <c r="F38" s="30" t="s">
        <v>40</v>
      </c>
      <c r="G38" s="22" t="s">
        <v>185</v>
      </c>
      <c r="H38" s="22" t="s">
        <v>186</v>
      </c>
      <c r="I38" s="30" t="s">
        <v>187</v>
      </c>
      <c r="J38" s="30" t="s">
        <v>132</v>
      </c>
      <c r="K38" s="30"/>
      <c r="L38" s="39"/>
    </row>
    <row r="39" spans="1:12">
      <c r="A39" s="1" t="s">
        <v>20</v>
      </c>
      <c r="B39" s="34" t="s">
        <v>188</v>
      </c>
      <c r="C39" s="34" t="s">
        <v>13</v>
      </c>
      <c r="D39" s="34" t="s">
        <v>189</v>
      </c>
      <c r="E39" s="34" t="s">
        <v>190</v>
      </c>
      <c r="F39" s="34" t="s">
        <v>40</v>
      </c>
      <c r="G39" s="16" t="s">
        <v>191</v>
      </c>
      <c r="H39" s="16" t="s">
        <v>192</v>
      </c>
      <c r="I39" s="34" t="s">
        <v>193</v>
      </c>
      <c r="J39" s="34" t="s">
        <v>132</v>
      </c>
      <c r="K39" s="34"/>
      <c r="L39" s="38"/>
    </row>
    <row r="40" spans="1:12">
      <c r="A40" s="19" t="s">
        <v>106</v>
      </c>
      <c r="B40" s="30" t="s">
        <v>194</v>
      </c>
      <c r="C40" s="30" t="s">
        <v>108</v>
      </c>
      <c r="D40" s="30" t="s">
        <v>195</v>
      </c>
      <c r="E40" s="30" t="s">
        <v>196</v>
      </c>
      <c r="F40" s="30" t="s">
        <v>40</v>
      </c>
      <c r="G40" s="22" t="s">
        <v>197</v>
      </c>
      <c r="H40" s="22" t="s">
        <v>198</v>
      </c>
      <c r="I40" s="30" t="s">
        <v>155</v>
      </c>
      <c r="J40" s="30" t="s">
        <v>132</v>
      </c>
      <c r="K40" s="30"/>
      <c r="L40" s="39"/>
    </row>
    <row r="41" spans="1:12">
      <c r="A41" s="1" t="s">
        <v>20</v>
      </c>
      <c r="B41" s="34" t="s">
        <v>199</v>
      </c>
      <c r="C41" s="34" t="s">
        <v>13</v>
      </c>
      <c r="D41" s="34" t="s">
        <v>200</v>
      </c>
      <c r="E41" s="34" t="s">
        <v>201</v>
      </c>
      <c r="F41" s="34" t="s">
        <v>40</v>
      </c>
      <c r="G41" s="16" t="s">
        <v>202</v>
      </c>
      <c r="H41" s="16" t="s">
        <v>203</v>
      </c>
      <c r="I41" s="34" t="s">
        <v>149</v>
      </c>
      <c r="J41" s="34" t="s">
        <v>132</v>
      </c>
      <c r="K41" s="34"/>
      <c r="L41" s="38"/>
    </row>
    <row r="42" spans="1:12">
      <c r="A42" s="19" t="s">
        <v>106</v>
      </c>
      <c r="B42" s="30" t="s">
        <v>204</v>
      </c>
      <c r="C42" s="30" t="s">
        <v>108</v>
      </c>
      <c r="D42" s="30" t="s">
        <v>205</v>
      </c>
      <c r="E42" s="30" t="s">
        <v>206</v>
      </c>
      <c r="F42" s="30" t="s">
        <v>40</v>
      </c>
      <c r="G42" s="22" t="s">
        <v>207</v>
      </c>
      <c r="H42" s="22" t="s">
        <v>208</v>
      </c>
      <c r="I42" s="30"/>
      <c r="J42" s="30" t="s">
        <v>72</v>
      </c>
      <c r="K42" s="30"/>
      <c r="L42" s="39"/>
    </row>
    <row r="43" spans="1:12">
      <c r="A43" s="1" t="s">
        <v>106</v>
      </c>
      <c r="B43" s="34" t="s">
        <v>209</v>
      </c>
      <c r="C43" s="34" t="s">
        <v>108</v>
      </c>
      <c r="D43" s="34" t="s">
        <v>210</v>
      </c>
      <c r="E43" s="34" t="s">
        <v>206</v>
      </c>
      <c r="F43" s="34" t="s">
        <v>40</v>
      </c>
      <c r="G43" s="16" t="s">
        <v>207</v>
      </c>
      <c r="H43" s="16" t="s">
        <v>208</v>
      </c>
      <c r="I43" s="34"/>
      <c r="J43" s="34" t="s">
        <v>72</v>
      </c>
      <c r="K43" s="34"/>
      <c r="L43" s="38"/>
    </row>
    <row r="44" spans="1:12">
      <c r="A44" s="19" t="s">
        <v>106</v>
      </c>
      <c r="B44" s="30" t="s">
        <v>211</v>
      </c>
      <c r="C44" s="30" t="s">
        <v>28</v>
      </c>
      <c r="D44" s="30" t="s">
        <v>212</v>
      </c>
      <c r="E44" s="30" t="s">
        <v>213</v>
      </c>
      <c r="F44" s="30" t="s">
        <v>214</v>
      </c>
      <c r="G44" s="22" t="s">
        <v>207</v>
      </c>
      <c r="H44" s="22"/>
      <c r="I44" s="30"/>
      <c r="J44" s="30" t="s">
        <v>72</v>
      </c>
      <c r="K44" s="30"/>
      <c r="L44" s="39"/>
    </row>
    <row r="45" spans="1:12">
      <c r="A45" s="1" t="s">
        <v>106</v>
      </c>
      <c r="B45" s="34" t="s">
        <v>215</v>
      </c>
      <c r="C45" s="34" t="s">
        <v>78</v>
      </c>
      <c r="D45" s="34" t="s">
        <v>216</v>
      </c>
      <c r="E45" s="34" t="s">
        <v>217</v>
      </c>
      <c r="F45" s="34" t="s">
        <v>40</v>
      </c>
      <c r="G45" s="16" t="s">
        <v>207</v>
      </c>
      <c r="H45" s="16" t="s">
        <v>218</v>
      </c>
      <c r="I45" s="34"/>
      <c r="J45" s="34" t="s">
        <v>72</v>
      </c>
      <c r="K45" s="34"/>
      <c r="L45" s="38"/>
    </row>
    <row r="46" spans="1:12">
      <c r="A46" s="19" t="s">
        <v>106</v>
      </c>
      <c r="B46" s="30" t="s">
        <v>219</v>
      </c>
      <c r="C46" s="30" t="s">
        <v>78</v>
      </c>
      <c r="D46" s="30" t="s">
        <v>220</v>
      </c>
      <c r="E46" s="30" t="s">
        <v>221</v>
      </c>
      <c r="F46" s="30" t="s">
        <v>40</v>
      </c>
      <c r="G46" s="22" t="s">
        <v>222</v>
      </c>
      <c r="H46" s="22" t="s">
        <v>223</v>
      </c>
      <c r="I46" s="30" t="s">
        <v>224</v>
      </c>
      <c r="J46" s="30" t="s">
        <v>72</v>
      </c>
      <c r="K46" s="30"/>
      <c r="L46" s="39"/>
    </row>
    <row r="47" spans="1:12">
      <c r="A47" s="1" t="s">
        <v>20</v>
      </c>
      <c r="B47" s="34" t="s">
        <v>225</v>
      </c>
      <c r="C47" s="34" t="s">
        <v>21</v>
      </c>
      <c r="D47" s="34" t="s">
        <v>226</v>
      </c>
      <c r="E47" s="34" t="s">
        <v>227</v>
      </c>
      <c r="F47" s="34" t="s">
        <v>40</v>
      </c>
      <c r="G47" s="16" t="s">
        <v>228</v>
      </c>
      <c r="H47" s="16" t="s">
        <v>229</v>
      </c>
      <c r="I47" s="34" t="s">
        <v>64</v>
      </c>
      <c r="J47" s="34" t="s">
        <v>72</v>
      </c>
      <c r="K47" s="34"/>
      <c r="L47" s="38"/>
    </row>
    <row r="48" spans="1:12">
      <c r="A48" s="19" t="s">
        <v>20</v>
      </c>
      <c r="B48" s="30" t="s">
        <v>230</v>
      </c>
      <c r="C48" s="30" t="s">
        <v>13</v>
      </c>
      <c r="D48" s="30" t="s">
        <v>231</v>
      </c>
      <c r="E48" s="30" t="s">
        <v>232</v>
      </c>
      <c r="F48" s="30" t="s">
        <v>40</v>
      </c>
      <c r="G48" s="22" t="s">
        <v>233</v>
      </c>
      <c r="H48" s="22" t="s">
        <v>234</v>
      </c>
      <c r="I48" s="30" t="s">
        <v>235</v>
      </c>
      <c r="J48" s="30" t="s">
        <v>72</v>
      </c>
      <c r="K48" s="30"/>
      <c r="L48" s="39"/>
    </row>
    <row r="49" spans="1:12">
      <c r="A49" s="1" t="s">
        <v>20</v>
      </c>
      <c r="B49" s="34" t="s">
        <v>236</v>
      </c>
      <c r="C49" s="34" t="s">
        <v>13</v>
      </c>
      <c r="D49" s="34" t="s">
        <v>237</v>
      </c>
      <c r="E49" s="34" t="s">
        <v>238</v>
      </c>
      <c r="F49" s="34" t="s">
        <v>40</v>
      </c>
      <c r="G49" s="16" t="s">
        <v>239</v>
      </c>
      <c r="H49" s="16" t="s">
        <v>240</v>
      </c>
      <c r="I49" s="34" t="s">
        <v>17</v>
      </c>
      <c r="J49" s="34" t="s">
        <v>72</v>
      </c>
      <c r="K49" s="34"/>
      <c r="L49" s="38"/>
    </row>
    <row r="50" spans="1:12">
      <c r="A50" s="19" t="s">
        <v>20</v>
      </c>
      <c r="B50" s="30" t="s">
        <v>241</v>
      </c>
      <c r="C50" s="30" t="s">
        <v>21</v>
      </c>
      <c r="D50" s="30" t="s">
        <v>242</v>
      </c>
      <c r="E50" s="30" t="s">
        <v>243</v>
      </c>
      <c r="F50" s="30" t="s">
        <v>40</v>
      </c>
      <c r="G50" s="22" t="s">
        <v>244</v>
      </c>
      <c r="H50" s="22" t="s">
        <v>245</v>
      </c>
      <c r="I50" s="30" t="s">
        <v>64</v>
      </c>
      <c r="J50" s="30" t="s">
        <v>72</v>
      </c>
      <c r="K50" s="30"/>
      <c r="L50" s="39"/>
    </row>
    <row r="51" spans="1:12">
      <c r="A51" s="1" t="s">
        <v>95</v>
      </c>
      <c r="B51" s="34" t="s">
        <v>246</v>
      </c>
      <c r="C51" s="34" t="s">
        <v>97</v>
      </c>
      <c r="D51" s="34" t="s">
        <v>247</v>
      </c>
      <c r="E51" s="34" t="s">
        <v>248</v>
      </c>
      <c r="F51" s="34" t="s">
        <v>40</v>
      </c>
      <c r="G51" s="16">
        <v>45079.397916666669</v>
      </c>
      <c r="H51" s="16">
        <v>45079.423611111109</v>
      </c>
      <c r="I51" s="34" t="s">
        <v>187</v>
      </c>
      <c r="J51" s="34" t="s">
        <v>132</v>
      </c>
      <c r="K51" s="34"/>
      <c r="L51" s="38"/>
    </row>
    <row r="52" spans="1:12">
      <c r="A52" s="19" t="s">
        <v>106</v>
      </c>
      <c r="B52" s="30" t="s">
        <v>249</v>
      </c>
      <c r="C52" s="30" t="s">
        <v>108</v>
      </c>
      <c r="D52" s="30" t="s">
        <v>250</v>
      </c>
      <c r="E52" s="30" t="s">
        <v>251</v>
      </c>
      <c r="F52" s="30" t="s">
        <v>40</v>
      </c>
      <c r="G52" s="22">
        <v>45079.465277777781</v>
      </c>
      <c r="H52" s="22">
        <v>45079.620138888888</v>
      </c>
      <c r="I52" s="30" t="s">
        <v>111</v>
      </c>
      <c r="J52" s="30" t="s">
        <v>132</v>
      </c>
      <c r="K52" s="30"/>
      <c r="L52" s="39"/>
    </row>
    <row r="53" spans="1:12">
      <c r="A53" s="1" t="s">
        <v>20</v>
      </c>
      <c r="B53" s="34" t="s">
        <v>252</v>
      </c>
      <c r="C53" s="34" t="s">
        <v>13</v>
      </c>
      <c r="D53" s="34" t="s">
        <v>253</v>
      </c>
      <c r="E53" s="34" t="s">
        <v>254</v>
      </c>
      <c r="F53" s="34" t="s">
        <v>40</v>
      </c>
      <c r="G53" s="16">
        <v>45079.65347222222</v>
      </c>
      <c r="H53" s="16">
        <v>45079.67083333333</v>
      </c>
      <c r="I53" s="34" t="s">
        <v>149</v>
      </c>
      <c r="J53" s="34" t="s">
        <v>132</v>
      </c>
      <c r="K53" s="34"/>
      <c r="L53" s="38"/>
    </row>
    <row r="54" spans="1:12">
      <c r="A54" s="19" t="s">
        <v>106</v>
      </c>
      <c r="B54" s="30" t="s">
        <v>255</v>
      </c>
      <c r="C54" s="30" t="s">
        <v>78</v>
      </c>
      <c r="D54" s="30" t="s">
        <v>256</v>
      </c>
      <c r="E54" s="30" t="s">
        <v>257</v>
      </c>
      <c r="F54" s="30" t="s">
        <v>40</v>
      </c>
      <c r="G54" s="22">
        <v>45079.677083333336</v>
      </c>
      <c r="H54" s="22">
        <v>45079.743055555555</v>
      </c>
      <c r="I54" s="30" t="s">
        <v>258</v>
      </c>
      <c r="J54" s="30" t="s">
        <v>132</v>
      </c>
      <c r="K54" s="30"/>
      <c r="L54" s="39"/>
    </row>
    <row r="55" spans="1:12">
      <c r="A55" s="1" t="s">
        <v>20</v>
      </c>
      <c r="B55" s="34" t="s">
        <v>259</v>
      </c>
      <c r="C55" s="34" t="s">
        <v>13</v>
      </c>
      <c r="D55" s="34" t="s">
        <v>260</v>
      </c>
      <c r="E55" s="34" t="s">
        <v>261</v>
      </c>
      <c r="F55" s="34" t="s">
        <v>40</v>
      </c>
      <c r="G55" s="16">
        <v>45079.770833333336</v>
      </c>
      <c r="H55" s="16">
        <v>45079.828472222223</v>
      </c>
      <c r="I55" s="34" t="s">
        <v>17</v>
      </c>
      <c r="J55" s="34" t="s">
        <v>132</v>
      </c>
      <c r="K55" s="34"/>
      <c r="L55" s="38"/>
    </row>
    <row r="56" spans="1:12">
      <c r="A56" s="19" t="s">
        <v>20</v>
      </c>
      <c r="B56" s="30" t="s">
        <v>262</v>
      </c>
      <c r="C56" s="30" t="s">
        <v>21</v>
      </c>
      <c r="D56" s="30" t="s">
        <v>263</v>
      </c>
      <c r="E56" s="30" t="s">
        <v>264</v>
      </c>
      <c r="F56" s="30" t="s">
        <v>214</v>
      </c>
      <c r="G56" s="22">
        <v>45080.676388888889</v>
      </c>
      <c r="H56" s="22"/>
      <c r="I56" s="30" t="s">
        <v>61</v>
      </c>
      <c r="J56" s="30" t="s">
        <v>265</v>
      </c>
      <c r="K56" s="30"/>
      <c r="L56" s="39"/>
    </row>
    <row r="57" spans="1:12">
      <c r="A57" s="1" t="s">
        <v>106</v>
      </c>
      <c r="B57" s="34" t="s">
        <v>266</v>
      </c>
      <c r="C57" s="34" t="s">
        <v>108</v>
      </c>
      <c r="D57" s="34" t="s">
        <v>267</v>
      </c>
      <c r="E57" s="34" t="s">
        <v>268</v>
      </c>
      <c r="F57" s="34" t="s">
        <v>40</v>
      </c>
      <c r="G57" s="16">
        <v>45080.678472222222</v>
      </c>
      <c r="H57" s="16">
        <v>45080.695138888892</v>
      </c>
      <c r="I57" s="34" t="s">
        <v>269</v>
      </c>
      <c r="J57" s="34" t="s">
        <v>265</v>
      </c>
      <c r="K57" s="34"/>
      <c r="L57" s="38"/>
    </row>
    <row r="58" spans="1:12">
      <c r="A58" s="19" t="s">
        <v>106</v>
      </c>
      <c r="B58" s="30" t="s">
        <v>270</v>
      </c>
      <c r="C58" s="30" t="s">
        <v>108</v>
      </c>
      <c r="D58" s="30" t="s">
        <v>271</v>
      </c>
      <c r="E58" s="30" t="s">
        <v>272</v>
      </c>
      <c r="F58" s="30" t="s">
        <v>40</v>
      </c>
      <c r="G58" s="22">
        <v>45080.465277777781</v>
      </c>
      <c r="H58" s="22">
        <v>45080.013888888891</v>
      </c>
      <c r="I58" s="30" t="s">
        <v>273</v>
      </c>
      <c r="J58" s="30" t="s">
        <v>265</v>
      </c>
      <c r="K58" s="30"/>
      <c r="L58" s="39"/>
    </row>
    <row r="59" spans="1:12">
      <c r="A59" s="1" t="s">
        <v>20</v>
      </c>
      <c r="B59" s="34" t="s">
        <v>274</v>
      </c>
      <c r="C59" s="34" t="s">
        <v>21</v>
      </c>
      <c r="D59" s="34" t="s">
        <v>275</v>
      </c>
      <c r="E59" s="34" t="s">
        <v>276</v>
      </c>
      <c r="F59" s="34" t="s">
        <v>40</v>
      </c>
      <c r="G59" s="16">
        <v>45080.852777777778</v>
      </c>
      <c r="H59" s="16">
        <v>45081.0625</v>
      </c>
      <c r="I59" s="34" t="s">
        <v>61</v>
      </c>
      <c r="J59" s="34" t="s">
        <v>72</v>
      </c>
      <c r="K59" s="34"/>
      <c r="L59" s="38"/>
    </row>
    <row r="60" spans="1:12">
      <c r="A60" s="19" t="s">
        <v>20</v>
      </c>
      <c r="B60" s="30" t="s">
        <v>277</v>
      </c>
      <c r="C60" s="30" t="s">
        <v>21</v>
      </c>
      <c r="D60" s="30" t="s">
        <v>278</v>
      </c>
      <c r="E60" s="30" t="s">
        <v>279</v>
      </c>
      <c r="F60" s="30" t="s">
        <v>40</v>
      </c>
      <c r="G60" s="22">
        <v>45080.896527777775</v>
      </c>
      <c r="H60" s="22">
        <v>45080.902777777781</v>
      </c>
      <c r="I60" s="30" t="s">
        <v>64</v>
      </c>
      <c r="J60" s="30" t="s">
        <v>72</v>
      </c>
      <c r="K60" s="30"/>
      <c r="L60" s="39"/>
    </row>
    <row r="61" spans="1:12">
      <c r="A61" s="1" t="s">
        <v>95</v>
      </c>
      <c r="B61" s="34" t="s">
        <v>280</v>
      </c>
      <c r="C61" s="34" t="s">
        <v>118</v>
      </c>
      <c r="D61" s="34" t="s">
        <v>281</v>
      </c>
      <c r="E61" s="34" t="s">
        <v>282</v>
      </c>
      <c r="F61" s="34" t="s">
        <v>40</v>
      </c>
      <c r="G61" s="16">
        <v>45080.955555555556</v>
      </c>
      <c r="H61" s="16">
        <v>45080.97152777778</v>
      </c>
      <c r="I61" s="34" t="s">
        <v>283</v>
      </c>
      <c r="J61" s="34" t="s">
        <v>72</v>
      </c>
      <c r="K61" s="34"/>
      <c r="L61" s="38"/>
    </row>
    <row r="62" spans="1:12">
      <c r="A62" s="19" t="s">
        <v>95</v>
      </c>
      <c r="B62" s="30" t="s">
        <v>284</v>
      </c>
      <c r="C62" s="30" t="s">
        <v>113</v>
      </c>
      <c r="D62" s="30" t="s">
        <v>285</v>
      </c>
      <c r="E62" s="30" t="s">
        <v>286</v>
      </c>
      <c r="F62" s="30" t="s">
        <v>40</v>
      </c>
      <c r="G62" s="22">
        <v>45081.101388888892</v>
      </c>
      <c r="H62" s="22">
        <v>45081.116666666669</v>
      </c>
      <c r="I62" s="30" t="s">
        <v>17</v>
      </c>
      <c r="J62" s="30" t="s">
        <v>72</v>
      </c>
      <c r="K62" s="30"/>
      <c r="L62" s="39"/>
    </row>
    <row r="63" spans="1:12">
      <c r="A63" s="1" t="s">
        <v>20</v>
      </c>
      <c r="B63" s="34" t="s">
        <v>287</v>
      </c>
      <c r="C63" s="34" t="s">
        <v>21</v>
      </c>
      <c r="D63" s="34" t="s">
        <v>288</v>
      </c>
      <c r="E63" s="34" t="s">
        <v>289</v>
      </c>
      <c r="F63" s="34" t="s">
        <v>40</v>
      </c>
      <c r="G63" s="16">
        <v>45081.145833333336</v>
      </c>
      <c r="H63" s="16">
        <v>45081.159722222219</v>
      </c>
      <c r="I63" s="34" t="s">
        <v>64</v>
      </c>
      <c r="J63" s="34" t="s">
        <v>72</v>
      </c>
      <c r="K63" s="34"/>
      <c r="L63" s="38"/>
    </row>
    <row r="64" spans="1:12">
      <c r="A64" s="19" t="s">
        <v>95</v>
      </c>
      <c r="B64" s="30" t="s">
        <v>290</v>
      </c>
      <c r="C64" s="30" t="s">
        <v>113</v>
      </c>
      <c r="D64" s="30" t="s">
        <v>291</v>
      </c>
      <c r="E64" s="30" t="s">
        <v>292</v>
      </c>
      <c r="F64" s="30" t="s">
        <v>40</v>
      </c>
      <c r="G64" s="22">
        <v>45081.333333333336</v>
      </c>
      <c r="H64" s="22">
        <v>45081.392361111109</v>
      </c>
      <c r="I64" s="30" t="s">
        <v>155</v>
      </c>
      <c r="J64" s="30" t="s">
        <v>265</v>
      </c>
      <c r="K64" s="30"/>
      <c r="L64" s="39"/>
    </row>
    <row r="65" spans="1:12">
      <c r="A65" s="1" t="s">
        <v>95</v>
      </c>
      <c r="B65" s="34" t="s">
        <v>293</v>
      </c>
      <c r="C65" s="34" t="s">
        <v>97</v>
      </c>
      <c r="D65" s="34" t="s">
        <v>294</v>
      </c>
      <c r="E65" s="34" t="s">
        <v>295</v>
      </c>
      <c r="F65" s="34" t="s">
        <v>40</v>
      </c>
      <c r="G65" s="16">
        <v>45081.435416666667</v>
      </c>
      <c r="H65" s="16">
        <v>45081.029861111114</v>
      </c>
      <c r="I65" s="34" t="s">
        <v>187</v>
      </c>
      <c r="J65" s="34" t="s">
        <v>265</v>
      </c>
      <c r="K65" s="34"/>
      <c r="L65" s="38"/>
    </row>
    <row r="66" spans="1:12">
      <c r="A66" s="19" t="s">
        <v>106</v>
      </c>
      <c r="B66" s="30" t="s">
        <v>296</v>
      </c>
      <c r="C66" s="30" t="s">
        <v>13</v>
      </c>
      <c r="D66" s="30" t="s">
        <v>297</v>
      </c>
      <c r="E66" s="30" t="s">
        <v>298</v>
      </c>
      <c r="F66" s="30" t="s">
        <v>214</v>
      </c>
      <c r="G66" s="22">
        <v>45081.073611111111</v>
      </c>
      <c r="H66" s="22">
        <v>45081.797222222223</v>
      </c>
      <c r="I66" s="30" t="s">
        <v>299</v>
      </c>
      <c r="J66" s="30" t="s">
        <v>265</v>
      </c>
      <c r="K66" s="30"/>
      <c r="L66" s="39"/>
    </row>
    <row r="67" spans="1:12">
      <c r="A67" s="53" t="s">
        <v>106</v>
      </c>
      <c r="B67" s="34" t="s">
        <v>300</v>
      </c>
      <c r="C67" s="34" t="s">
        <v>13</v>
      </c>
      <c r="D67" s="34" t="s">
        <v>301</v>
      </c>
      <c r="E67" s="34" t="s">
        <v>302</v>
      </c>
      <c r="F67" s="34" t="s">
        <v>40</v>
      </c>
      <c r="G67" s="16">
        <v>45081.643055555556</v>
      </c>
      <c r="H67" s="16">
        <v>45081.677777777775</v>
      </c>
      <c r="I67" s="34" t="s">
        <v>17</v>
      </c>
      <c r="J67" s="34" t="s">
        <v>265</v>
      </c>
      <c r="K67" s="34"/>
      <c r="L67" s="38"/>
    </row>
    <row r="68" spans="1:12">
      <c r="A68" s="19" t="s">
        <v>20</v>
      </c>
      <c r="B68" s="30" t="s">
        <v>303</v>
      </c>
      <c r="C68" s="30" t="s">
        <v>21</v>
      </c>
      <c r="D68" s="30" t="s">
        <v>304</v>
      </c>
      <c r="E68" s="30" t="s">
        <v>305</v>
      </c>
      <c r="F68" s="30" t="s">
        <v>40</v>
      </c>
      <c r="G68" s="22">
        <v>45081.913888888892</v>
      </c>
      <c r="H68" s="22">
        <v>45081.923611111109</v>
      </c>
      <c r="I68" s="30" t="s">
        <v>64</v>
      </c>
      <c r="J68" s="30" t="s">
        <v>72</v>
      </c>
      <c r="K68" s="30"/>
      <c r="L68" s="39"/>
    </row>
    <row r="69" spans="1:12">
      <c r="A69" s="1" t="s">
        <v>20</v>
      </c>
      <c r="B69" s="34" t="s">
        <v>306</v>
      </c>
      <c r="C69" s="34" t="s">
        <v>13</v>
      </c>
      <c r="D69" s="34" t="s">
        <v>307</v>
      </c>
      <c r="E69" s="34"/>
      <c r="F69" s="34" t="s">
        <v>308</v>
      </c>
      <c r="G69" s="16">
        <v>45082.354166666664</v>
      </c>
      <c r="H69" s="16"/>
      <c r="I69" s="34" t="s">
        <v>299</v>
      </c>
      <c r="J69" s="34" t="s">
        <v>132</v>
      </c>
      <c r="K69" s="34"/>
      <c r="L69" s="38"/>
    </row>
    <row r="70" spans="1:12">
      <c r="A70" s="19" t="s">
        <v>106</v>
      </c>
      <c r="B70" s="30" t="s">
        <v>309</v>
      </c>
      <c r="C70" s="30" t="s">
        <v>78</v>
      </c>
      <c r="D70" s="30" t="s">
        <v>310</v>
      </c>
      <c r="E70" s="30" t="s">
        <v>311</v>
      </c>
      <c r="F70" s="30" t="s">
        <v>40</v>
      </c>
      <c r="G70" s="22">
        <v>45082.531944444447</v>
      </c>
      <c r="H70" s="22">
        <v>45082.734027777777</v>
      </c>
      <c r="I70" s="30" t="s">
        <v>258</v>
      </c>
      <c r="J70" s="30" t="s">
        <v>132</v>
      </c>
      <c r="K70" s="30"/>
      <c r="L70" s="39"/>
    </row>
    <row r="71" spans="1:12">
      <c r="A71" s="1" t="s">
        <v>106</v>
      </c>
      <c r="B71" s="34" t="s">
        <v>312</v>
      </c>
      <c r="C71" s="34" t="s">
        <v>313</v>
      </c>
      <c r="D71" s="34" t="s">
        <v>314</v>
      </c>
      <c r="E71" s="34" t="s">
        <v>315</v>
      </c>
      <c r="F71" s="34" t="s">
        <v>40</v>
      </c>
      <c r="G71" s="16">
        <v>45082.770833333336</v>
      </c>
      <c r="H71" s="16">
        <v>45082.798611111109</v>
      </c>
      <c r="I71" s="34" t="s">
        <v>32</v>
      </c>
      <c r="J71" s="34" t="s">
        <v>132</v>
      </c>
      <c r="K71" s="34"/>
      <c r="L71" s="38"/>
    </row>
    <row r="72" spans="1:12">
      <c r="A72" s="19" t="s">
        <v>106</v>
      </c>
      <c r="B72" s="30" t="s">
        <v>316</v>
      </c>
      <c r="C72" s="43" t="s">
        <v>108</v>
      </c>
      <c r="D72" s="43" t="s">
        <v>317</v>
      </c>
      <c r="E72" s="43"/>
      <c r="F72" s="43" t="s">
        <v>308</v>
      </c>
      <c r="G72" s="22">
        <v>45052.798611111109</v>
      </c>
      <c r="H72" s="22"/>
      <c r="I72" s="44" t="s">
        <v>318</v>
      </c>
      <c r="J72" s="45" t="s">
        <v>132</v>
      </c>
      <c r="K72" s="45"/>
      <c r="L72" s="46"/>
    </row>
    <row r="73" spans="1:12">
      <c r="A73" s="42" t="s">
        <v>106</v>
      </c>
      <c r="B73" s="34" t="s">
        <v>319</v>
      </c>
      <c r="C73" s="34" t="s">
        <v>78</v>
      </c>
      <c r="D73" s="34" t="s">
        <v>320</v>
      </c>
      <c r="E73" s="34" t="s">
        <v>321</v>
      </c>
      <c r="F73" s="34" t="s">
        <v>40</v>
      </c>
      <c r="G73" s="16">
        <v>45082.835416666669</v>
      </c>
      <c r="H73" s="16">
        <v>45082.96597222222</v>
      </c>
      <c r="I73" s="34" t="s">
        <v>32</v>
      </c>
      <c r="J73" s="34" t="s">
        <v>72</v>
      </c>
      <c r="K73" s="34"/>
      <c r="L73" s="38"/>
    </row>
    <row r="74" spans="1:12">
      <c r="A74" s="19" t="s">
        <v>95</v>
      </c>
      <c r="B74" s="30" t="s">
        <v>322</v>
      </c>
      <c r="C74" s="30" t="s">
        <v>118</v>
      </c>
      <c r="D74" s="30" t="s">
        <v>323</v>
      </c>
      <c r="E74" s="30" t="s">
        <v>324</v>
      </c>
      <c r="F74" s="30" t="s">
        <v>40</v>
      </c>
      <c r="G74" s="22">
        <v>45082.928472222222</v>
      </c>
      <c r="H74" s="22">
        <v>45082.961805555555</v>
      </c>
      <c r="I74" s="30" t="s">
        <v>325</v>
      </c>
      <c r="J74" s="30" t="s">
        <v>72</v>
      </c>
      <c r="K74" s="30"/>
      <c r="L74" s="39"/>
    </row>
    <row r="75" spans="1:12">
      <c r="A75" s="1" t="s">
        <v>20</v>
      </c>
      <c r="B75" s="34" t="s">
        <v>326</v>
      </c>
      <c r="C75" s="34" t="s">
        <v>21</v>
      </c>
      <c r="D75" s="34" t="s">
        <v>327</v>
      </c>
      <c r="E75" s="34" t="s">
        <v>328</v>
      </c>
      <c r="F75" s="34" t="s">
        <v>40</v>
      </c>
      <c r="G75" s="16">
        <v>45083.322916666664</v>
      </c>
      <c r="H75" s="16">
        <v>45083.333333333336</v>
      </c>
      <c r="I75" s="34" t="s">
        <v>32</v>
      </c>
      <c r="J75" s="34" t="s">
        <v>72</v>
      </c>
      <c r="K75" s="34"/>
      <c r="L75" s="38"/>
    </row>
    <row r="76" spans="1:12">
      <c r="A76" s="54" t="s">
        <v>106</v>
      </c>
      <c r="B76" s="30" t="s">
        <v>329</v>
      </c>
      <c r="C76" s="30" t="s">
        <v>108</v>
      </c>
      <c r="D76" s="30" t="s">
        <v>330</v>
      </c>
      <c r="E76" s="30" t="s">
        <v>331</v>
      </c>
      <c r="F76" s="30" t="s">
        <v>40</v>
      </c>
      <c r="G76" s="22">
        <v>45083.444444444445</v>
      </c>
      <c r="H76" s="22">
        <v>45083.465277777781</v>
      </c>
      <c r="I76" s="30" t="s">
        <v>32</v>
      </c>
      <c r="J76" s="30" t="s">
        <v>132</v>
      </c>
      <c r="K76" s="30"/>
      <c r="L76" s="39"/>
    </row>
    <row r="77" spans="1:12">
      <c r="A77" s="1" t="s">
        <v>106</v>
      </c>
      <c r="B77" s="34" t="s">
        <v>332</v>
      </c>
      <c r="C77" s="34" t="s">
        <v>333</v>
      </c>
      <c r="D77" s="34" t="s">
        <v>334</v>
      </c>
      <c r="E77" s="34" t="s">
        <v>335</v>
      </c>
      <c r="F77" s="34" t="s">
        <v>40</v>
      </c>
      <c r="G77" s="16">
        <v>45083.500694444447</v>
      </c>
      <c r="H77" s="16">
        <v>45083.628472222219</v>
      </c>
      <c r="I77" s="34" t="s">
        <v>336</v>
      </c>
      <c r="J77" s="34" t="s">
        <v>132</v>
      </c>
      <c r="K77" s="34"/>
      <c r="L77" s="38"/>
    </row>
    <row r="78" spans="1:12">
      <c r="A78" s="19" t="s">
        <v>20</v>
      </c>
      <c r="B78" s="30" t="s">
        <v>337</v>
      </c>
      <c r="C78" s="30" t="s">
        <v>21</v>
      </c>
      <c r="D78" s="30" t="s">
        <v>338</v>
      </c>
      <c r="E78" s="30" t="s">
        <v>339</v>
      </c>
      <c r="F78" s="30" t="s">
        <v>40</v>
      </c>
      <c r="G78" s="22">
        <v>45083.897222222222</v>
      </c>
      <c r="H78" s="22">
        <v>45083.989583333336</v>
      </c>
      <c r="I78" s="30" t="s">
        <v>32</v>
      </c>
      <c r="J78" s="30" t="s">
        <v>72</v>
      </c>
      <c r="K78" s="30"/>
      <c r="L78" s="39"/>
    </row>
    <row r="79" spans="1:12">
      <c r="A79" s="1" t="s">
        <v>20</v>
      </c>
      <c r="B79" s="34" t="s">
        <v>340</v>
      </c>
      <c r="C79" s="34" t="s">
        <v>21</v>
      </c>
      <c r="D79" s="34" t="s">
        <v>341</v>
      </c>
      <c r="E79" s="34" t="s">
        <v>342</v>
      </c>
      <c r="F79" s="34" t="s">
        <v>40</v>
      </c>
      <c r="G79" s="16">
        <v>45083.941666666666</v>
      </c>
      <c r="H79" s="16">
        <v>45083.955555555556</v>
      </c>
      <c r="I79" s="34" t="s">
        <v>64</v>
      </c>
      <c r="J79" s="34" t="s">
        <v>72</v>
      </c>
      <c r="K79" s="34"/>
      <c r="L79" s="38"/>
    </row>
    <row r="80" spans="1:12">
      <c r="A80" s="19" t="s">
        <v>106</v>
      </c>
      <c r="B80" s="30" t="s">
        <v>343</v>
      </c>
      <c r="C80" s="30" t="s">
        <v>333</v>
      </c>
      <c r="D80" s="30" t="s">
        <v>344</v>
      </c>
      <c r="E80" s="30" t="s">
        <v>345</v>
      </c>
      <c r="F80" s="30" t="s">
        <v>40</v>
      </c>
      <c r="G80" s="22">
        <v>45083.938194444447</v>
      </c>
      <c r="H80" s="22">
        <v>45083.984027777777</v>
      </c>
      <c r="I80" s="30" t="s">
        <v>346</v>
      </c>
      <c r="J80" s="30" t="s">
        <v>72</v>
      </c>
      <c r="K80" s="30"/>
      <c r="L80" s="39"/>
    </row>
    <row r="81" spans="1:12">
      <c r="A81" s="1" t="s">
        <v>20</v>
      </c>
      <c r="B81" s="34" t="s">
        <v>347</v>
      </c>
      <c r="C81" s="34" t="s">
        <v>21</v>
      </c>
      <c r="D81" s="34" t="s">
        <v>348</v>
      </c>
      <c r="E81" s="34" t="s">
        <v>349</v>
      </c>
      <c r="F81" s="34" t="s">
        <v>40</v>
      </c>
      <c r="G81" s="16">
        <v>45084.022222222222</v>
      </c>
      <c r="H81" s="16">
        <v>45084.169444444444</v>
      </c>
      <c r="I81" s="34" t="s">
        <v>64</v>
      </c>
      <c r="J81" s="34" t="s">
        <v>72</v>
      </c>
      <c r="K81" s="34"/>
      <c r="L81" s="38"/>
    </row>
    <row r="82" spans="1:12">
      <c r="A82" s="19" t="s">
        <v>106</v>
      </c>
      <c r="B82" s="30" t="s">
        <v>350</v>
      </c>
      <c r="C82" s="30" t="s">
        <v>78</v>
      </c>
      <c r="D82" s="30" t="s">
        <v>351</v>
      </c>
      <c r="E82" s="30" t="s">
        <v>352</v>
      </c>
      <c r="F82" s="30" t="s">
        <v>40</v>
      </c>
      <c r="G82" s="22">
        <v>45085.401388888888</v>
      </c>
      <c r="H82" s="22">
        <v>45085.469444444447</v>
      </c>
      <c r="I82" s="30" t="s">
        <v>258</v>
      </c>
      <c r="J82" s="30" t="s">
        <v>101</v>
      </c>
      <c r="K82" s="30"/>
      <c r="L82" s="39"/>
    </row>
    <row r="83" spans="1:12">
      <c r="A83" s="1" t="s">
        <v>106</v>
      </c>
      <c r="B83" s="34" t="s">
        <v>350</v>
      </c>
      <c r="C83" s="34" t="s">
        <v>78</v>
      </c>
      <c r="D83" s="34" t="s">
        <v>351</v>
      </c>
      <c r="E83" s="34" t="s">
        <v>352</v>
      </c>
      <c r="F83" s="34" t="s">
        <v>40</v>
      </c>
      <c r="G83" s="16">
        <v>45084.280555555553</v>
      </c>
      <c r="H83" s="16">
        <v>45090.69027777778</v>
      </c>
      <c r="I83" s="34" t="s">
        <v>258</v>
      </c>
      <c r="J83" s="34" t="s">
        <v>101</v>
      </c>
      <c r="K83" s="34"/>
      <c r="L83" s="38"/>
    </row>
    <row r="84" spans="1:12">
      <c r="A84" s="19" t="s">
        <v>20</v>
      </c>
      <c r="B84" s="30" t="s">
        <v>353</v>
      </c>
      <c r="C84" s="30" t="s">
        <v>21</v>
      </c>
      <c r="D84" s="30" t="s">
        <v>354</v>
      </c>
      <c r="E84" s="30" t="s">
        <v>355</v>
      </c>
      <c r="F84" s="30" t="s">
        <v>40</v>
      </c>
      <c r="G84" s="22">
        <v>45084.993055555555</v>
      </c>
      <c r="H84" s="22">
        <v>45085.031944444447</v>
      </c>
      <c r="I84" s="30" t="s">
        <v>356</v>
      </c>
      <c r="J84" s="30" t="s">
        <v>41</v>
      </c>
      <c r="K84" s="30"/>
      <c r="L84" s="39"/>
    </row>
    <row r="85" spans="1:12">
      <c r="A85" s="1" t="s">
        <v>20</v>
      </c>
      <c r="B85" s="34" t="s">
        <v>357</v>
      </c>
      <c r="C85" s="34" t="s">
        <v>13</v>
      </c>
      <c r="D85" s="34" t="s">
        <v>358</v>
      </c>
      <c r="E85" s="34" t="s">
        <v>359</v>
      </c>
      <c r="F85" s="34" t="s">
        <v>40</v>
      </c>
      <c r="G85" s="16">
        <v>45085.0625</v>
      </c>
      <c r="H85" s="16">
        <v>45085.073611111111</v>
      </c>
      <c r="I85" s="34" t="s">
        <v>17</v>
      </c>
      <c r="J85" s="34" t="s">
        <v>41</v>
      </c>
      <c r="K85" s="34"/>
      <c r="L85" s="38"/>
    </row>
    <row r="86" spans="1:12">
      <c r="A86" s="19" t="s">
        <v>20</v>
      </c>
      <c r="B86" s="30" t="s">
        <v>360</v>
      </c>
      <c r="C86" s="30" t="s">
        <v>13</v>
      </c>
      <c r="D86" s="30" t="s">
        <v>361</v>
      </c>
      <c r="E86" s="30" t="s">
        <v>362</v>
      </c>
      <c r="F86" s="30" t="s">
        <v>40</v>
      </c>
      <c r="G86" s="22">
        <v>45085.109027777777</v>
      </c>
      <c r="H86" s="22">
        <v>45085.114583333336</v>
      </c>
      <c r="I86" s="30" t="s">
        <v>17</v>
      </c>
      <c r="J86" s="30" t="s">
        <v>41</v>
      </c>
      <c r="K86" s="30"/>
      <c r="L86" s="39"/>
    </row>
    <row r="87" spans="1:12">
      <c r="A87" s="1" t="s">
        <v>20</v>
      </c>
      <c r="B87" s="34" t="s">
        <v>363</v>
      </c>
      <c r="C87" s="34" t="s">
        <v>21</v>
      </c>
      <c r="D87" s="34" t="s">
        <v>364</v>
      </c>
      <c r="E87" s="34" t="s">
        <v>365</v>
      </c>
      <c r="F87" s="34" t="s">
        <v>40</v>
      </c>
      <c r="G87" s="16">
        <v>45085.122916666667</v>
      </c>
      <c r="H87" s="16">
        <v>45085.122916666667</v>
      </c>
      <c r="I87" s="34" t="s">
        <v>17</v>
      </c>
      <c r="J87" s="34" t="s">
        <v>41</v>
      </c>
      <c r="K87" s="34"/>
      <c r="L87" s="38"/>
    </row>
    <row r="88" spans="1:12">
      <c r="A88" s="19" t="s">
        <v>106</v>
      </c>
      <c r="B88" s="30" t="s">
        <v>366</v>
      </c>
      <c r="C88" s="30" t="s">
        <v>108</v>
      </c>
      <c r="D88" s="30" t="s">
        <v>367</v>
      </c>
      <c r="E88" s="30" t="s">
        <v>368</v>
      </c>
      <c r="F88" s="30" t="s">
        <v>40</v>
      </c>
      <c r="G88" s="22">
        <v>45084.022222222222</v>
      </c>
      <c r="H88" s="22">
        <v>45085.177777777775</v>
      </c>
      <c r="I88" s="30" t="s">
        <v>32</v>
      </c>
      <c r="J88" s="30" t="s">
        <v>41</v>
      </c>
      <c r="K88" s="30"/>
      <c r="L88" s="39"/>
    </row>
    <row r="89" spans="1:12">
      <c r="A89" s="1" t="s">
        <v>20</v>
      </c>
      <c r="B89" s="34" t="s">
        <v>369</v>
      </c>
      <c r="C89" s="34" t="s">
        <v>21</v>
      </c>
      <c r="D89" s="34" t="s">
        <v>370</v>
      </c>
      <c r="E89" s="34" t="s">
        <v>371</v>
      </c>
      <c r="F89" s="34" t="s">
        <v>40</v>
      </c>
      <c r="G89" s="16">
        <v>45085.191666666666</v>
      </c>
      <c r="H89" s="16">
        <v>45085.2</v>
      </c>
      <c r="I89" s="34"/>
      <c r="J89" s="34"/>
      <c r="K89" s="34"/>
      <c r="L89" s="38"/>
    </row>
    <row r="90" spans="1:12">
      <c r="A90" s="41" t="s">
        <v>95</v>
      </c>
      <c r="B90" s="30" t="s">
        <v>372</v>
      </c>
      <c r="C90" s="30" t="s">
        <v>118</v>
      </c>
      <c r="D90" s="30" t="s">
        <v>373</v>
      </c>
      <c r="E90" s="30" t="s">
        <v>374</v>
      </c>
      <c r="F90" s="30" t="s">
        <v>40</v>
      </c>
      <c r="G90" s="22">
        <v>45085.232638888891</v>
      </c>
      <c r="H90" s="22">
        <v>45085.23333333333</v>
      </c>
      <c r="I90" s="30"/>
      <c r="J90" s="30" t="s">
        <v>41</v>
      </c>
      <c r="K90" s="30"/>
      <c r="L90" s="39"/>
    </row>
    <row r="91" spans="1:12">
      <c r="A91" s="42" t="s">
        <v>95</v>
      </c>
      <c r="B91" s="34" t="s">
        <v>375</v>
      </c>
      <c r="C91" s="34" t="s">
        <v>97</v>
      </c>
      <c r="D91" s="34" t="s">
        <v>376</v>
      </c>
      <c r="E91" s="34" t="s">
        <v>377</v>
      </c>
      <c r="F91" s="34" t="s">
        <v>40</v>
      </c>
      <c r="G91" s="16">
        <v>45085.378472222219</v>
      </c>
      <c r="H91" s="16">
        <v>45085.5</v>
      </c>
      <c r="I91" s="34" t="s">
        <v>105</v>
      </c>
      <c r="J91" s="34" t="s">
        <v>101</v>
      </c>
      <c r="K91" s="34"/>
      <c r="L91" s="38"/>
    </row>
    <row r="92" spans="1:12">
      <c r="A92" s="41" t="s">
        <v>95</v>
      </c>
      <c r="B92" s="30" t="s">
        <v>375</v>
      </c>
      <c r="C92" s="30" t="s">
        <v>97</v>
      </c>
      <c r="D92" s="30" t="s">
        <v>376</v>
      </c>
      <c r="E92" s="30" t="s">
        <v>377</v>
      </c>
      <c r="F92" s="30" t="s">
        <v>40</v>
      </c>
      <c r="G92" s="22">
        <v>45085.268750000003</v>
      </c>
      <c r="H92" s="22">
        <v>45090.694444444445</v>
      </c>
      <c r="I92" s="30" t="s">
        <v>378</v>
      </c>
      <c r="J92" s="30" t="s">
        <v>101</v>
      </c>
      <c r="K92" s="30"/>
      <c r="L92" s="39"/>
    </row>
    <row r="93" spans="1:12">
      <c r="A93" s="42" t="s">
        <v>106</v>
      </c>
      <c r="B93" s="34" t="s">
        <v>379</v>
      </c>
      <c r="C93" s="34" t="s">
        <v>380</v>
      </c>
      <c r="D93" s="34" t="s">
        <v>381</v>
      </c>
      <c r="E93" s="34" t="s">
        <v>382</v>
      </c>
      <c r="F93" s="34" t="s">
        <v>40</v>
      </c>
      <c r="G93" s="16">
        <v>45085.285416666666</v>
      </c>
      <c r="H93" s="16">
        <v>45090.399305555555</v>
      </c>
      <c r="I93" s="34" t="s">
        <v>383</v>
      </c>
      <c r="J93" s="34" t="s">
        <v>101</v>
      </c>
      <c r="K93" s="34"/>
      <c r="L93" s="38"/>
    </row>
    <row r="94" spans="1:12">
      <c r="A94" s="19" t="s">
        <v>106</v>
      </c>
      <c r="B94" s="30" t="s">
        <v>384</v>
      </c>
      <c r="C94" s="30" t="s">
        <v>108</v>
      </c>
      <c r="D94" s="30" t="s">
        <v>385</v>
      </c>
      <c r="E94" s="30" t="s">
        <v>386</v>
      </c>
      <c r="F94" s="30" t="s">
        <v>40</v>
      </c>
      <c r="G94" s="22">
        <v>45085.429166666669</v>
      </c>
      <c r="H94" s="22">
        <v>45085.583333333336</v>
      </c>
      <c r="I94" s="30" t="s">
        <v>387</v>
      </c>
      <c r="J94" s="30" t="s">
        <v>101</v>
      </c>
      <c r="K94" s="30"/>
      <c r="L94" s="39"/>
    </row>
    <row r="95" spans="1:12">
      <c r="A95" s="1" t="s">
        <v>106</v>
      </c>
      <c r="B95" s="34" t="s">
        <v>388</v>
      </c>
      <c r="C95" s="34" t="s">
        <v>380</v>
      </c>
      <c r="D95" s="34" t="s">
        <v>381</v>
      </c>
      <c r="E95" s="34" t="s">
        <v>389</v>
      </c>
      <c r="F95" s="34" t="s">
        <v>40</v>
      </c>
      <c r="G95" s="16">
        <v>45086.248611111114</v>
      </c>
      <c r="H95" s="16">
        <v>45090.397916666669</v>
      </c>
      <c r="I95" s="34" t="s">
        <v>383</v>
      </c>
      <c r="J95" s="34" t="s">
        <v>101</v>
      </c>
      <c r="K95" s="34"/>
      <c r="L95" s="38"/>
    </row>
    <row r="96" spans="1:12">
      <c r="A96" s="19" t="s">
        <v>95</v>
      </c>
      <c r="B96" s="30" t="s">
        <v>390</v>
      </c>
      <c r="C96" s="30" t="s">
        <v>97</v>
      </c>
      <c r="D96" s="30" t="s">
        <v>391</v>
      </c>
      <c r="E96" s="30" t="s">
        <v>392</v>
      </c>
      <c r="F96" s="30" t="s">
        <v>40</v>
      </c>
      <c r="G96" s="22">
        <v>45086.267361111109</v>
      </c>
      <c r="H96" s="22">
        <v>45089.734722222223</v>
      </c>
      <c r="I96" s="30" t="s">
        <v>378</v>
      </c>
      <c r="J96" s="30" t="s">
        <v>101</v>
      </c>
      <c r="K96" s="30"/>
      <c r="L96" s="39"/>
    </row>
    <row r="97" spans="1:12">
      <c r="A97" s="1" t="s">
        <v>106</v>
      </c>
      <c r="B97" s="34" t="s">
        <v>393</v>
      </c>
      <c r="C97" s="34" t="s">
        <v>108</v>
      </c>
      <c r="D97" s="34" t="s">
        <v>394</v>
      </c>
      <c r="E97" s="34" t="s">
        <v>395</v>
      </c>
      <c r="F97" s="34" t="s">
        <v>40</v>
      </c>
      <c r="G97" s="16">
        <v>45087.392361111109</v>
      </c>
      <c r="H97" s="16">
        <v>45090.396527777775</v>
      </c>
      <c r="I97" s="34" t="s">
        <v>396</v>
      </c>
      <c r="J97" s="34" t="s">
        <v>101</v>
      </c>
      <c r="K97" s="34"/>
      <c r="L97" s="38"/>
    </row>
    <row r="98" spans="1:12">
      <c r="A98" s="19" t="s">
        <v>106</v>
      </c>
      <c r="B98" s="30" t="s">
        <v>397</v>
      </c>
      <c r="C98" s="30" t="s">
        <v>78</v>
      </c>
      <c r="D98" s="30" t="s">
        <v>398</v>
      </c>
      <c r="E98" s="30" t="s">
        <v>399</v>
      </c>
      <c r="F98" s="30" t="s">
        <v>40</v>
      </c>
      <c r="G98" s="22">
        <v>45087.419444444444</v>
      </c>
      <c r="H98" s="22">
        <v>45090.395833333336</v>
      </c>
      <c r="I98" s="30" t="s">
        <v>258</v>
      </c>
      <c r="J98" s="30" t="s">
        <v>101</v>
      </c>
      <c r="K98" s="30"/>
      <c r="L98" s="39"/>
    </row>
    <row r="99" spans="1:12">
      <c r="A99" s="1" t="s">
        <v>106</v>
      </c>
      <c r="B99" s="34" t="s">
        <v>400</v>
      </c>
      <c r="C99" s="34" t="s">
        <v>108</v>
      </c>
      <c r="D99" s="34" t="s">
        <v>401</v>
      </c>
      <c r="E99" s="34" t="s">
        <v>402</v>
      </c>
      <c r="F99" s="34" t="s">
        <v>40</v>
      </c>
      <c r="G99" s="16">
        <v>45087.542361111111</v>
      </c>
      <c r="H99" s="16">
        <v>45090.397916666669</v>
      </c>
      <c r="I99" s="34" t="s">
        <v>32</v>
      </c>
      <c r="J99" s="34" t="s">
        <v>101</v>
      </c>
      <c r="K99" s="34"/>
      <c r="L99" s="38"/>
    </row>
    <row r="100" spans="1:12">
      <c r="A100" s="19" t="s">
        <v>106</v>
      </c>
      <c r="B100" s="30" t="s">
        <v>403</v>
      </c>
      <c r="C100" s="30" t="s">
        <v>313</v>
      </c>
      <c r="D100" s="30" t="s">
        <v>404</v>
      </c>
      <c r="E100" s="30" t="s">
        <v>405</v>
      </c>
      <c r="F100" s="30" t="s">
        <v>40</v>
      </c>
      <c r="G100" s="22">
        <v>45087.604166666664</v>
      </c>
      <c r="H100" s="22">
        <v>45089.734722222223</v>
      </c>
      <c r="I100" s="30" t="s">
        <v>32</v>
      </c>
      <c r="J100" s="30" t="s">
        <v>101</v>
      </c>
      <c r="K100" s="30"/>
      <c r="L100" s="39"/>
    </row>
    <row r="101" spans="1:12">
      <c r="A101" s="1" t="s">
        <v>20</v>
      </c>
      <c r="B101" s="34" t="s">
        <v>406</v>
      </c>
      <c r="C101" s="34" t="s">
        <v>13</v>
      </c>
      <c r="D101" s="34" t="s">
        <v>407</v>
      </c>
      <c r="E101" s="34" t="s">
        <v>408</v>
      </c>
      <c r="F101" s="34" t="s">
        <v>40</v>
      </c>
      <c r="G101" s="16">
        <v>45087.629861111112</v>
      </c>
      <c r="H101" s="16">
        <v>45089.720138888886</v>
      </c>
      <c r="I101" s="34" t="s">
        <v>409</v>
      </c>
      <c r="J101" s="34" t="s">
        <v>101</v>
      </c>
      <c r="K101" s="34"/>
      <c r="L101" s="38"/>
    </row>
    <row r="102" spans="1:12">
      <c r="A102" s="19" t="s">
        <v>106</v>
      </c>
      <c r="B102" s="30" t="s">
        <v>410</v>
      </c>
      <c r="C102" s="30" t="s">
        <v>380</v>
      </c>
      <c r="D102" s="30" t="s">
        <v>411</v>
      </c>
      <c r="E102" s="30" t="s">
        <v>412</v>
      </c>
      <c r="F102" s="30" t="s">
        <v>40</v>
      </c>
      <c r="G102" s="22">
        <v>45087.69027777778</v>
      </c>
      <c r="H102" s="22">
        <v>45090.396527777775</v>
      </c>
      <c r="I102" s="30" t="s">
        <v>383</v>
      </c>
      <c r="J102" s="30" t="s">
        <v>101</v>
      </c>
      <c r="K102" s="30"/>
      <c r="L102" s="39"/>
    </row>
    <row r="103" spans="1:12">
      <c r="A103" s="1" t="s">
        <v>106</v>
      </c>
      <c r="B103" s="34" t="s">
        <v>413</v>
      </c>
      <c r="C103" s="34" t="s">
        <v>380</v>
      </c>
      <c r="D103" s="34" t="s">
        <v>414</v>
      </c>
      <c r="E103" s="34" t="s">
        <v>415</v>
      </c>
      <c r="F103" s="34" t="s">
        <v>40</v>
      </c>
      <c r="G103" s="16">
        <v>45088.700694444444</v>
      </c>
      <c r="H103" s="16">
        <v>45089.734027777777</v>
      </c>
      <c r="I103" s="34" t="s">
        <v>383</v>
      </c>
      <c r="J103" s="34" t="s">
        <v>101</v>
      </c>
      <c r="K103" s="34"/>
      <c r="L103" s="38"/>
    </row>
    <row r="104" spans="1:12">
      <c r="A104" s="51" t="s">
        <v>55</v>
      </c>
      <c r="B104" s="30" t="s">
        <v>416</v>
      </c>
      <c r="C104" s="30" t="s">
        <v>108</v>
      </c>
      <c r="D104" s="30" t="s">
        <v>417</v>
      </c>
      <c r="E104" s="30" t="s">
        <v>418</v>
      </c>
      <c r="F104" s="30" t="s">
        <v>40</v>
      </c>
      <c r="G104" s="22">
        <v>45266.279166666667</v>
      </c>
      <c r="H104" s="22">
        <v>45266.28402777778</v>
      </c>
      <c r="I104" s="30" t="s">
        <v>32</v>
      </c>
      <c r="J104" s="30" t="s">
        <v>41</v>
      </c>
      <c r="K104" s="30"/>
      <c r="L104" s="39"/>
    </row>
    <row r="105" spans="1:12">
      <c r="A105" s="1" t="s">
        <v>106</v>
      </c>
      <c r="B105" s="34" t="s">
        <v>419</v>
      </c>
      <c r="C105" s="34" t="s">
        <v>380</v>
      </c>
      <c r="D105" s="34" t="s">
        <v>381</v>
      </c>
      <c r="E105" s="34" t="s">
        <v>420</v>
      </c>
      <c r="F105" s="34" t="s">
        <v>40</v>
      </c>
      <c r="G105" s="16">
        <v>45089.293055555558</v>
      </c>
      <c r="H105" s="16">
        <v>45090.397916666669</v>
      </c>
      <c r="I105" s="34" t="s">
        <v>383</v>
      </c>
      <c r="J105" s="34" t="s">
        <v>101</v>
      </c>
      <c r="K105" s="34"/>
      <c r="L105" s="38"/>
    </row>
    <row r="106" spans="1:12">
      <c r="A106" s="19" t="s">
        <v>106</v>
      </c>
      <c r="B106" s="30" t="s">
        <v>421</v>
      </c>
      <c r="C106" s="30" t="s">
        <v>28</v>
      </c>
      <c r="D106" s="30" t="s">
        <v>422</v>
      </c>
      <c r="E106" s="30" t="s">
        <v>423</v>
      </c>
      <c r="F106" s="30" t="s">
        <v>40</v>
      </c>
      <c r="G106" s="22">
        <v>45089.297222222223</v>
      </c>
      <c r="H106" s="22">
        <v>45089.720833333333</v>
      </c>
      <c r="I106" s="30" t="s">
        <v>32</v>
      </c>
      <c r="J106" s="30" t="s">
        <v>101</v>
      </c>
      <c r="K106" s="30"/>
      <c r="L106" s="39"/>
    </row>
    <row r="107" spans="1:12">
      <c r="A107" s="1" t="s">
        <v>95</v>
      </c>
      <c r="B107" s="34" t="s">
        <v>424</v>
      </c>
      <c r="C107" s="34" t="s">
        <v>113</v>
      </c>
      <c r="D107" s="34" t="s">
        <v>425</v>
      </c>
      <c r="E107" s="34" t="s">
        <v>426</v>
      </c>
      <c r="F107" s="34" t="s">
        <v>40</v>
      </c>
      <c r="G107" s="16">
        <v>45089.306250000001</v>
      </c>
      <c r="H107" s="16">
        <v>45090.648611111108</v>
      </c>
      <c r="I107" s="34" t="s">
        <v>427</v>
      </c>
      <c r="J107" s="34" t="s">
        <v>101</v>
      </c>
      <c r="K107" s="34" t="s">
        <v>132</v>
      </c>
      <c r="L107" s="38"/>
    </row>
    <row r="108" spans="1:12">
      <c r="A108" s="19" t="s">
        <v>106</v>
      </c>
      <c r="B108" s="30" t="s">
        <v>428</v>
      </c>
      <c r="C108" s="30" t="s">
        <v>333</v>
      </c>
      <c r="D108" s="30" t="s">
        <v>429</v>
      </c>
      <c r="E108" s="30" t="s">
        <v>430</v>
      </c>
      <c r="F108" s="30" t="s">
        <v>40</v>
      </c>
      <c r="G108" s="22">
        <v>45089.426388888889</v>
      </c>
      <c r="H108" s="22">
        <v>45089.661805555559</v>
      </c>
      <c r="I108" s="30" t="s">
        <v>346</v>
      </c>
      <c r="J108" s="30" t="s">
        <v>101</v>
      </c>
      <c r="K108" s="30"/>
      <c r="L108" s="39"/>
    </row>
    <row r="109" spans="1:12">
      <c r="A109" s="1" t="s">
        <v>20</v>
      </c>
      <c r="B109" s="34" t="s">
        <v>431</v>
      </c>
      <c r="C109" s="34" t="s">
        <v>13</v>
      </c>
      <c r="D109" s="34" t="s">
        <v>432</v>
      </c>
      <c r="E109" s="34" t="s">
        <v>433</v>
      </c>
      <c r="F109" s="34" t="s">
        <v>40</v>
      </c>
      <c r="G109" s="16">
        <v>45089.573611111111</v>
      </c>
      <c r="H109" s="16">
        <v>45090.642361111109</v>
      </c>
      <c r="I109" s="34" t="s">
        <v>409</v>
      </c>
      <c r="J109" s="34" t="s">
        <v>101</v>
      </c>
      <c r="K109" s="34"/>
      <c r="L109" s="38"/>
    </row>
    <row r="110" spans="1:12">
      <c r="A110" s="19" t="s">
        <v>95</v>
      </c>
      <c r="B110" s="30" t="s">
        <v>434</v>
      </c>
      <c r="C110" s="30" t="s">
        <v>118</v>
      </c>
      <c r="D110" s="30" t="s">
        <v>435</v>
      </c>
      <c r="E110" s="30" t="s">
        <v>436</v>
      </c>
      <c r="F110" s="30" t="s">
        <v>40</v>
      </c>
      <c r="G110" s="22">
        <v>45089.732638888891</v>
      </c>
      <c r="H110" s="22">
        <v>45090.326388888891</v>
      </c>
      <c r="I110" s="30" t="s">
        <v>32</v>
      </c>
      <c r="J110" s="30" t="s">
        <v>101</v>
      </c>
      <c r="K110" s="30"/>
      <c r="L110" s="39"/>
    </row>
    <row r="111" spans="1:12">
      <c r="A111" s="1" t="s">
        <v>106</v>
      </c>
      <c r="B111" s="34" t="s">
        <v>437</v>
      </c>
      <c r="C111" s="34" t="s">
        <v>313</v>
      </c>
      <c r="D111" s="34" t="s">
        <v>438</v>
      </c>
      <c r="E111" s="34" t="s">
        <v>439</v>
      </c>
      <c r="F111" s="34" t="s">
        <v>40</v>
      </c>
      <c r="G111" s="16">
        <v>45090.280555555553</v>
      </c>
      <c r="H111" s="16">
        <v>45090.317361111112</v>
      </c>
      <c r="I111" s="34" t="s">
        <v>440</v>
      </c>
      <c r="J111" s="34" t="s">
        <v>101</v>
      </c>
      <c r="K111" s="34"/>
      <c r="L111" s="38"/>
    </row>
    <row r="112" spans="1:12">
      <c r="A112" s="19" t="s">
        <v>106</v>
      </c>
      <c r="B112" s="30" t="s">
        <v>441</v>
      </c>
      <c r="C112" s="30" t="s">
        <v>313</v>
      </c>
      <c r="D112" s="30" t="s">
        <v>442</v>
      </c>
      <c r="E112" s="30" t="s">
        <v>443</v>
      </c>
      <c r="F112" s="30" t="s">
        <v>40</v>
      </c>
      <c r="G112" s="22">
        <v>45090.281944444447</v>
      </c>
      <c r="H112" s="22">
        <v>45090.318749999999</v>
      </c>
      <c r="I112" s="30" t="s">
        <v>32</v>
      </c>
      <c r="J112" s="30" t="s">
        <v>101</v>
      </c>
      <c r="K112" s="30"/>
      <c r="L112" s="39"/>
    </row>
    <row r="113" spans="1:12">
      <c r="A113" s="1" t="s">
        <v>95</v>
      </c>
      <c r="B113" s="34" t="s">
        <v>444</v>
      </c>
      <c r="C113" s="34" t="s">
        <v>118</v>
      </c>
      <c r="D113" s="34" t="s">
        <v>445</v>
      </c>
      <c r="E113" s="34" t="s">
        <v>446</v>
      </c>
      <c r="F113" s="34" t="s">
        <v>40</v>
      </c>
      <c r="G113" s="16">
        <v>45090.332638888889</v>
      </c>
      <c r="H113" s="16">
        <v>45090.332638888889</v>
      </c>
      <c r="I113" s="34" t="s">
        <v>32</v>
      </c>
      <c r="J113" s="34" t="s">
        <v>101</v>
      </c>
      <c r="K113" s="34"/>
      <c r="L113" s="38"/>
    </row>
    <row r="114" spans="1:12">
      <c r="A114" s="19" t="s">
        <v>106</v>
      </c>
      <c r="B114" s="30" t="s">
        <v>447</v>
      </c>
      <c r="C114" s="30" t="s">
        <v>78</v>
      </c>
      <c r="D114" s="30" t="s">
        <v>448</v>
      </c>
      <c r="E114" s="30" t="s">
        <v>449</v>
      </c>
      <c r="F114" s="30" t="s">
        <v>40</v>
      </c>
      <c r="G114" s="22">
        <v>45090.395138888889</v>
      </c>
      <c r="H114" s="22">
        <v>45090.547222222223</v>
      </c>
      <c r="I114" s="30" t="s">
        <v>32</v>
      </c>
      <c r="J114" s="30" t="s">
        <v>101</v>
      </c>
      <c r="K114" s="30"/>
      <c r="L114" s="39"/>
    </row>
    <row r="115" spans="1:12">
      <c r="A115" s="1" t="s">
        <v>95</v>
      </c>
      <c r="B115" s="34" t="s">
        <v>450</v>
      </c>
      <c r="C115" s="34" t="s">
        <v>118</v>
      </c>
      <c r="D115" s="34" t="s">
        <v>451</v>
      </c>
      <c r="E115" s="34" t="s">
        <v>452</v>
      </c>
      <c r="F115" s="34" t="s">
        <v>40</v>
      </c>
      <c r="G115" s="16">
        <v>45090.521527777775</v>
      </c>
      <c r="H115" s="16">
        <v>45090.640972222223</v>
      </c>
      <c r="I115" s="34" t="s">
        <v>32</v>
      </c>
      <c r="J115" s="34" t="s">
        <v>101</v>
      </c>
      <c r="K115" s="34"/>
      <c r="L115" s="38"/>
    </row>
    <row r="116" spans="1:12">
      <c r="A116" s="19" t="s">
        <v>95</v>
      </c>
      <c r="B116" s="30" t="s">
        <v>453</v>
      </c>
      <c r="C116" s="30" t="s">
        <v>97</v>
      </c>
      <c r="D116" s="30" t="s">
        <v>454</v>
      </c>
      <c r="E116" s="30" t="s">
        <v>455</v>
      </c>
      <c r="F116" s="30" t="s">
        <v>40</v>
      </c>
      <c r="G116" s="22">
        <v>45090.599305555559</v>
      </c>
      <c r="H116" s="22">
        <v>45090.693055555559</v>
      </c>
      <c r="I116" s="30" t="s">
        <v>456</v>
      </c>
      <c r="J116" s="30" t="s">
        <v>101</v>
      </c>
      <c r="K116" s="30"/>
      <c r="L116" s="39"/>
    </row>
    <row r="117" spans="1:12">
      <c r="A117" s="1" t="s">
        <v>106</v>
      </c>
      <c r="B117" s="34" t="s">
        <v>457</v>
      </c>
      <c r="C117" s="34" t="s">
        <v>108</v>
      </c>
      <c r="D117" s="34" t="s">
        <v>458</v>
      </c>
      <c r="E117" s="34" t="s">
        <v>459</v>
      </c>
      <c r="F117" s="34" t="s">
        <v>40</v>
      </c>
      <c r="G117" s="16">
        <v>45090.657638888886</v>
      </c>
      <c r="H117" s="16">
        <v>45098</v>
      </c>
      <c r="I117" s="34" t="s">
        <v>460</v>
      </c>
      <c r="J117" s="34" t="s">
        <v>101</v>
      </c>
      <c r="K117" s="34"/>
      <c r="L117" s="38"/>
    </row>
    <row r="118" spans="1:12">
      <c r="A118" s="19" t="s">
        <v>106</v>
      </c>
      <c r="B118" s="30" t="s">
        <v>461</v>
      </c>
      <c r="C118" s="30" t="s">
        <v>108</v>
      </c>
      <c r="D118" s="30" t="s">
        <v>462</v>
      </c>
      <c r="E118" s="30" t="s">
        <v>463</v>
      </c>
      <c r="F118" s="30" t="s">
        <v>40</v>
      </c>
      <c r="G118" s="22">
        <v>45090.688888888886</v>
      </c>
      <c r="H118" s="22">
        <v>45098</v>
      </c>
      <c r="I118" s="30" t="s">
        <v>460</v>
      </c>
      <c r="J118" s="30" t="s">
        <v>101</v>
      </c>
      <c r="K118" s="30"/>
      <c r="L118" s="39"/>
    </row>
    <row r="119" spans="1:12">
      <c r="A119" s="1" t="s">
        <v>20</v>
      </c>
      <c r="B119" s="34" t="s">
        <v>464</v>
      </c>
      <c r="C119" s="34" t="s">
        <v>21</v>
      </c>
      <c r="D119" s="34" t="s">
        <v>465</v>
      </c>
      <c r="E119" s="34" t="s">
        <v>466</v>
      </c>
      <c r="F119" s="34" t="s">
        <v>40</v>
      </c>
      <c r="G119" s="16">
        <v>45091.427083333336</v>
      </c>
      <c r="H119" s="16">
        <v>45091.4375</v>
      </c>
      <c r="I119" s="34" t="s">
        <v>32</v>
      </c>
      <c r="J119" s="34" t="s">
        <v>132</v>
      </c>
      <c r="K119" s="34"/>
      <c r="L119" s="38"/>
    </row>
    <row r="120" spans="1:12">
      <c r="A120" s="19" t="s">
        <v>95</v>
      </c>
      <c r="B120" s="30" t="s">
        <v>467</v>
      </c>
      <c r="C120" s="30" t="s">
        <v>118</v>
      </c>
      <c r="D120" s="30" t="s">
        <v>468</v>
      </c>
      <c r="E120" s="30" t="s">
        <v>469</v>
      </c>
      <c r="F120" s="30" t="s">
        <v>40</v>
      </c>
      <c r="G120" s="22">
        <v>45091.695833333331</v>
      </c>
      <c r="H120" s="22">
        <v>45091.708333333336</v>
      </c>
      <c r="I120" s="30" t="s">
        <v>470</v>
      </c>
      <c r="J120" s="30" t="s">
        <v>132</v>
      </c>
      <c r="K120" s="30"/>
      <c r="L120" s="39"/>
    </row>
    <row r="121" spans="1:12">
      <c r="A121" s="1" t="s">
        <v>20</v>
      </c>
      <c r="B121" s="34" t="s">
        <v>471</v>
      </c>
      <c r="C121" s="34" t="s">
        <v>21</v>
      </c>
      <c r="D121" s="34" t="s">
        <v>472</v>
      </c>
      <c r="E121" s="34" t="s">
        <v>473</v>
      </c>
      <c r="F121" s="34" t="s">
        <v>40</v>
      </c>
      <c r="G121" s="16">
        <v>45091.739583333336</v>
      </c>
      <c r="H121" s="16">
        <v>45091.788194444445</v>
      </c>
      <c r="I121" s="34" t="s">
        <v>61</v>
      </c>
      <c r="J121" s="34" t="s">
        <v>132</v>
      </c>
      <c r="K121" s="34"/>
      <c r="L121" s="38"/>
    </row>
    <row r="122" spans="1:12">
      <c r="A122" s="19" t="s">
        <v>20</v>
      </c>
      <c r="B122" s="30" t="s">
        <v>474</v>
      </c>
      <c r="C122" s="30" t="s">
        <v>21</v>
      </c>
      <c r="D122" s="30" t="s">
        <v>475</v>
      </c>
      <c r="E122" s="30" t="s">
        <v>476</v>
      </c>
      <c r="F122" s="30" t="s">
        <v>40</v>
      </c>
      <c r="G122" s="22">
        <v>45091.805555555555</v>
      </c>
      <c r="H122" s="22">
        <v>45091.818055555559</v>
      </c>
      <c r="I122" s="30" t="s">
        <v>477</v>
      </c>
      <c r="J122" s="30" t="s">
        <v>132</v>
      </c>
      <c r="K122" s="30"/>
      <c r="L122" s="39"/>
    </row>
    <row r="123" spans="1:12">
      <c r="A123" s="1" t="s">
        <v>20</v>
      </c>
      <c r="B123" s="34" t="s">
        <v>478</v>
      </c>
      <c r="C123" s="34" t="s">
        <v>21</v>
      </c>
      <c r="D123" s="34" t="s">
        <v>479</v>
      </c>
      <c r="E123" s="34" t="s">
        <v>480</v>
      </c>
      <c r="F123" s="34" t="s">
        <v>40</v>
      </c>
      <c r="G123" s="16">
        <v>45091.876388888886</v>
      </c>
      <c r="H123" s="16">
        <v>45091.848611111112</v>
      </c>
      <c r="I123" s="34" t="s">
        <v>72</v>
      </c>
      <c r="J123" s="34" t="s">
        <v>72</v>
      </c>
      <c r="K123" s="34"/>
      <c r="L123" s="38"/>
    </row>
    <row r="124" spans="1:12">
      <c r="A124" s="19" t="s">
        <v>95</v>
      </c>
      <c r="B124" s="30" t="s">
        <v>481</v>
      </c>
      <c r="C124" s="30" t="s">
        <v>118</v>
      </c>
      <c r="D124" s="30" t="s">
        <v>482</v>
      </c>
      <c r="E124" s="30" t="s">
        <v>483</v>
      </c>
      <c r="F124" s="30" t="s">
        <v>40</v>
      </c>
      <c r="G124" s="22">
        <v>45091.090277777781</v>
      </c>
      <c r="H124" s="22">
        <v>45091.958333333336</v>
      </c>
      <c r="I124" s="30" t="s">
        <v>72</v>
      </c>
      <c r="J124" s="30" t="s">
        <v>72</v>
      </c>
      <c r="K124" s="30"/>
      <c r="L124" s="39"/>
    </row>
    <row r="125" spans="1:12">
      <c r="A125" s="1" t="s">
        <v>20</v>
      </c>
      <c r="B125" s="34" t="s">
        <v>484</v>
      </c>
      <c r="C125" s="34" t="s">
        <v>21</v>
      </c>
      <c r="D125" s="34" t="s">
        <v>485</v>
      </c>
      <c r="E125" s="34" t="s">
        <v>486</v>
      </c>
      <c r="F125" s="34" t="s">
        <v>40</v>
      </c>
      <c r="G125" s="16">
        <v>45092.031944444447</v>
      </c>
      <c r="H125" s="16">
        <v>45092.4375</v>
      </c>
      <c r="I125" s="34" t="s">
        <v>52</v>
      </c>
      <c r="J125" s="34" t="s">
        <v>72</v>
      </c>
      <c r="K125" s="34" t="s">
        <v>132</v>
      </c>
      <c r="L125" s="38">
        <v>45092</v>
      </c>
    </row>
    <row r="126" spans="1:12">
      <c r="A126" s="19" t="s">
        <v>106</v>
      </c>
      <c r="B126" s="30" t="s">
        <v>487</v>
      </c>
      <c r="C126" s="30" t="s">
        <v>108</v>
      </c>
      <c r="D126" s="30" t="s">
        <v>488</v>
      </c>
      <c r="E126" s="30" t="s">
        <v>489</v>
      </c>
      <c r="F126" s="30" t="s">
        <v>40</v>
      </c>
      <c r="G126" s="22">
        <v>45092.113888888889</v>
      </c>
      <c r="H126" s="22">
        <v>45092.120833333334</v>
      </c>
      <c r="I126" s="30" t="s">
        <v>72</v>
      </c>
      <c r="J126" s="30" t="s">
        <v>72</v>
      </c>
      <c r="K126" s="30"/>
      <c r="L126" s="39"/>
    </row>
    <row r="127" spans="1:12">
      <c r="A127" s="1" t="s">
        <v>20</v>
      </c>
      <c r="B127" s="34" t="s">
        <v>490</v>
      </c>
      <c r="C127" s="34" t="s">
        <v>21</v>
      </c>
      <c r="D127" s="34" t="s">
        <v>491</v>
      </c>
      <c r="E127" s="34" t="s">
        <v>492</v>
      </c>
      <c r="F127" s="34" t="s">
        <v>40</v>
      </c>
      <c r="G127" s="16">
        <v>45092.143055555556</v>
      </c>
      <c r="H127" s="16">
        <v>45092.163888888892</v>
      </c>
      <c r="I127" s="34" t="s">
        <v>52</v>
      </c>
      <c r="J127" s="34" t="s">
        <v>72</v>
      </c>
      <c r="K127" s="34"/>
      <c r="L127" s="38"/>
    </row>
    <row r="128" spans="1:12">
      <c r="A128" s="19" t="s">
        <v>20</v>
      </c>
      <c r="B128" s="30" t="s">
        <v>493</v>
      </c>
      <c r="C128" s="30" t="s">
        <v>21</v>
      </c>
      <c r="D128" s="30" t="s">
        <v>494</v>
      </c>
      <c r="E128" s="30" t="s">
        <v>495</v>
      </c>
      <c r="F128" s="30" t="s">
        <v>40</v>
      </c>
      <c r="G128" s="22">
        <v>45092.150694444441</v>
      </c>
      <c r="H128" s="22">
        <v>45092.163888888892</v>
      </c>
      <c r="I128" s="30" t="s">
        <v>52</v>
      </c>
      <c r="J128" s="30" t="s">
        <v>72</v>
      </c>
      <c r="K128" s="30"/>
      <c r="L128" s="39"/>
    </row>
    <row r="129" spans="1:12">
      <c r="A129" s="1" t="s">
        <v>95</v>
      </c>
      <c r="B129" s="34" t="s">
        <v>496</v>
      </c>
      <c r="C129" s="34" t="s">
        <v>113</v>
      </c>
      <c r="D129" s="34" t="s">
        <v>285</v>
      </c>
      <c r="E129" s="34" t="s">
        <v>497</v>
      </c>
      <c r="F129" s="34" t="s">
        <v>40</v>
      </c>
      <c r="G129" s="16">
        <v>45092.911805555559</v>
      </c>
      <c r="H129" s="16">
        <v>45092.940972222219</v>
      </c>
      <c r="I129" s="34" t="s">
        <v>498</v>
      </c>
      <c r="J129" s="34" t="s">
        <v>72</v>
      </c>
      <c r="K129" s="34"/>
      <c r="L129" s="38"/>
    </row>
    <row r="130" spans="1:12">
      <c r="A130" s="19" t="s">
        <v>95</v>
      </c>
      <c r="B130" s="30" t="s">
        <v>499</v>
      </c>
      <c r="C130" s="30" t="s">
        <v>118</v>
      </c>
      <c r="D130" s="30" t="s">
        <v>500</v>
      </c>
      <c r="E130" s="30" t="s">
        <v>501</v>
      </c>
      <c r="F130" s="30" t="s">
        <v>40</v>
      </c>
      <c r="G130" s="22">
        <v>45092.968055555553</v>
      </c>
      <c r="H130" s="22">
        <v>45092.981944444444</v>
      </c>
      <c r="I130" s="30" t="s">
        <v>502</v>
      </c>
      <c r="J130" s="30" t="s">
        <v>72</v>
      </c>
      <c r="K130" s="30"/>
      <c r="L130" s="39"/>
    </row>
    <row r="131" spans="1:12">
      <c r="A131" s="1" t="s">
        <v>95</v>
      </c>
      <c r="B131" s="34" t="s">
        <v>503</v>
      </c>
      <c r="C131" s="34" t="s">
        <v>118</v>
      </c>
      <c r="D131" s="34" t="s">
        <v>504</v>
      </c>
      <c r="E131" s="34" t="s">
        <v>505</v>
      </c>
      <c r="F131" s="34" t="s">
        <v>40</v>
      </c>
      <c r="G131" s="16">
        <v>45093.055555555555</v>
      </c>
      <c r="H131" s="16">
        <v>45093.069444444445</v>
      </c>
      <c r="I131" s="34" t="s">
        <v>502</v>
      </c>
      <c r="J131" s="34" t="s">
        <v>72</v>
      </c>
      <c r="K131" s="34"/>
      <c r="L131" s="38"/>
    </row>
    <row r="132" spans="1:12">
      <c r="A132" s="19" t="s">
        <v>20</v>
      </c>
      <c r="B132" s="30" t="s">
        <v>503</v>
      </c>
      <c r="C132" s="30" t="s">
        <v>21</v>
      </c>
      <c r="D132" s="30" t="s">
        <v>506</v>
      </c>
      <c r="E132" s="30" t="s">
        <v>507</v>
      </c>
      <c r="F132" s="30" t="s">
        <v>40</v>
      </c>
      <c r="G132" s="22">
        <v>45092.99722222222</v>
      </c>
      <c r="H132" s="22">
        <v>45093.003472222219</v>
      </c>
      <c r="I132" s="30" t="s">
        <v>52</v>
      </c>
      <c r="J132" s="30" t="s">
        <v>72</v>
      </c>
      <c r="K132" s="30"/>
      <c r="L132" s="39"/>
    </row>
    <row r="133" spans="1:12">
      <c r="A133" s="1" t="s">
        <v>95</v>
      </c>
      <c r="B133" s="34" t="s">
        <v>508</v>
      </c>
      <c r="C133" s="34" t="s">
        <v>118</v>
      </c>
      <c r="D133" s="34" t="s">
        <v>509</v>
      </c>
      <c r="E133" s="34" t="s">
        <v>510</v>
      </c>
      <c r="F133" s="34" t="s">
        <v>40</v>
      </c>
      <c r="G133" s="16">
        <v>45093.152777777781</v>
      </c>
      <c r="H133" s="16">
        <v>45093.159722222219</v>
      </c>
      <c r="I133" s="34" t="s">
        <v>502</v>
      </c>
      <c r="J133" s="34" t="s">
        <v>72</v>
      </c>
      <c r="K133" s="34"/>
      <c r="L133" s="38"/>
    </row>
    <row r="134" spans="1:12">
      <c r="A134" s="19" t="s">
        <v>106</v>
      </c>
      <c r="B134" s="30" t="s">
        <v>511</v>
      </c>
      <c r="C134" s="30" t="s">
        <v>78</v>
      </c>
      <c r="D134" s="30" t="s">
        <v>512</v>
      </c>
      <c r="E134" s="30" t="s">
        <v>513</v>
      </c>
      <c r="F134" s="30" t="s">
        <v>40</v>
      </c>
      <c r="G134" s="22">
        <v>45093.659722222219</v>
      </c>
      <c r="H134" s="22">
        <v>45093.680555555555</v>
      </c>
      <c r="I134" s="30" t="s">
        <v>514</v>
      </c>
      <c r="J134" s="30" t="s">
        <v>132</v>
      </c>
      <c r="K134" s="30"/>
      <c r="L134" s="39"/>
    </row>
    <row r="135" spans="1:12">
      <c r="A135" s="1" t="s">
        <v>20</v>
      </c>
      <c r="B135" s="34" t="s">
        <v>515</v>
      </c>
      <c r="C135" s="34" t="s">
        <v>21</v>
      </c>
      <c r="D135" s="34" t="s">
        <v>516</v>
      </c>
      <c r="E135" s="34" t="s">
        <v>517</v>
      </c>
      <c r="F135" s="34" t="s">
        <v>40</v>
      </c>
      <c r="G135" s="16">
        <v>45093.782638888886</v>
      </c>
      <c r="H135" s="16">
        <v>45093.8125</v>
      </c>
      <c r="I135" s="34" t="s">
        <v>477</v>
      </c>
      <c r="J135" s="34" t="s">
        <v>132</v>
      </c>
      <c r="K135" s="34"/>
      <c r="L135" s="38"/>
    </row>
    <row r="136" spans="1:12">
      <c r="A136" s="19" t="s">
        <v>95</v>
      </c>
      <c r="B136" s="30" t="s">
        <v>518</v>
      </c>
      <c r="C136" s="30" t="s">
        <v>118</v>
      </c>
      <c r="D136" s="30" t="s">
        <v>519</v>
      </c>
      <c r="E136" s="30" t="s">
        <v>520</v>
      </c>
      <c r="F136" s="30" t="s">
        <v>40</v>
      </c>
      <c r="G136" s="22">
        <v>45093.90902777778</v>
      </c>
      <c r="H136" s="22">
        <v>45093.927083333336</v>
      </c>
      <c r="I136" s="30" t="s">
        <v>521</v>
      </c>
      <c r="J136" s="30" t="s">
        <v>72</v>
      </c>
      <c r="K136" s="30"/>
      <c r="L136" s="39"/>
    </row>
    <row r="137" spans="1:12">
      <c r="A137" s="1" t="s">
        <v>20</v>
      </c>
      <c r="B137" s="34" t="s">
        <v>522</v>
      </c>
      <c r="C137" s="34" t="s">
        <v>21</v>
      </c>
      <c r="D137" s="34" t="s">
        <v>523</v>
      </c>
      <c r="E137" s="34" t="s">
        <v>524</v>
      </c>
      <c r="F137" s="34" t="s">
        <v>40</v>
      </c>
      <c r="G137" s="16">
        <v>45093.994444444441</v>
      </c>
      <c r="H137" s="16">
        <v>45094.083333333336</v>
      </c>
      <c r="I137" s="34" t="s">
        <v>52</v>
      </c>
      <c r="J137" s="34" t="s">
        <v>72</v>
      </c>
      <c r="K137" s="34"/>
      <c r="L137" s="38"/>
    </row>
    <row r="138" spans="1:12">
      <c r="A138" s="19" t="s">
        <v>95</v>
      </c>
      <c r="B138" s="30" t="s">
        <v>525</v>
      </c>
      <c r="C138" s="30" t="s">
        <v>118</v>
      </c>
      <c r="D138" s="30" t="s">
        <v>526</v>
      </c>
      <c r="E138" s="30" t="s">
        <v>527</v>
      </c>
      <c r="F138" s="30" t="s">
        <v>40</v>
      </c>
      <c r="G138" s="22">
        <v>45094.098611111112</v>
      </c>
      <c r="H138" s="22">
        <v>45094.169444444444</v>
      </c>
      <c r="I138" s="30" t="s">
        <v>502</v>
      </c>
      <c r="J138" s="30" t="s">
        <v>72</v>
      </c>
      <c r="K138" s="30"/>
      <c r="L138" s="39"/>
    </row>
    <row r="139" spans="1:12">
      <c r="A139" s="1" t="s">
        <v>20</v>
      </c>
      <c r="B139" s="34" t="s">
        <v>528</v>
      </c>
      <c r="C139" s="34" t="s">
        <v>21</v>
      </c>
      <c r="D139" s="34" t="s">
        <v>529</v>
      </c>
      <c r="E139" s="34" t="s">
        <v>530</v>
      </c>
      <c r="F139" s="34" t="s">
        <v>40</v>
      </c>
      <c r="G139" s="16">
        <v>45094.15902777778</v>
      </c>
      <c r="H139" s="16">
        <v>45094.19027777778</v>
      </c>
      <c r="I139" s="34" t="s">
        <v>52</v>
      </c>
      <c r="J139" s="34" t="s">
        <v>72</v>
      </c>
      <c r="K139" s="34"/>
      <c r="L139" s="38"/>
    </row>
    <row r="140" spans="1:12">
      <c r="A140" s="19" t="s">
        <v>20</v>
      </c>
      <c r="B140" s="30" t="s">
        <v>531</v>
      </c>
      <c r="C140" s="30" t="s">
        <v>21</v>
      </c>
      <c r="D140" s="30" t="s">
        <v>532</v>
      </c>
      <c r="E140" s="30" t="s">
        <v>533</v>
      </c>
      <c r="F140" s="30" t="s">
        <v>40</v>
      </c>
      <c r="G140" s="22">
        <v>45094.209027777775</v>
      </c>
      <c r="H140" s="22">
        <v>45094.229861111111</v>
      </c>
      <c r="I140" s="30" t="s">
        <v>52</v>
      </c>
      <c r="J140" s="30" t="s">
        <v>72</v>
      </c>
      <c r="K140" s="30"/>
      <c r="L140" s="39"/>
    </row>
    <row r="141" spans="1:12">
      <c r="A141" s="1" t="s">
        <v>95</v>
      </c>
      <c r="B141" s="34" t="s">
        <v>534</v>
      </c>
      <c r="C141" s="34" t="s">
        <v>113</v>
      </c>
      <c r="D141" s="34" t="s">
        <v>535</v>
      </c>
      <c r="E141" s="34" t="s">
        <v>536</v>
      </c>
      <c r="F141" s="34" t="s">
        <v>40</v>
      </c>
      <c r="G141" s="16">
        <v>45094.22152777778</v>
      </c>
      <c r="H141" s="16">
        <v>45094.666666666664</v>
      </c>
      <c r="I141" s="34" t="s">
        <v>537</v>
      </c>
      <c r="J141" s="34" t="s">
        <v>72</v>
      </c>
      <c r="K141" s="34" t="s">
        <v>132</v>
      </c>
      <c r="L141" s="38">
        <v>45094</v>
      </c>
    </row>
    <row r="142" spans="1:12">
      <c r="A142" s="19" t="s">
        <v>106</v>
      </c>
      <c r="B142" s="30" t="s">
        <v>538</v>
      </c>
      <c r="C142" s="30" t="s">
        <v>313</v>
      </c>
      <c r="D142" s="30" t="s">
        <v>539</v>
      </c>
      <c r="E142" s="30" t="s">
        <v>540</v>
      </c>
      <c r="F142" s="30" t="s">
        <v>40</v>
      </c>
      <c r="G142" s="22">
        <v>45094.388888888891</v>
      </c>
      <c r="H142" s="22">
        <v>45094.416666666664</v>
      </c>
      <c r="I142" s="30" t="s">
        <v>32</v>
      </c>
      <c r="J142" s="30" t="s">
        <v>132</v>
      </c>
      <c r="K142" s="30"/>
      <c r="L142" s="39"/>
    </row>
    <row r="143" spans="1:12">
      <c r="A143" s="1" t="s">
        <v>106</v>
      </c>
      <c r="B143" s="34" t="s">
        <v>541</v>
      </c>
      <c r="C143" s="34" t="s">
        <v>28</v>
      </c>
      <c r="D143" s="34" t="s">
        <v>542</v>
      </c>
      <c r="E143" s="34" t="s">
        <v>540</v>
      </c>
      <c r="F143" s="34" t="s">
        <v>40</v>
      </c>
      <c r="G143" s="16">
        <v>45094.409722222219</v>
      </c>
      <c r="H143" s="16">
        <v>45094.430555555555</v>
      </c>
      <c r="I143" s="34" t="s">
        <v>32</v>
      </c>
      <c r="J143" s="34" t="s">
        <v>132</v>
      </c>
      <c r="K143" s="34"/>
      <c r="L143" s="38"/>
    </row>
    <row r="144" spans="1:12">
      <c r="A144" s="19" t="s">
        <v>106</v>
      </c>
      <c r="B144" s="30" t="s">
        <v>543</v>
      </c>
      <c r="C144" s="30" t="s">
        <v>37</v>
      </c>
      <c r="D144" s="30" t="s">
        <v>544</v>
      </c>
      <c r="E144" s="30" t="s">
        <v>545</v>
      </c>
      <c r="F144" s="30" t="s">
        <v>40</v>
      </c>
      <c r="G144" s="22">
        <v>45094.436805555553</v>
      </c>
      <c r="H144" s="22">
        <v>45094.617361111108</v>
      </c>
      <c r="I144" s="30" t="s">
        <v>546</v>
      </c>
      <c r="J144" s="30" t="s">
        <v>132</v>
      </c>
      <c r="K144" s="30"/>
      <c r="L144" s="39"/>
    </row>
    <row r="145" spans="1:12">
      <c r="A145" s="1" t="s">
        <v>95</v>
      </c>
      <c r="B145" s="34" t="s">
        <v>547</v>
      </c>
      <c r="C145" s="34" t="s">
        <v>97</v>
      </c>
      <c r="D145" s="34" t="s">
        <v>548</v>
      </c>
      <c r="E145" s="34" t="s">
        <v>549</v>
      </c>
      <c r="F145" s="34" t="s">
        <v>40</v>
      </c>
      <c r="G145" s="16">
        <v>45094.881249999999</v>
      </c>
      <c r="H145" s="16">
        <v>45097.354166666664</v>
      </c>
      <c r="I145" s="34" t="s">
        <v>550</v>
      </c>
      <c r="J145" s="34" t="s">
        <v>72</v>
      </c>
      <c r="K145" s="34" t="s">
        <v>132</v>
      </c>
      <c r="L145" s="38">
        <v>45095</v>
      </c>
    </row>
    <row r="146" spans="1:12">
      <c r="A146" s="19" t="s">
        <v>20</v>
      </c>
      <c r="B146" s="30" t="s">
        <v>551</v>
      </c>
      <c r="C146" s="30" t="s">
        <v>21</v>
      </c>
      <c r="D146" s="30" t="s">
        <v>552</v>
      </c>
      <c r="E146" s="30" t="s">
        <v>492</v>
      </c>
      <c r="F146" s="30" t="s">
        <v>40</v>
      </c>
      <c r="G146" s="22">
        <v>45094.9</v>
      </c>
      <c r="H146" s="22">
        <v>45094.913888888892</v>
      </c>
      <c r="I146" s="30" t="s">
        <v>52</v>
      </c>
      <c r="J146" s="30" t="s">
        <v>72</v>
      </c>
      <c r="K146" s="30"/>
      <c r="L146" s="39"/>
    </row>
    <row r="147" spans="1:12">
      <c r="A147" s="1" t="s">
        <v>20</v>
      </c>
      <c r="B147" s="34" t="s">
        <v>553</v>
      </c>
      <c r="C147" s="34" t="s">
        <v>21</v>
      </c>
      <c r="D147" s="34" t="s">
        <v>554</v>
      </c>
      <c r="E147" s="34" t="s">
        <v>492</v>
      </c>
      <c r="F147" s="34" t="s">
        <v>40</v>
      </c>
      <c r="G147" s="16">
        <v>45095.054166666669</v>
      </c>
      <c r="H147" s="16">
        <v>45095.065972222219</v>
      </c>
      <c r="I147" s="34" t="s">
        <v>52</v>
      </c>
      <c r="J147" s="34" t="s">
        <v>72</v>
      </c>
      <c r="K147" s="34"/>
      <c r="L147" s="38"/>
    </row>
    <row r="148" spans="1:12">
      <c r="A148" s="19" t="s">
        <v>106</v>
      </c>
      <c r="B148" s="30" t="s">
        <v>555</v>
      </c>
      <c r="C148" s="30" t="s">
        <v>333</v>
      </c>
      <c r="D148" s="30" t="s">
        <v>556</v>
      </c>
      <c r="E148" s="30" t="s">
        <v>557</v>
      </c>
      <c r="F148" s="30" t="s">
        <v>40</v>
      </c>
      <c r="G148" s="22">
        <v>45095.292361111111</v>
      </c>
      <c r="H148" s="22">
        <v>45097.368055555555</v>
      </c>
      <c r="I148" s="30" t="s">
        <v>558</v>
      </c>
      <c r="J148" s="30" t="s">
        <v>72</v>
      </c>
      <c r="K148" s="30" t="s">
        <v>132</v>
      </c>
      <c r="L148" s="39">
        <v>45095</v>
      </c>
    </row>
    <row r="149" spans="1:12">
      <c r="A149" s="1" t="s">
        <v>106</v>
      </c>
      <c r="B149" s="34" t="s">
        <v>559</v>
      </c>
      <c r="C149" s="34" t="s">
        <v>37</v>
      </c>
      <c r="D149" s="34" t="s">
        <v>560</v>
      </c>
      <c r="E149" s="34" t="s">
        <v>561</v>
      </c>
      <c r="F149" s="34" t="s">
        <v>40</v>
      </c>
      <c r="G149" s="16">
        <v>45095.409722222219</v>
      </c>
      <c r="H149" s="16">
        <v>45095.430555555555</v>
      </c>
      <c r="I149" s="34" t="s">
        <v>32</v>
      </c>
      <c r="J149" s="34" t="s">
        <v>132</v>
      </c>
      <c r="K149" s="34"/>
      <c r="L149" s="38"/>
    </row>
    <row r="150" spans="1:12">
      <c r="A150" s="19" t="s">
        <v>20</v>
      </c>
      <c r="B150" s="30" t="s">
        <v>562</v>
      </c>
      <c r="C150" s="30" t="s">
        <v>49</v>
      </c>
      <c r="D150" s="30" t="s">
        <v>563</v>
      </c>
      <c r="E150" s="30" t="s">
        <v>564</v>
      </c>
      <c r="F150" s="30" t="s">
        <v>40</v>
      </c>
      <c r="G150" s="22">
        <v>45095.500694444447</v>
      </c>
      <c r="H150" s="22">
        <v>45095.520833333336</v>
      </c>
      <c r="I150" s="30" t="s">
        <v>565</v>
      </c>
      <c r="J150" s="30" t="s">
        <v>132</v>
      </c>
      <c r="K150" s="30"/>
      <c r="L150" s="39"/>
    </row>
    <row r="151" spans="1:12">
      <c r="A151" s="1" t="s">
        <v>20</v>
      </c>
      <c r="B151" s="34" t="s">
        <v>566</v>
      </c>
      <c r="C151" s="34" t="s">
        <v>21</v>
      </c>
      <c r="D151" s="34" t="s">
        <v>567</v>
      </c>
      <c r="E151" s="34" t="s">
        <v>492</v>
      </c>
      <c r="F151" s="34" t="s">
        <v>40</v>
      </c>
      <c r="G151" s="16">
        <v>45095.917361111111</v>
      </c>
      <c r="H151" s="16">
        <v>45095.931944444441</v>
      </c>
      <c r="I151" s="34" t="s">
        <v>52</v>
      </c>
      <c r="J151" s="34" t="s">
        <v>72</v>
      </c>
      <c r="K151" s="34"/>
      <c r="L151" s="38"/>
    </row>
    <row r="152" spans="1:12">
      <c r="A152" s="19" t="s">
        <v>95</v>
      </c>
      <c r="B152" s="30" t="s">
        <v>568</v>
      </c>
      <c r="C152" s="30" t="s">
        <v>118</v>
      </c>
      <c r="D152" s="30" t="s">
        <v>569</v>
      </c>
      <c r="E152" s="30" t="s">
        <v>570</v>
      </c>
      <c r="F152" s="30" t="s">
        <v>40</v>
      </c>
      <c r="G152" s="22">
        <v>45095.941666666666</v>
      </c>
      <c r="H152" s="22">
        <v>45095.959722222222</v>
      </c>
      <c r="I152" s="30" t="s">
        <v>502</v>
      </c>
      <c r="J152" s="30" t="s">
        <v>72</v>
      </c>
      <c r="K152" s="30"/>
      <c r="L152" s="39"/>
    </row>
    <row r="153" spans="1:12">
      <c r="A153" s="1" t="s">
        <v>20</v>
      </c>
      <c r="B153" s="34" t="s">
        <v>571</v>
      </c>
      <c r="C153" s="34" t="s">
        <v>21</v>
      </c>
      <c r="D153" s="34" t="s">
        <v>552</v>
      </c>
      <c r="E153" s="34" t="s">
        <v>492</v>
      </c>
      <c r="F153" s="34" t="s">
        <v>40</v>
      </c>
      <c r="G153" s="16">
        <v>45095.966666666667</v>
      </c>
      <c r="H153" s="16">
        <v>45095.977083333331</v>
      </c>
      <c r="I153" s="34" t="s">
        <v>52</v>
      </c>
      <c r="J153" s="34" t="s">
        <v>72</v>
      </c>
      <c r="K153" s="34"/>
      <c r="L153" s="38"/>
    </row>
    <row r="154" spans="1:12">
      <c r="A154" s="19" t="s">
        <v>95</v>
      </c>
      <c r="B154" s="30" t="s">
        <v>572</v>
      </c>
      <c r="C154" s="30" t="s">
        <v>118</v>
      </c>
      <c r="D154" s="30" t="s">
        <v>573</v>
      </c>
      <c r="E154" s="30" t="s">
        <v>574</v>
      </c>
      <c r="F154" s="30" t="s">
        <v>40</v>
      </c>
      <c r="G154" s="22">
        <v>45095.984027777777</v>
      </c>
      <c r="H154" s="22">
        <v>45096.853472222225</v>
      </c>
      <c r="I154" s="30" t="s">
        <v>502</v>
      </c>
      <c r="J154" s="30" t="s">
        <v>72</v>
      </c>
      <c r="K154" s="30" t="s">
        <v>132</v>
      </c>
      <c r="L154" s="39">
        <v>45096</v>
      </c>
    </row>
    <row r="155" spans="1:12">
      <c r="A155" s="1" t="s">
        <v>20</v>
      </c>
      <c r="B155" s="34" t="s">
        <v>575</v>
      </c>
      <c r="C155" s="34" t="s">
        <v>21</v>
      </c>
      <c r="D155" s="34" t="s">
        <v>576</v>
      </c>
      <c r="E155" s="34" t="s">
        <v>577</v>
      </c>
      <c r="F155" s="34" t="s">
        <v>40</v>
      </c>
      <c r="G155" s="16">
        <v>45096.025694444441</v>
      </c>
      <c r="H155" s="16">
        <v>45096.070833333331</v>
      </c>
      <c r="I155" s="34" t="s">
        <v>32</v>
      </c>
      <c r="J155" s="34" t="s">
        <v>72</v>
      </c>
      <c r="K155" s="34"/>
      <c r="L155" s="38"/>
    </row>
    <row r="156" spans="1:12">
      <c r="A156" s="19" t="s">
        <v>20</v>
      </c>
      <c r="B156" s="30" t="s">
        <v>578</v>
      </c>
      <c r="C156" s="30" t="s">
        <v>21</v>
      </c>
      <c r="D156" s="30" t="s">
        <v>579</v>
      </c>
      <c r="E156" s="30" t="s">
        <v>580</v>
      </c>
      <c r="F156" s="30" t="s">
        <v>40</v>
      </c>
      <c r="G156" s="22">
        <v>45096.111111111109</v>
      </c>
      <c r="H156" s="22">
        <v>45096.133333333331</v>
      </c>
      <c r="I156" s="30" t="s">
        <v>52</v>
      </c>
      <c r="J156" s="30" t="s">
        <v>72</v>
      </c>
      <c r="K156" s="30"/>
      <c r="L156" s="39"/>
    </row>
    <row r="157" spans="1:12">
      <c r="A157" s="1" t="s">
        <v>95</v>
      </c>
      <c r="B157" s="34" t="s">
        <v>581</v>
      </c>
      <c r="C157" s="34" t="s">
        <v>118</v>
      </c>
      <c r="D157" s="34" t="s">
        <v>582</v>
      </c>
      <c r="E157" s="34" t="s">
        <v>583</v>
      </c>
      <c r="F157" s="34" t="s">
        <v>40</v>
      </c>
      <c r="G157" s="16">
        <v>45096.188888888886</v>
      </c>
      <c r="H157" s="16">
        <v>45096.202777777777</v>
      </c>
      <c r="I157" s="34" t="s">
        <v>502</v>
      </c>
      <c r="J157" s="34" t="s">
        <v>72</v>
      </c>
      <c r="K157" s="34"/>
      <c r="L157" s="38"/>
    </row>
    <row r="158" spans="1:12">
      <c r="A158" s="19" t="s">
        <v>106</v>
      </c>
      <c r="B158" s="30" t="s">
        <v>584</v>
      </c>
      <c r="C158" s="30" t="s">
        <v>108</v>
      </c>
      <c r="D158" s="30" t="s">
        <v>585</v>
      </c>
      <c r="E158" s="30"/>
      <c r="F158" s="30" t="s">
        <v>130</v>
      </c>
      <c r="G158" s="22">
        <v>45096.686805555553</v>
      </c>
      <c r="H158" s="22"/>
      <c r="I158" s="30" t="s">
        <v>111</v>
      </c>
      <c r="J158" s="30" t="s">
        <v>132</v>
      </c>
      <c r="K158" s="30" t="s">
        <v>72</v>
      </c>
      <c r="L158" s="39">
        <v>45097</v>
      </c>
    </row>
    <row r="159" spans="1:12">
      <c r="A159" s="1" t="s">
        <v>95</v>
      </c>
      <c r="B159" s="34" t="s">
        <v>586</v>
      </c>
      <c r="C159" s="34" t="s">
        <v>118</v>
      </c>
      <c r="D159" s="34" t="s">
        <v>587</v>
      </c>
      <c r="E159" s="34" t="s">
        <v>588</v>
      </c>
      <c r="F159" s="34" t="s">
        <v>40</v>
      </c>
      <c r="G159" s="16">
        <v>45096.862500000003</v>
      </c>
      <c r="H159" s="16">
        <v>45096.873611111114</v>
      </c>
      <c r="I159" s="34" t="s">
        <v>32</v>
      </c>
      <c r="J159" s="34" t="s">
        <v>72</v>
      </c>
      <c r="K159" s="34"/>
      <c r="L159" s="38"/>
    </row>
    <row r="160" spans="1:12">
      <c r="A160" s="19" t="s">
        <v>95</v>
      </c>
      <c r="B160" s="30" t="s">
        <v>589</v>
      </c>
      <c r="C160" s="30" t="s">
        <v>118</v>
      </c>
      <c r="D160" s="30" t="s">
        <v>590</v>
      </c>
      <c r="E160" s="30" t="s">
        <v>591</v>
      </c>
      <c r="F160" s="30" t="s">
        <v>40</v>
      </c>
      <c r="G160" s="22">
        <v>45096.93472222222</v>
      </c>
      <c r="H160" s="22">
        <v>45096.99722222222</v>
      </c>
      <c r="I160" s="30" t="s">
        <v>502</v>
      </c>
      <c r="J160" s="30" t="s">
        <v>72</v>
      </c>
      <c r="K160" s="30"/>
      <c r="L160" s="39"/>
    </row>
    <row r="161" spans="1:12">
      <c r="A161" s="1" t="s">
        <v>20</v>
      </c>
      <c r="B161" s="34" t="s">
        <v>592</v>
      </c>
      <c r="C161" s="34" t="s">
        <v>13</v>
      </c>
      <c r="D161" s="34" t="s">
        <v>593</v>
      </c>
      <c r="E161" s="34" t="s">
        <v>594</v>
      </c>
      <c r="F161" s="34" t="s">
        <v>40</v>
      </c>
      <c r="G161" s="16">
        <v>45096.955555555556</v>
      </c>
      <c r="H161" s="16">
        <v>45096.995833333334</v>
      </c>
      <c r="I161" s="34" t="s">
        <v>595</v>
      </c>
      <c r="J161" s="34" t="s">
        <v>72</v>
      </c>
      <c r="K161" s="34"/>
      <c r="L161" s="38"/>
    </row>
    <row r="162" spans="1:12">
      <c r="A162" s="19" t="s">
        <v>20</v>
      </c>
      <c r="B162" s="30" t="s">
        <v>596</v>
      </c>
      <c r="C162" s="30" t="s">
        <v>21</v>
      </c>
      <c r="D162" s="30" t="s">
        <v>597</v>
      </c>
      <c r="E162" s="30" t="s">
        <v>598</v>
      </c>
      <c r="F162" s="30" t="s">
        <v>40</v>
      </c>
      <c r="G162" s="22">
        <v>45097.036805555559</v>
      </c>
      <c r="H162" s="22">
        <v>45097.068749999999</v>
      </c>
      <c r="I162" s="30" t="s">
        <v>52</v>
      </c>
      <c r="J162" s="30" t="s">
        <v>72</v>
      </c>
      <c r="K162" s="30"/>
      <c r="L162" s="39"/>
    </row>
    <row r="163" spans="1:12">
      <c r="A163" s="1" t="s">
        <v>20</v>
      </c>
      <c r="B163" s="34" t="s">
        <v>599</v>
      </c>
      <c r="C163" s="34" t="s">
        <v>21</v>
      </c>
      <c r="D163" s="34" t="s">
        <v>600</v>
      </c>
      <c r="E163" s="34" t="s">
        <v>492</v>
      </c>
      <c r="F163" s="34" t="s">
        <v>40</v>
      </c>
      <c r="G163" s="16">
        <v>45097.250694444447</v>
      </c>
      <c r="H163" s="16">
        <v>45097.261111111111</v>
      </c>
      <c r="I163" s="34" t="s">
        <v>52</v>
      </c>
      <c r="J163" s="34" t="s">
        <v>72</v>
      </c>
      <c r="K163" s="34"/>
      <c r="L163" s="38"/>
    </row>
    <row r="164" spans="1:12">
      <c r="A164" s="19" t="s">
        <v>95</v>
      </c>
      <c r="B164" s="30" t="s">
        <v>601</v>
      </c>
      <c r="C164" s="30" t="s">
        <v>118</v>
      </c>
      <c r="D164" s="30" t="s">
        <v>602</v>
      </c>
      <c r="E164" s="30" t="s">
        <v>603</v>
      </c>
      <c r="F164" s="30" t="s">
        <v>40</v>
      </c>
      <c r="G164" s="22">
        <v>45097.260416666664</v>
      </c>
      <c r="H164" s="22">
        <v>45097.270833333336</v>
      </c>
      <c r="I164" s="30" t="s">
        <v>502</v>
      </c>
      <c r="J164" s="30" t="s">
        <v>72</v>
      </c>
      <c r="K164" s="30"/>
      <c r="L164" s="39"/>
    </row>
    <row r="165" spans="1:12">
      <c r="A165" s="1" t="s">
        <v>106</v>
      </c>
      <c r="B165" s="34" t="s">
        <v>604</v>
      </c>
      <c r="C165" s="34" t="s">
        <v>108</v>
      </c>
      <c r="D165" s="34" t="s">
        <v>605</v>
      </c>
      <c r="E165" s="34" t="s">
        <v>606</v>
      </c>
      <c r="F165" s="34" t="s">
        <v>40</v>
      </c>
      <c r="G165" s="16">
        <v>45097.643750000003</v>
      </c>
      <c r="H165" s="16">
        <v>45097.670138888891</v>
      </c>
      <c r="I165" s="34" t="s">
        <v>111</v>
      </c>
      <c r="J165" s="34" t="s">
        <v>132</v>
      </c>
      <c r="K165" s="34"/>
      <c r="L165" s="38"/>
    </row>
    <row r="166" spans="1:12">
      <c r="A166" s="19" t="s">
        <v>20</v>
      </c>
      <c r="B166" s="30" t="s">
        <v>607</v>
      </c>
      <c r="C166" s="30" t="s">
        <v>21</v>
      </c>
      <c r="D166" s="30" t="s">
        <v>608</v>
      </c>
      <c r="E166" s="30" t="s">
        <v>609</v>
      </c>
      <c r="F166" s="30" t="s">
        <v>40</v>
      </c>
      <c r="G166" s="22">
        <v>45097.625</v>
      </c>
      <c r="H166" s="22">
        <v>45097.638888888891</v>
      </c>
      <c r="I166" s="30" t="s">
        <v>61</v>
      </c>
      <c r="J166" s="30" t="s">
        <v>132</v>
      </c>
      <c r="K166" s="30"/>
      <c r="L166" s="39"/>
    </row>
    <row r="167" spans="1:12">
      <c r="A167" s="1" t="s">
        <v>106</v>
      </c>
      <c r="B167" s="34" t="s">
        <v>610</v>
      </c>
      <c r="C167" s="34" t="s">
        <v>78</v>
      </c>
      <c r="D167" s="34" t="s">
        <v>611</v>
      </c>
      <c r="E167" s="34" t="s">
        <v>612</v>
      </c>
      <c r="F167" s="34" t="s">
        <v>40</v>
      </c>
      <c r="G167" s="16">
        <v>45097.756944444445</v>
      </c>
      <c r="H167" s="16">
        <v>45097.765972222223</v>
      </c>
      <c r="I167" s="34" t="s">
        <v>613</v>
      </c>
      <c r="J167" s="34" t="s">
        <v>132</v>
      </c>
      <c r="K167" s="34"/>
      <c r="L167" s="38"/>
    </row>
    <row r="168" spans="1:12">
      <c r="A168" s="19" t="s">
        <v>106</v>
      </c>
      <c r="B168" s="30" t="s">
        <v>614</v>
      </c>
      <c r="C168" s="30" t="s">
        <v>108</v>
      </c>
      <c r="D168" s="30" t="s">
        <v>615</v>
      </c>
      <c r="E168" s="30" t="s">
        <v>276</v>
      </c>
      <c r="F168" s="30" t="s">
        <v>40</v>
      </c>
      <c r="G168" s="22">
        <v>45097.888194444444</v>
      </c>
      <c r="H168" s="22">
        <v>45097.902083333334</v>
      </c>
      <c r="I168" s="30" t="s">
        <v>616</v>
      </c>
      <c r="J168" s="30" t="s">
        <v>72</v>
      </c>
      <c r="K168" s="30"/>
      <c r="L168" s="39"/>
    </row>
    <row r="169" spans="1:12">
      <c r="A169" s="1" t="s">
        <v>20</v>
      </c>
      <c r="B169" s="34" t="s">
        <v>617</v>
      </c>
      <c r="C169" s="34" t="s">
        <v>21</v>
      </c>
      <c r="D169" s="34" t="s">
        <v>618</v>
      </c>
      <c r="E169" s="34" t="s">
        <v>619</v>
      </c>
      <c r="F169" s="34" t="s">
        <v>40</v>
      </c>
      <c r="G169" s="16">
        <v>45098.009027777778</v>
      </c>
      <c r="H169" s="16">
        <v>45098.03125</v>
      </c>
      <c r="I169" s="34" t="s">
        <v>52</v>
      </c>
      <c r="J169" s="34" t="s">
        <v>72</v>
      </c>
      <c r="K169" s="34"/>
      <c r="L169" s="38"/>
    </row>
    <row r="170" spans="1:12">
      <c r="A170" s="19" t="s">
        <v>20</v>
      </c>
      <c r="B170" s="30" t="s">
        <v>620</v>
      </c>
      <c r="C170" s="30" t="s">
        <v>21</v>
      </c>
      <c r="D170" s="30" t="s">
        <v>621</v>
      </c>
      <c r="E170" s="30" t="s">
        <v>495</v>
      </c>
      <c r="F170" s="30" t="s">
        <v>40</v>
      </c>
      <c r="G170" s="22">
        <v>45098.05972222222</v>
      </c>
      <c r="H170" s="22">
        <v>45098.073611111111</v>
      </c>
      <c r="I170" s="30" t="s">
        <v>52</v>
      </c>
      <c r="J170" s="30" t="s">
        <v>72</v>
      </c>
      <c r="K170" s="30"/>
      <c r="L170" s="39"/>
    </row>
    <row r="171" spans="1:12">
      <c r="A171" s="1" t="s">
        <v>106</v>
      </c>
      <c r="B171" s="34" t="s">
        <v>622</v>
      </c>
      <c r="C171" s="34" t="s">
        <v>380</v>
      </c>
      <c r="D171" s="34" t="s">
        <v>623</v>
      </c>
      <c r="E171" s="34" t="s">
        <v>624</v>
      </c>
      <c r="F171" s="34" t="s">
        <v>40</v>
      </c>
      <c r="G171" s="16">
        <v>45104.951388888891</v>
      </c>
      <c r="H171" s="16">
        <v>45104.980555555558</v>
      </c>
      <c r="I171" s="34" t="s">
        <v>383</v>
      </c>
      <c r="J171" s="34" t="s">
        <v>101</v>
      </c>
      <c r="K171" s="34"/>
      <c r="L171" s="38"/>
    </row>
    <row r="172" spans="1:12">
      <c r="A172" s="19" t="s">
        <v>106</v>
      </c>
      <c r="B172" s="30" t="s">
        <v>622</v>
      </c>
      <c r="C172" s="30" t="s">
        <v>380</v>
      </c>
      <c r="D172" s="30" t="s">
        <v>623</v>
      </c>
      <c r="E172" s="30" t="s">
        <v>625</v>
      </c>
      <c r="F172" s="30" t="s">
        <v>40</v>
      </c>
      <c r="G172" s="22">
        <v>45098.917361111111</v>
      </c>
      <c r="H172" s="22">
        <v>45098.930555555555</v>
      </c>
      <c r="I172" s="30" t="s">
        <v>383</v>
      </c>
      <c r="J172" s="30" t="s">
        <v>101</v>
      </c>
      <c r="K172" s="30"/>
      <c r="L172" s="39"/>
    </row>
    <row r="173" spans="1:12">
      <c r="A173" s="1" t="s">
        <v>20</v>
      </c>
      <c r="B173" s="34" t="s">
        <v>626</v>
      </c>
      <c r="C173" s="34" t="s">
        <v>21</v>
      </c>
      <c r="D173" s="34" t="s">
        <v>627</v>
      </c>
      <c r="E173" s="34" t="s">
        <v>628</v>
      </c>
      <c r="F173" s="34" t="s">
        <v>40</v>
      </c>
      <c r="G173" s="16">
        <v>45098.904861111114</v>
      </c>
      <c r="H173" s="16">
        <v>45098.9375</v>
      </c>
      <c r="I173" s="34" t="s">
        <v>629</v>
      </c>
      <c r="J173" s="34" t="s">
        <v>101</v>
      </c>
      <c r="K173" s="34"/>
      <c r="L173" s="38"/>
    </row>
    <row r="174" spans="1:12">
      <c r="A174" s="19" t="s">
        <v>95</v>
      </c>
      <c r="B174" s="30" t="s">
        <v>630</v>
      </c>
      <c r="C174" s="30" t="s">
        <v>97</v>
      </c>
      <c r="D174" s="30" t="s">
        <v>631</v>
      </c>
      <c r="E174" s="30" t="s">
        <v>632</v>
      </c>
      <c r="F174" s="30" t="s">
        <v>40</v>
      </c>
      <c r="G174" s="22">
        <v>45098.004861111112</v>
      </c>
      <c r="H174" s="22">
        <v>45098.065972222219</v>
      </c>
      <c r="I174" s="30" t="s">
        <v>633</v>
      </c>
      <c r="J174" s="30" t="s">
        <v>101</v>
      </c>
      <c r="K174" s="30"/>
      <c r="L174" s="39"/>
    </row>
    <row r="175" spans="1:12">
      <c r="A175" s="1" t="s">
        <v>20</v>
      </c>
      <c r="B175" s="34" t="s">
        <v>634</v>
      </c>
      <c r="C175" s="34" t="s">
        <v>21</v>
      </c>
      <c r="D175" s="34" t="s">
        <v>635</v>
      </c>
      <c r="E175" s="34" t="s">
        <v>636</v>
      </c>
      <c r="F175" s="34" t="s">
        <v>40</v>
      </c>
      <c r="G175" s="16">
        <v>45099.260416666664</v>
      </c>
      <c r="H175" s="16">
        <v>45099.357638888891</v>
      </c>
      <c r="I175" s="34" t="s">
        <v>629</v>
      </c>
      <c r="J175" s="34" t="s">
        <v>101</v>
      </c>
      <c r="K175" s="34" t="s">
        <v>41</v>
      </c>
      <c r="L175" s="38">
        <v>45099</v>
      </c>
    </row>
    <row r="176" spans="1:12">
      <c r="A176" s="19" t="s">
        <v>20</v>
      </c>
      <c r="B176" s="30" t="s">
        <v>637</v>
      </c>
      <c r="C176" s="30" t="s">
        <v>21</v>
      </c>
      <c r="D176" s="30" t="s">
        <v>638</v>
      </c>
      <c r="E176" s="30" t="s">
        <v>639</v>
      </c>
      <c r="F176" s="30" t="s">
        <v>40</v>
      </c>
      <c r="G176" s="22">
        <v>45099.864583333336</v>
      </c>
      <c r="H176" s="22">
        <v>45100.37777777778</v>
      </c>
      <c r="I176" s="30" t="s">
        <v>640</v>
      </c>
      <c r="J176" s="30" t="s">
        <v>101</v>
      </c>
      <c r="K176" s="30" t="s">
        <v>41</v>
      </c>
      <c r="L176" s="39">
        <v>45100</v>
      </c>
    </row>
    <row r="177" spans="1:12">
      <c r="A177" s="1" t="s">
        <v>106</v>
      </c>
      <c r="B177" s="34" t="s">
        <v>641</v>
      </c>
      <c r="C177" s="34" t="s">
        <v>21</v>
      </c>
      <c r="D177" s="34" t="s">
        <v>642</v>
      </c>
      <c r="E177" s="34" t="s">
        <v>643</v>
      </c>
      <c r="F177" s="34" t="s">
        <v>130</v>
      </c>
      <c r="G177" s="16">
        <v>45099.901388888888</v>
      </c>
      <c r="H177" s="16">
        <v>45100.119444444441</v>
      </c>
      <c r="I177" s="34" t="s">
        <v>629</v>
      </c>
      <c r="J177" s="34" t="s">
        <v>101</v>
      </c>
      <c r="K177" s="34"/>
      <c r="L177" s="38"/>
    </row>
    <row r="178" spans="1:12">
      <c r="A178" s="19" t="s">
        <v>106</v>
      </c>
      <c r="B178" s="30" t="s">
        <v>644</v>
      </c>
      <c r="C178" s="30" t="s">
        <v>380</v>
      </c>
      <c r="D178" s="30" t="s">
        <v>645</v>
      </c>
      <c r="E178" s="30" t="s">
        <v>646</v>
      </c>
      <c r="F178" s="30" t="s">
        <v>40</v>
      </c>
      <c r="G178" s="22">
        <v>45099.958333333336</v>
      </c>
      <c r="H178" s="22">
        <v>45100.125</v>
      </c>
      <c r="I178" s="30" t="s">
        <v>32</v>
      </c>
      <c r="J178" s="30" t="s">
        <v>101</v>
      </c>
      <c r="K178" s="30"/>
      <c r="L178" s="39"/>
    </row>
    <row r="179" spans="1:12">
      <c r="A179" s="1" t="s">
        <v>106</v>
      </c>
      <c r="B179" s="34" t="s">
        <v>647</v>
      </c>
      <c r="C179" s="34" t="s">
        <v>313</v>
      </c>
      <c r="D179" s="34" t="s">
        <v>648</v>
      </c>
      <c r="E179" s="34" t="s">
        <v>649</v>
      </c>
      <c r="F179" s="34" t="s">
        <v>40</v>
      </c>
      <c r="G179" s="16">
        <v>45100.208333333336</v>
      </c>
      <c r="H179" s="16">
        <v>45100.25</v>
      </c>
      <c r="I179" s="34" t="s">
        <v>32</v>
      </c>
      <c r="J179" s="34" t="s">
        <v>101</v>
      </c>
      <c r="K179" s="34"/>
      <c r="L179" s="38"/>
    </row>
    <row r="180" spans="1:12">
      <c r="A180" s="19" t="s">
        <v>106</v>
      </c>
      <c r="B180" s="30" t="s">
        <v>650</v>
      </c>
      <c r="C180" s="30" t="s">
        <v>380</v>
      </c>
      <c r="D180" s="30" t="s">
        <v>651</v>
      </c>
      <c r="E180" s="30" t="s">
        <v>652</v>
      </c>
      <c r="F180" s="30" t="s">
        <v>40</v>
      </c>
      <c r="G180" s="22">
        <v>45099.249305555553</v>
      </c>
      <c r="H180" s="22">
        <v>45100.259027777778</v>
      </c>
      <c r="I180" s="30" t="s">
        <v>383</v>
      </c>
      <c r="J180" s="30" t="s">
        <v>101</v>
      </c>
      <c r="K180" s="30"/>
      <c r="L180" s="39"/>
    </row>
    <row r="181" spans="1:12">
      <c r="A181" s="1" t="s">
        <v>20</v>
      </c>
      <c r="B181" s="34" t="s">
        <v>653</v>
      </c>
      <c r="C181" s="34" t="s">
        <v>21</v>
      </c>
      <c r="D181" s="34" t="s">
        <v>654</v>
      </c>
      <c r="E181" s="34" t="s">
        <v>655</v>
      </c>
      <c r="F181" s="34" t="s">
        <v>40</v>
      </c>
      <c r="G181" s="16">
        <v>45100.92083333333</v>
      </c>
      <c r="H181" s="16">
        <v>45100.083333333336</v>
      </c>
      <c r="I181" s="34" t="s">
        <v>640</v>
      </c>
      <c r="J181" s="34" t="s">
        <v>101</v>
      </c>
      <c r="K181" s="34"/>
      <c r="L181" s="38"/>
    </row>
    <row r="182" spans="1:12">
      <c r="A182" s="19" t="s">
        <v>106</v>
      </c>
      <c r="B182" s="30" t="s">
        <v>656</v>
      </c>
      <c r="C182" s="30" t="s">
        <v>380</v>
      </c>
      <c r="D182" s="30" t="s">
        <v>657</v>
      </c>
      <c r="E182" s="30" t="s">
        <v>420</v>
      </c>
      <c r="F182" s="30" t="s">
        <v>40</v>
      </c>
      <c r="G182" s="22">
        <v>45101.020833333336</v>
      </c>
      <c r="H182" s="22">
        <v>45101.041666666664</v>
      </c>
      <c r="I182" s="30" t="s">
        <v>383</v>
      </c>
      <c r="J182" s="30" t="s">
        <v>101</v>
      </c>
      <c r="K182" s="30"/>
      <c r="L182" s="39"/>
    </row>
    <row r="183" spans="1:12">
      <c r="A183" s="1" t="s">
        <v>20</v>
      </c>
      <c r="B183" s="34" t="s">
        <v>658</v>
      </c>
      <c r="C183" s="34" t="s">
        <v>49</v>
      </c>
      <c r="D183" s="34" t="s">
        <v>659</v>
      </c>
      <c r="E183" s="34" t="s">
        <v>660</v>
      </c>
      <c r="F183" s="34" t="s">
        <v>40</v>
      </c>
      <c r="G183" s="16">
        <v>45100.958333333336</v>
      </c>
      <c r="H183" s="16">
        <v>45101.041666666664</v>
      </c>
      <c r="I183" s="34" t="s">
        <v>105</v>
      </c>
      <c r="J183" s="34" t="s">
        <v>101</v>
      </c>
      <c r="K183" s="34"/>
      <c r="L183" s="38"/>
    </row>
    <row r="184" spans="1:12">
      <c r="A184" s="19" t="s">
        <v>20</v>
      </c>
      <c r="B184" s="30" t="s">
        <v>661</v>
      </c>
      <c r="C184" s="30" t="s">
        <v>21</v>
      </c>
      <c r="D184" s="30" t="s">
        <v>662</v>
      </c>
      <c r="E184" s="30" t="s">
        <v>663</v>
      </c>
      <c r="F184" s="30" t="s">
        <v>40</v>
      </c>
      <c r="G184" s="22">
        <v>45100.881249999999</v>
      </c>
      <c r="H184" s="22">
        <v>45100.993055555555</v>
      </c>
      <c r="I184" s="30" t="s">
        <v>629</v>
      </c>
      <c r="J184" s="30" t="s">
        <v>101</v>
      </c>
      <c r="K184" s="30"/>
      <c r="L184" s="39"/>
    </row>
    <row r="185" spans="1:12">
      <c r="A185" s="1" t="s">
        <v>20</v>
      </c>
      <c r="B185" s="34" t="s">
        <v>664</v>
      </c>
      <c r="C185" s="34" t="s">
        <v>21</v>
      </c>
      <c r="D185" s="34" t="s">
        <v>665</v>
      </c>
      <c r="E185" s="34" t="s">
        <v>666</v>
      </c>
      <c r="F185" s="34" t="s">
        <v>40</v>
      </c>
      <c r="G185" s="16">
        <v>45101.093055555553</v>
      </c>
      <c r="H185" s="16">
        <v>45101.131944444445</v>
      </c>
      <c r="I185" s="34" t="s">
        <v>629</v>
      </c>
      <c r="J185" s="34" t="s">
        <v>101</v>
      </c>
      <c r="K185" s="34"/>
      <c r="L185" s="38"/>
    </row>
    <row r="186" spans="1:12">
      <c r="A186" s="19" t="s">
        <v>20</v>
      </c>
      <c r="B186" s="30" t="s">
        <v>667</v>
      </c>
      <c r="C186" s="30" t="s">
        <v>21</v>
      </c>
      <c r="D186" s="30" t="s">
        <v>668</v>
      </c>
      <c r="E186" s="30" t="s">
        <v>669</v>
      </c>
      <c r="F186" s="30" t="s">
        <v>40</v>
      </c>
      <c r="G186" s="22">
        <v>45101.120833333334</v>
      </c>
      <c r="H186" s="22">
        <v>45101.145833333336</v>
      </c>
      <c r="I186" s="30" t="s">
        <v>629</v>
      </c>
      <c r="J186" s="30" t="s">
        <v>101</v>
      </c>
      <c r="K186" s="30"/>
      <c r="L186" s="39"/>
    </row>
    <row r="187" spans="1:12">
      <c r="A187" s="1" t="s">
        <v>20</v>
      </c>
      <c r="B187" s="34" t="s">
        <v>670</v>
      </c>
      <c r="C187" s="34" t="s">
        <v>21</v>
      </c>
      <c r="D187" s="34" t="s">
        <v>671</v>
      </c>
      <c r="E187" s="34" t="s">
        <v>672</v>
      </c>
      <c r="F187" s="34" t="s">
        <v>40</v>
      </c>
      <c r="G187" s="16">
        <v>45100.226388888892</v>
      </c>
      <c r="H187" s="16">
        <v>45100.25</v>
      </c>
      <c r="I187" s="34" t="s">
        <v>629</v>
      </c>
      <c r="J187" s="34" t="s">
        <v>101</v>
      </c>
      <c r="K187" s="34"/>
      <c r="L187" s="38"/>
    </row>
    <row r="188" spans="1:12">
      <c r="A188" s="19" t="s">
        <v>20</v>
      </c>
      <c r="B188" s="30" t="s">
        <v>673</v>
      </c>
      <c r="C188" s="30" t="s">
        <v>21</v>
      </c>
      <c r="D188" s="30" t="s">
        <v>674</v>
      </c>
      <c r="E188" s="30" t="s">
        <v>675</v>
      </c>
      <c r="F188" s="30" t="s">
        <v>40</v>
      </c>
      <c r="G188" s="22">
        <v>45101.29583333333</v>
      </c>
      <c r="H188" s="22">
        <v>45101.330555555556</v>
      </c>
      <c r="I188" s="30" t="s">
        <v>629</v>
      </c>
      <c r="J188" s="30" t="s">
        <v>101</v>
      </c>
      <c r="K188" s="30"/>
      <c r="L188" s="39"/>
    </row>
    <row r="189" spans="1:12">
      <c r="A189" s="1" t="s">
        <v>106</v>
      </c>
      <c r="B189" s="34" t="s">
        <v>676</v>
      </c>
      <c r="C189" s="34" t="s">
        <v>380</v>
      </c>
      <c r="D189" s="34" t="s">
        <v>381</v>
      </c>
      <c r="E189" s="34" t="s">
        <v>677</v>
      </c>
      <c r="F189" s="34" t="s">
        <v>40</v>
      </c>
      <c r="G189" s="16">
        <v>45101.958333333336</v>
      </c>
      <c r="H189" s="16">
        <v>45102.979166666664</v>
      </c>
      <c r="I189" s="34" t="s">
        <v>383</v>
      </c>
      <c r="J189" s="34" t="s">
        <v>101</v>
      </c>
      <c r="K189" s="34"/>
      <c r="L189" s="38"/>
    </row>
    <row r="190" spans="1:12">
      <c r="A190" s="19" t="s">
        <v>95</v>
      </c>
      <c r="B190" s="30" t="s">
        <v>678</v>
      </c>
      <c r="C190" s="30" t="s">
        <v>97</v>
      </c>
      <c r="D190" s="30" t="s">
        <v>679</v>
      </c>
      <c r="E190" s="30" t="s">
        <v>680</v>
      </c>
      <c r="F190" s="30" t="s">
        <v>40</v>
      </c>
      <c r="G190" s="22">
        <v>45102.040277777778</v>
      </c>
      <c r="H190" s="22">
        <v>45102.333333333336</v>
      </c>
      <c r="I190" s="30" t="s">
        <v>681</v>
      </c>
      <c r="J190" s="30" t="s">
        <v>101</v>
      </c>
      <c r="K190" s="30"/>
      <c r="L190" s="39"/>
    </row>
    <row r="191" spans="1:12">
      <c r="A191" s="1" t="s">
        <v>95</v>
      </c>
      <c r="B191" s="34" t="s">
        <v>682</v>
      </c>
      <c r="C191" s="34" t="s">
        <v>118</v>
      </c>
      <c r="D191" s="34" t="s">
        <v>683</v>
      </c>
      <c r="E191" s="34" t="s">
        <v>684</v>
      </c>
      <c r="F191" s="34" t="s">
        <v>40</v>
      </c>
      <c r="G191" s="16">
        <v>45101.979166666664</v>
      </c>
      <c r="H191" s="16">
        <v>45102</v>
      </c>
      <c r="I191" s="34" t="s">
        <v>32</v>
      </c>
      <c r="J191" s="34" t="s">
        <v>101</v>
      </c>
      <c r="K191" s="34"/>
      <c r="L191" s="38"/>
    </row>
    <row r="192" spans="1:12">
      <c r="A192" s="19" t="s">
        <v>20</v>
      </c>
      <c r="B192" s="30" t="s">
        <v>685</v>
      </c>
      <c r="C192" s="30" t="s">
        <v>21</v>
      </c>
      <c r="D192" s="30" t="s">
        <v>686</v>
      </c>
      <c r="E192" s="30" t="s">
        <v>687</v>
      </c>
      <c r="F192" s="30" t="s">
        <v>40</v>
      </c>
      <c r="G192" s="22">
        <v>45071.111805555556</v>
      </c>
      <c r="H192" s="22">
        <v>45102.166666666664</v>
      </c>
      <c r="I192" s="30" t="s">
        <v>629</v>
      </c>
      <c r="J192" s="30" t="s">
        <v>101</v>
      </c>
      <c r="K192" s="30"/>
      <c r="L192" s="39"/>
    </row>
    <row r="193" spans="1:12">
      <c r="A193" s="1" t="s">
        <v>20</v>
      </c>
      <c r="B193" s="34" t="s">
        <v>688</v>
      </c>
      <c r="C193" s="34" t="s">
        <v>21</v>
      </c>
      <c r="D193" s="34" t="s">
        <v>689</v>
      </c>
      <c r="E193" s="34" t="s">
        <v>690</v>
      </c>
      <c r="F193" s="34" t="s">
        <v>40</v>
      </c>
      <c r="G193" s="16">
        <v>45102.217361111114</v>
      </c>
      <c r="H193" s="16">
        <v>45102.25</v>
      </c>
      <c r="I193" s="34" t="s">
        <v>629</v>
      </c>
      <c r="J193" s="34" t="s">
        <v>101</v>
      </c>
      <c r="K193" s="34"/>
      <c r="L193" s="38"/>
    </row>
    <row r="194" spans="1:12">
      <c r="A194" s="19" t="s">
        <v>106</v>
      </c>
      <c r="B194" s="30" t="s">
        <v>691</v>
      </c>
      <c r="C194" s="30" t="s">
        <v>380</v>
      </c>
      <c r="D194" s="30" t="s">
        <v>651</v>
      </c>
      <c r="E194" s="30" t="s">
        <v>652</v>
      </c>
      <c r="F194" s="30" t="s">
        <v>40</v>
      </c>
      <c r="G194" s="22">
        <v>45102.96597222222</v>
      </c>
      <c r="H194" s="22">
        <v>45103.048611111109</v>
      </c>
      <c r="I194" s="30" t="s">
        <v>383</v>
      </c>
      <c r="J194" s="30" t="s">
        <v>101</v>
      </c>
      <c r="K194" s="30"/>
      <c r="L194" s="39"/>
    </row>
    <row r="195" spans="1:12">
      <c r="A195" s="1" t="s">
        <v>106</v>
      </c>
      <c r="B195" s="34" t="s">
        <v>692</v>
      </c>
      <c r="C195" s="34" t="s">
        <v>380</v>
      </c>
      <c r="D195" s="34" t="s">
        <v>693</v>
      </c>
      <c r="E195" s="34" t="s">
        <v>694</v>
      </c>
      <c r="F195" s="34" t="s">
        <v>40</v>
      </c>
      <c r="G195" s="16">
        <v>45102.875</v>
      </c>
      <c r="H195" s="16">
        <v>45102.958333333336</v>
      </c>
      <c r="I195" s="34" t="s">
        <v>32</v>
      </c>
      <c r="J195" s="34" t="s">
        <v>101</v>
      </c>
      <c r="K195" s="34"/>
      <c r="L195" s="38"/>
    </row>
    <row r="196" spans="1:12">
      <c r="A196" s="19" t="s">
        <v>20</v>
      </c>
      <c r="B196" s="30" t="s">
        <v>695</v>
      </c>
      <c r="C196" s="30" t="s">
        <v>21</v>
      </c>
      <c r="D196" s="30" t="s">
        <v>696</v>
      </c>
      <c r="E196" s="30" t="s">
        <v>697</v>
      </c>
      <c r="F196" s="30" t="s">
        <v>40</v>
      </c>
      <c r="G196" s="22">
        <v>45102.959722222222</v>
      </c>
      <c r="H196" s="22">
        <v>45103.041666666664</v>
      </c>
      <c r="I196" s="30" t="s">
        <v>629</v>
      </c>
      <c r="J196" s="30" t="s">
        <v>101</v>
      </c>
      <c r="K196" s="30"/>
      <c r="L196" s="39"/>
    </row>
    <row r="197" spans="1:12">
      <c r="A197" s="1" t="s">
        <v>20</v>
      </c>
      <c r="B197" s="34" t="s">
        <v>698</v>
      </c>
      <c r="C197" s="34" t="s">
        <v>49</v>
      </c>
      <c r="D197" s="34" t="s">
        <v>699</v>
      </c>
      <c r="E197" s="34" t="s">
        <v>700</v>
      </c>
      <c r="F197" s="34" t="s">
        <v>40</v>
      </c>
      <c r="G197" s="16">
        <v>45103.020833333336</v>
      </c>
      <c r="H197" s="16">
        <v>45103.083333333336</v>
      </c>
      <c r="I197" s="34" t="s">
        <v>701</v>
      </c>
      <c r="J197" s="34" t="s">
        <v>101</v>
      </c>
      <c r="K197" s="34"/>
      <c r="L197" s="38"/>
    </row>
    <row r="198" spans="1:12">
      <c r="A198" s="19" t="s">
        <v>20</v>
      </c>
      <c r="B198" s="30" t="s">
        <v>702</v>
      </c>
      <c r="C198" s="30" t="s">
        <v>21</v>
      </c>
      <c r="D198" s="30" t="s">
        <v>703</v>
      </c>
      <c r="E198" s="30" t="s">
        <v>704</v>
      </c>
      <c r="F198" s="30" t="s">
        <v>40</v>
      </c>
      <c r="G198" s="22">
        <v>45103.147916666669</v>
      </c>
      <c r="H198" s="22">
        <v>45103.208333333336</v>
      </c>
      <c r="I198" s="30" t="s">
        <v>629</v>
      </c>
      <c r="J198" s="30" t="s">
        <v>101</v>
      </c>
      <c r="K198" s="30"/>
      <c r="L198" s="39"/>
    </row>
    <row r="199" spans="1:12">
      <c r="A199" s="1" t="s">
        <v>106</v>
      </c>
      <c r="B199" s="34" t="s">
        <v>705</v>
      </c>
      <c r="C199" s="34" t="s">
        <v>78</v>
      </c>
      <c r="D199" s="34" t="s">
        <v>706</v>
      </c>
      <c r="E199" s="34" t="s">
        <v>707</v>
      </c>
      <c r="F199" s="34" t="s">
        <v>40</v>
      </c>
      <c r="G199" s="16">
        <v>45103.90625</v>
      </c>
      <c r="H199" s="16">
        <v>45103.930555555555</v>
      </c>
      <c r="I199" s="34" t="s">
        <v>708</v>
      </c>
      <c r="J199" s="34" t="s">
        <v>101</v>
      </c>
      <c r="K199" s="34"/>
      <c r="L199" s="38"/>
    </row>
    <row r="200" spans="1:12">
      <c r="A200" s="19" t="s">
        <v>106</v>
      </c>
      <c r="B200" s="30" t="s">
        <v>709</v>
      </c>
      <c r="C200" s="30" t="s">
        <v>380</v>
      </c>
      <c r="D200" s="30" t="s">
        <v>651</v>
      </c>
      <c r="E200" s="30" t="s">
        <v>710</v>
      </c>
      <c r="F200" s="30" t="s">
        <v>40</v>
      </c>
      <c r="G200" s="22">
        <v>45103.930555555555</v>
      </c>
      <c r="H200" s="22">
        <v>45103.946527777778</v>
      </c>
      <c r="I200" s="30" t="s">
        <v>383</v>
      </c>
      <c r="J200" s="30" t="s">
        <v>101</v>
      </c>
      <c r="K200" s="30"/>
      <c r="L200" s="39"/>
    </row>
    <row r="201" spans="1:12">
      <c r="A201" s="1" t="s">
        <v>106</v>
      </c>
      <c r="B201" s="34" t="s">
        <v>711</v>
      </c>
      <c r="C201" s="34" t="s">
        <v>108</v>
      </c>
      <c r="D201" s="34" t="s">
        <v>712</v>
      </c>
      <c r="E201" s="34" t="s">
        <v>713</v>
      </c>
      <c r="F201" s="34" t="s">
        <v>40</v>
      </c>
      <c r="G201" s="16">
        <v>45103.958333333336</v>
      </c>
      <c r="H201" s="16">
        <v>45103.989583333336</v>
      </c>
      <c r="I201" s="34" t="s">
        <v>32</v>
      </c>
      <c r="J201" s="34" t="s">
        <v>101</v>
      </c>
      <c r="K201" s="34"/>
      <c r="L201" s="38"/>
    </row>
    <row r="202" spans="1:12">
      <c r="A202" s="19" t="s">
        <v>106</v>
      </c>
      <c r="B202" s="30" t="s">
        <v>714</v>
      </c>
      <c r="C202" s="30" t="s">
        <v>37</v>
      </c>
      <c r="D202" s="30" t="s">
        <v>715</v>
      </c>
      <c r="E202" s="30" t="s">
        <v>716</v>
      </c>
      <c r="F202" s="30" t="s">
        <v>40</v>
      </c>
      <c r="G202" s="22">
        <v>45104.0625</v>
      </c>
      <c r="H202" s="22">
        <v>45104.090277777781</v>
      </c>
      <c r="I202" s="30" t="s">
        <v>32</v>
      </c>
      <c r="J202" s="30" t="s">
        <v>101</v>
      </c>
      <c r="K202" s="30"/>
      <c r="L202" s="39"/>
    </row>
    <row r="203" spans="1:12">
      <c r="A203" s="1" t="s">
        <v>20</v>
      </c>
      <c r="B203" s="34" t="s">
        <v>717</v>
      </c>
      <c r="C203" s="34" t="s">
        <v>21</v>
      </c>
      <c r="D203" s="34" t="s">
        <v>718</v>
      </c>
      <c r="E203" s="34" t="s">
        <v>719</v>
      </c>
      <c r="F203" s="34" t="s">
        <v>40</v>
      </c>
      <c r="G203" s="16">
        <v>45104.229166666664</v>
      </c>
      <c r="H203" s="16">
        <v>45104.958333333336</v>
      </c>
      <c r="I203" s="34" t="s">
        <v>629</v>
      </c>
      <c r="J203" s="34" t="s">
        <v>101</v>
      </c>
      <c r="K203" s="34" t="s">
        <v>41</v>
      </c>
      <c r="L203" s="38" t="s">
        <v>19</v>
      </c>
    </row>
    <row r="204" spans="1:12">
      <c r="A204" s="19" t="s">
        <v>20</v>
      </c>
      <c r="B204" s="30" t="s">
        <v>720</v>
      </c>
      <c r="C204" s="30" t="s">
        <v>21</v>
      </c>
      <c r="D204" s="30" t="s">
        <v>721</v>
      </c>
      <c r="E204" s="30" t="s">
        <v>722</v>
      </c>
      <c r="F204" s="30" t="s">
        <v>40</v>
      </c>
      <c r="G204" s="22">
        <v>45105.007638888892</v>
      </c>
      <c r="H204" s="22">
        <v>45105.034722222219</v>
      </c>
      <c r="I204" s="30" t="s">
        <v>629</v>
      </c>
      <c r="J204" s="30" t="s">
        <v>101</v>
      </c>
      <c r="K204" s="30"/>
      <c r="L204" s="39"/>
    </row>
    <row r="205" spans="1:12">
      <c r="A205" s="1" t="s">
        <v>106</v>
      </c>
      <c r="B205" s="34" t="s">
        <v>723</v>
      </c>
      <c r="C205" s="34" t="s">
        <v>313</v>
      </c>
      <c r="D205" s="34" t="s">
        <v>724</v>
      </c>
      <c r="E205" s="34" t="s">
        <v>725</v>
      </c>
      <c r="F205" s="34" t="s">
        <v>40</v>
      </c>
      <c r="G205" s="16">
        <v>45105.175694444442</v>
      </c>
      <c r="H205" s="16">
        <v>45105.208333333336</v>
      </c>
      <c r="I205" s="34" t="s">
        <v>32</v>
      </c>
      <c r="J205" s="34" t="s">
        <v>101</v>
      </c>
      <c r="K205" s="34"/>
      <c r="L205" s="38"/>
    </row>
    <row r="206" spans="1:12">
      <c r="A206" s="19" t="s">
        <v>20</v>
      </c>
      <c r="B206" s="30" t="s">
        <v>726</v>
      </c>
      <c r="C206" s="30" t="s">
        <v>21</v>
      </c>
      <c r="D206" s="30" t="s">
        <v>727</v>
      </c>
      <c r="E206" s="30" t="s">
        <v>728</v>
      </c>
      <c r="F206" s="30" t="s">
        <v>40</v>
      </c>
      <c r="G206" s="22">
        <v>45105.200694444444</v>
      </c>
      <c r="H206" s="22">
        <v>45105.229166666664</v>
      </c>
      <c r="I206" s="30" t="s">
        <v>629</v>
      </c>
      <c r="J206" s="30" t="s">
        <v>101</v>
      </c>
      <c r="K206" s="30"/>
      <c r="L206" s="39"/>
    </row>
    <row r="207" spans="1:12">
      <c r="A207" s="1" t="s">
        <v>106</v>
      </c>
      <c r="B207" s="34" t="s">
        <v>729</v>
      </c>
      <c r="C207" s="34" t="s">
        <v>108</v>
      </c>
      <c r="D207" s="34" t="s">
        <v>730</v>
      </c>
      <c r="E207" s="34" t="s">
        <v>731</v>
      </c>
      <c r="F207" s="34" t="s">
        <v>40</v>
      </c>
      <c r="G207" s="16">
        <v>45105.377083333333</v>
      </c>
      <c r="H207" s="16">
        <v>45105.39166666667</v>
      </c>
      <c r="I207" s="34" t="s">
        <v>616</v>
      </c>
      <c r="J207" s="34" t="s">
        <v>72</v>
      </c>
      <c r="K207" s="34"/>
      <c r="L207" s="38"/>
    </row>
    <row r="208" spans="1:12">
      <c r="A208" s="19" t="s">
        <v>20</v>
      </c>
      <c r="B208" s="30" t="s">
        <v>732</v>
      </c>
      <c r="C208" s="30" t="s">
        <v>49</v>
      </c>
      <c r="D208" s="30" t="s">
        <v>733</v>
      </c>
      <c r="E208" s="30" t="s">
        <v>734</v>
      </c>
      <c r="F208" s="30" t="s">
        <v>40</v>
      </c>
      <c r="G208" s="22">
        <v>45105.429861111108</v>
      </c>
      <c r="H208" s="22">
        <v>45105.445833333331</v>
      </c>
      <c r="I208" s="30" t="s">
        <v>161</v>
      </c>
      <c r="J208" s="30" t="s">
        <v>72</v>
      </c>
      <c r="K208" s="30"/>
      <c r="L208" s="39"/>
    </row>
    <row r="209" spans="1:12">
      <c r="A209" s="1" t="s">
        <v>20</v>
      </c>
      <c r="B209" s="34" t="s">
        <v>735</v>
      </c>
      <c r="C209" s="34" t="s">
        <v>13</v>
      </c>
      <c r="D209" s="34" t="s">
        <v>736</v>
      </c>
      <c r="E209" s="34" t="s">
        <v>737</v>
      </c>
      <c r="F209" s="34" t="s">
        <v>40</v>
      </c>
      <c r="G209" s="16">
        <v>45105.741666666669</v>
      </c>
      <c r="H209" s="16">
        <v>45105.783333333333</v>
      </c>
      <c r="I209" s="34" t="s">
        <v>17</v>
      </c>
      <c r="J209" s="34" t="s">
        <v>72</v>
      </c>
      <c r="K209" s="34"/>
      <c r="L209" s="38"/>
    </row>
    <row r="210" spans="1:12">
      <c r="A210" s="19" t="s">
        <v>20</v>
      </c>
      <c r="B210" s="30" t="s">
        <v>738</v>
      </c>
      <c r="C210" s="30" t="s">
        <v>13</v>
      </c>
      <c r="D210" s="30" t="s">
        <v>739</v>
      </c>
      <c r="E210" s="30" t="s">
        <v>737</v>
      </c>
      <c r="F210" s="30" t="s">
        <v>40</v>
      </c>
      <c r="G210" s="22">
        <v>45105.772222222222</v>
      </c>
      <c r="H210" s="22">
        <v>45105.814583333333</v>
      </c>
      <c r="I210" s="30" t="s">
        <v>17</v>
      </c>
      <c r="J210" s="30" t="s">
        <v>72</v>
      </c>
      <c r="K210" s="30"/>
      <c r="L210" s="39"/>
    </row>
    <row r="211" spans="1:12">
      <c r="A211" s="1" t="s">
        <v>95</v>
      </c>
      <c r="B211" s="34" t="s">
        <v>740</v>
      </c>
      <c r="C211" s="34" t="s">
        <v>97</v>
      </c>
      <c r="D211" s="34" t="s">
        <v>741</v>
      </c>
      <c r="E211" s="34" t="s">
        <v>742</v>
      </c>
      <c r="F211" s="34" t="s">
        <v>40</v>
      </c>
      <c r="G211" s="16">
        <v>45105.753472222219</v>
      </c>
      <c r="H211" s="16">
        <v>45105.795138888891</v>
      </c>
      <c r="I211" s="34" t="s">
        <v>743</v>
      </c>
      <c r="J211" s="34" t="s">
        <v>72</v>
      </c>
      <c r="K211" s="34"/>
      <c r="L211" s="38"/>
    </row>
    <row r="212" spans="1:12">
      <c r="A212" s="19" t="s">
        <v>20</v>
      </c>
      <c r="B212" s="30" t="s">
        <v>744</v>
      </c>
      <c r="C212" s="30" t="s">
        <v>21</v>
      </c>
      <c r="D212" s="30" t="s">
        <v>745</v>
      </c>
      <c r="E212" s="30" t="s">
        <v>746</v>
      </c>
      <c r="F212" s="30" t="s">
        <v>40</v>
      </c>
      <c r="G212" s="22">
        <v>45105.850694444445</v>
      </c>
      <c r="H212" s="22">
        <v>45106.095833333333</v>
      </c>
      <c r="I212" s="30" t="s">
        <v>747</v>
      </c>
      <c r="J212" s="30"/>
      <c r="K212" s="30"/>
      <c r="L212" s="39"/>
    </row>
    <row r="213" spans="1:12">
      <c r="A213" s="1" t="s">
        <v>95</v>
      </c>
      <c r="B213" s="34" t="s">
        <v>748</v>
      </c>
      <c r="C213" s="34" t="s">
        <v>749</v>
      </c>
      <c r="D213" s="34" t="s">
        <v>750</v>
      </c>
      <c r="E213" s="34" t="s">
        <v>751</v>
      </c>
      <c r="F213" s="34" t="s">
        <v>308</v>
      </c>
      <c r="G213" s="16">
        <v>45105.865277777775</v>
      </c>
      <c r="H213" s="16">
        <v>45107.224305555559</v>
      </c>
      <c r="I213" s="34" t="s">
        <v>325</v>
      </c>
      <c r="J213" s="34"/>
      <c r="K213" s="34"/>
      <c r="L213" s="38"/>
    </row>
    <row r="214" spans="1:12">
      <c r="A214" s="19" t="s">
        <v>20</v>
      </c>
      <c r="B214" s="30" t="s">
        <v>752</v>
      </c>
      <c r="C214" s="30" t="s">
        <v>21</v>
      </c>
      <c r="D214" s="30" t="s">
        <v>753</v>
      </c>
      <c r="E214" s="30" t="s">
        <v>754</v>
      </c>
      <c r="F214" s="30" t="s">
        <v>40</v>
      </c>
      <c r="G214" s="22">
        <v>45106.021527777775</v>
      </c>
      <c r="H214" s="22">
        <v>45106.058333333334</v>
      </c>
      <c r="I214" s="30" t="s">
        <v>755</v>
      </c>
      <c r="J214" s="30"/>
      <c r="K214" s="30"/>
      <c r="L214" s="39"/>
    </row>
    <row r="215" spans="1:12">
      <c r="A215" s="1" t="s">
        <v>106</v>
      </c>
      <c r="B215" s="34" t="s">
        <v>756</v>
      </c>
      <c r="C215" s="34" t="s">
        <v>37</v>
      </c>
      <c r="D215" s="34" t="s">
        <v>757</v>
      </c>
      <c r="E215" s="34" t="s">
        <v>746</v>
      </c>
      <c r="F215" s="34" t="s">
        <v>40</v>
      </c>
      <c r="G215" s="16">
        <v>45106.215277777781</v>
      </c>
      <c r="H215" s="16">
        <v>45106.333333333336</v>
      </c>
      <c r="I215" s="34" t="s">
        <v>747</v>
      </c>
      <c r="J215" s="34"/>
      <c r="K215" s="34"/>
      <c r="L215" s="38"/>
    </row>
    <row r="216" spans="1:12">
      <c r="A216" s="19" t="s">
        <v>20</v>
      </c>
      <c r="B216" s="30" t="s">
        <v>758</v>
      </c>
      <c r="C216" s="30" t="s">
        <v>21</v>
      </c>
      <c r="D216" s="30" t="s">
        <v>759</v>
      </c>
      <c r="E216" s="30"/>
      <c r="F216" s="30" t="s">
        <v>40</v>
      </c>
      <c r="G216" s="22">
        <v>45106.250694444447</v>
      </c>
      <c r="H216" s="22">
        <v>45107.225694444445</v>
      </c>
      <c r="I216" s="30" t="s">
        <v>755</v>
      </c>
      <c r="J216" s="30"/>
      <c r="K216" s="30"/>
      <c r="L216" s="39"/>
    </row>
    <row r="217" spans="1:12">
      <c r="A217" s="1" t="s">
        <v>106</v>
      </c>
      <c r="B217" s="34" t="s">
        <v>760</v>
      </c>
      <c r="C217" s="34" t="s">
        <v>108</v>
      </c>
      <c r="D217" s="34" t="s">
        <v>761</v>
      </c>
      <c r="E217" s="34" t="s">
        <v>762</v>
      </c>
      <c r="F217" s="34" t="s">
        <v>40</v>
      </c>
      <c r="G217" s="16">
        <v>45106.334027777775</v>
      </c>
      <c r="H217" s="16">
        <v>45106.361111111109</v>
      </c>
      <c r="I217" s="34" t="s">
        <v>111</v>
      </c>
      <c r="J217" s="34" t="s">
        <v>72</v>
      </c>
      <c r="K217" s="34"/>
      <c r="L217" s="38"/>
    </row>
    <row r="218" spans="1:12">
      <c r="A218" s="19" t="s">
        <v>106</v>
      </c>
      <c r="B218" s="30" t="s">
        <v>763</v>
      </c>
      <c r="C218" s="30" t="s">
        <v>313</v>
      </c>
      <c r="D218" s="30" t="s">
        <v>764</v>
      </c>
      <c r="E218" s="30" t="s">
        <v>276</v>
      </c>
      <c r="F218" s="30" t="s">
        <v>40</v>
      </c>
      <c r="G218" s="22">
        <v>45106.402777777781</v>
      </c>
      <c r="H218" s="22">
        <v>45106.420138888891</v>
      </c>
      <c r="I218" s="30" t="s">
        <v>765</v>
      </c>
      <c r="J218" s="30" t="s">
        <v>72</v>
      </c>
      <c r="K218" s="30"/>
      <c r="L218" s="39"/>
    </row>
    <row r="219" spans="1:12">
      <c r="A219" s="1" t="s">
        <v>106</v>
      </c>
      <c r="B219" s="34" t="s">
        <v>766</v>
      </c>
      <c r="C219" s="34" t="s">
        <v>333</v>
      </c>
      <c r="D219" s="34" t="s">
        <v>767</v>
      </c>
      <c r="E219" s="34" t="s">
        <v>768</v>
      </c>
      <c r="F219" s="34" t="s">
        <v>40</v>
      </c>
      <c r="G219" s="16">
        <v>45106.500694444447</v>
      </c>
      <c r="H219" s="16">
        <v>45106.722916666666</v>
      </c>
      <c r="I219" s="34" t="s">
        <v>346</v>
      </c>
      <c r="J219" s="34" t="s">
        <v>72</v>
      </c>
      <c r="K219" s="34"/>
      <c r="L219" s="38"/>
    </row>
    <row r="220" spans="1:12">
      <c r="A220" s="19" t="s">
        <v>95</v>
      </c>
      <c r="B220" s="30" t="s">
        <v>769</v>
      </c>
      <c r="C220" s="30" t="s">
        <v>97</v>
      </c>
      <c r="D220" s="30" t="s">
        <v>770</v>
      </c>
      <c r="E220" s="30" t="s">
        <v>771</v>
      </c>
      <c r="F220" s="30" t="s">
        <v>40</v>
      </c>
      <c r="G220" s="22">
        <v>45106.459027777775</v>
      </c>
      <c r="H220" s="22">
        <v>45106.486805555556</v>
      </c>
      <c r="I220" s="30" t="s">
        <v>32</v>
      </c>
      <c r="J220" s="30" t="s">
        <v>72</v>
      </c>
      <c r="K220" s="30"/>
      <c r="L220" s="39"/>
    </row>
    <row r="221" spans="1:12">
      <c r="A221" s="1" t="s">
        <v>95</v>
      </c>
      <c r="B221" s="34" t="s">
        <v>772</v>
      </c>
      <c r="C221" s="34" t="s">
        <v>97</v>
      </c>
      <c r="D221" s="34" t="s">
        <v>773</v>
      </c>
      <c r="E221" s="34" t="s">
        <v>774</v>
      </c>
      <c r="F221" s="34" t="s">
        <v>40</v>
      </c>
      <c r="G221" s="16">
        <v>45106.522222222222</v>
      </c>
      <c r="H221" s="16">
        <v>45106.730555555558</v>
      </c>
      <c r="I221" s="34" t="s">
        <v>743</v>
      </c>
      <c r="J221" s="34" t="s">
        <v>72</v>
      </c>
      <c r="K221" s="34"/>
      <c r="L221" s="38"/>
    </row>
    <row r="222" spans="1:12">
      <c r="A222" s="19" t="s">
        <v>95</v>
      </c>
      <c r="B222" s="30" t="s">
        <v>775</v>
      </c>
      <c r="C222" s="30" t="s">
        <v>97</v>
      </c>
      <c r="D222" s="30" t="s">
        <v>776</v>
      </c>
      <c r="E222" s="30" t="s">
        <v>777</v>
      </c>
      <c r="F222" s="30" t="s">
        <v>40</v>
      </c>
      <c r="G222" s="22">
        <v>45106.527777777781</v>
      </c>
      <c r="H222" s="22">
        <v>45106.546527777777</v>
      </c>
      <c r="I222" s="30" t="s">
        <v>778</v>
      </c>
      <c r="J222" s="30" t="s">
        <v>72</v>
      </c>
      <c r="K222" s="30"/>
      <c r="L222" s="39"/>
    </row>
    <row r="223" spans="1:12">
      <c r="A223" s="1" t="s">
        <v>95</v>
      </c>
      <c r="B223" s="34" t="s">
        <v>779</v>
      </c>
      <c r="C223" s="34" t="s">
        <v>97</v>
      </c>
      <c r="D223" s="34" t="s">
        <v>780</v>
      </c>
      <c r="E223" s="34" t="s">
        <v>781</v>
      </c>
      <c r="F223" s="34" t="s">
        <v>40</v>
      </c>
      <c r="G223" s="16">
        <v>45106.555555555555</v>
      </c>
      <c r="H223" s="16">
        <v>45106.579861111109</v>
      </c>
      <c r="I223" s="34" t="s">
        <v>32</v>
      </c>
      <c r="J223" s="34" t="s">
        <v>72</v>
      </c>
      <c r="K223" s="34"/>
      <c r="L223" s="38"/>
    </row>
    <row r="224" spans="1:12">
      <c r="A224" s="19" t="s">
        <v>20</v>
      </c>
      <c r="B224" s="30" t="s">
        <v>782</v>
      </c>
      <c r="C224" s="30" t="s">
        <v>13</v>
      </c>
      <c r="D224" s="30" t="s">
        <v>783</v>
      </c>
      <c r="E224" s="30" t="s">
        <v>784</v>
      </c>
      <c r="F224" s="30" t="s">
        <v>40</v>
      </c>
      <c r="G224" s="22">
        <v>45106.666666666664</v>
      </c>
      <c r="H224" s="22">
        <v>45106.694444444445</v>
      </c>
      <c r="I224" s="30" t="s">
        <v>74</v>
      </c>
      <c r="J224" s="30" t="s">
        <v>72</v>
      </c>
      <c r="K224" s="30"/>
      <c r="L224" s="39"/>
    </row>
    <row r="225" spans="1:12">
      <c r="A225" s="1" t="s">
        <v>106</v>
      </c>
      <c r="B225" s="34" t="s">
        <v>785</v>
      </c>
      <c r="C225" s="34" t="s">
        <v>786</v>
      </c>
      <c r="D225" s="34" t="s">
        <v>787</v>
      </c>
      <c r="E225" s="34" t="s">
        <v>788</v>
      </c>
      <c r="F225" s="34" t="s">
        <v>40</v>
      </c>
      <c r="G225" s="16">
        <v>45106.847916666666</v>
      </c>
      <c r="H225" s="16">
        <v>45106.865972222222</v>
      </c>
      <c r="I225" s="34" t="s">
        <v>789</v>
      </c>
      <c r="J225" s="34"/>
      <c r="K225" s="34"/>
      <c r="L225" s="38"/>
    </row>
    <row r="226" spans="1:12">
      <c r="A226" s="19" t="s">
        <v>106</v>
      </c>
      <c r="B226" s="30" t="s">
        <v>790</v>
      </c>
      <c r="C226" s="30" t="s">
        <v>108</v>
      </c>
      <c r="D226" s="30" t="s">
        <v>791</v>
      </c>
      <c r="E226" s="30" t="s">
        <v>276</v>
      </c>
      <c r="F226" s="30" t="s">
        <v>40</v>
      </c>
      <c r="G226" s="22">
        <v>45106.976388888892</v>
      </c>
      <c r="H226" s="22">
        <v>45107.215277777781</v>
      </c>
      <c r="I226" s="30" t="s">
        <v>111</v>
      </c>
      <c r="J226" s="30"/>
      <c r="K226" s="30"/>
      <c r="L226" s="39"/>
    </row>
    <row r="227" spans="1:12">
      <c r="A227" s="1" t="s">
        <v>20</v>
      </c>
      <c r="B227" s="34" t="s">
        <v>792</v>
      </c>
      <c r="C227" s="34" t="s">
        <v>21</v>
      </c>
      <c r="D227" s="34" t="s">
        <v>793</v>
      </c>
      <c r="E227" s="34" t="s">
        <v>794</v>
      </c>
      <c r="F227" s="34" t="s">
        <v>40</v>
      </c>
      <c r="G227" s="16">
        <v>45107.02847222222</v>
      </c>
      <c r="H227" s="16">
        <v>45107.077777777777</v>
      </c>
      <c r="I227" s="34" t="s">
        <v>755</v>
      </c>
      <c r="J227" s="34"/>
      <c r="K227" s="34"/>
      <c r="L227" s="38"/>
    </row>
    <row r="228" spans="1:12">
      <c r="A228" s="19" t="s">
        <v>20</v>
      </c>
      <c r="B228" s="30" t="s">
        <v>795</v>
      </c>
      <c r="C228" s="30" t="s">
        <v>13</v>
      </c>
      <c r="D228" s="30" t="s">
        <v>796</v>
      </c>
      <c r="E228" s="30"/>
      <c r="F228" s="30" t="s">
        <v>40</v>
      </c>
      <c r="G228" s="22">
        <v>45107.080555555556</v>
      </c>
      <c r="H228" s="22">
        <v>45107.156944444447</v>
      </c>
      <c r="I228" s="30" t="s">
        <v>797</v>
      </c>
      <c r="J228" s="30"/>
      <c r="K228" s="30"/>
      <c r="L228" s="39"/>
    </row>
    <row r="229" spans="1:12">
      <c r="A229" s="1" t="s">
        <v>20</v>
      </c>
      <c r="B229" s="34" t="s">
        <v>798</v>
      </c>
      <c r="C229" s="34" t="s">
        <v>21</v>
      </c>
      <c r="D229" s="34" t="s">
        <v>799</v>
      </c>
      <c r="E229" s="34"/>
      <c r="F229" s="34" t="s">
        <v>40</v>
      </c>
      <c r="G229" s="16">
        <v>45107.234027777777</v>
      </c>
      <c r="H229" s="16">
        <v>45107.241666666669</v>
      </c>
      <c r="I229" s="34" t="s">
        <v>747</v>
      </c>
      <c r="J229" s="34"/>
      <c r="K229" s="34"/>
      <c r="L229" s="38"/>
    </row>
    <row r="230" spans="1:12">
      <c r="A230" s="19" t="s">
        <v>20</v>
      </c>
      <c r="B230" s="30" t="s">
        <v>800</v>
      </c>
      <c r="C230" s="30" t="s">
        <v>21</v>
      </c>
      <c r="D230" s="30" t="s">
        <v>801</v>
      </c>
      <c r="E230" s="30"/>
      <c r="F230" s="30" t="s">
        <v>40</v>
      </c>
      <c r="G230" s="22">
        <v>45107.245833333334</v>
      </c>
      <c r="H230" s="22">
        <v>45107.318749999999</v>
      </c>
      <c r="I230" s="30" t="s">
        <v>755</v>
      </c>
      <c r="J230" s="30"/>
      <c r="K230" s="30"/>
      <c r="L230" s="39"/>
    </row>
    <row r="231" spans="1:12">
      <c r="A231" s="1" t="s">
        <v>95</v>
      </c>
      <c r="B231" s="34" t="s">
        <v>802</v>
      </c>
      <c r="C231" s="34" t="s">
        <v>97</v>
      </c>
      <c r="D231" s="34" t="s">
        <v>803</v>
      </c>
      <c r="E231" s="34" t="s">
        <v>781</v>
      </c>
      <c r="F231" s="34" t="s">
        <v>40</v>
      </c>
      <c r="G231" s="16">
        <v>45107.418055555558</v>
      </c>
      <c r="H231" s="16">
        <v>45107.44027777778</v>
      </c>
      <c r="I231" s="34" t="s">
        <v>32</v>
      </c>
      <c r="J231" s="34" t="s">
        <v>72</v>
      </c>
      <c r="K231" s="34"/>
      <c r="L231" s="38"/>
    </row>
    <row r="232" spans="1:12">
      <c r="A232" s="19" t="s">
        <v>106</v>
      </c>
      <c r="B232" s="30" t="s">
        <v>804</v>
      </c>
      <c r="C232" s="30" t="s">
        <v>313</v>
      </c>
      <c r="D232" s="30" t="s">
        <v>805</v>
      </c>
      <c r="E232" s="30" t="s">
        <v>806</v>
      </c>
      <c r="F232" s="30" t="s">
        <v>40</v>
      </c>
      <c r="G232" s="22">
        <v>45107.489583333336</v>
      </c>
      <c r="H232" s="22">
        <v>45107.521527777775</v>
      </c>
      <c r="I232" s="30" t="s">
        <v>32</v>
      </c>
      <c r="J232" s="30" t="s">
        <v>72</v>
      </c>
      <c r="K232" s="30"/>
      <c r="L232" s="39"/>
    </row>
    <row r="233" spans="1:12">
      <c r="A233" s="1" t="s">
        <v>20</v>
      </c>
      <c r="B233" s="34" t="s">
        <v>807</v>
      </c>
      <c r="C233" s="34" t="s">
        <v>13</v>
      </c>
      <c r="D233" s="34" t="s">
        <v>808</v>
      </c>
      <c r="E233" s="34" t="s">
        <v>809</v>
      </c>
      <c r="F233" s="34" t="s">
        <v>40</v>
      </c>
      <c r="G233" s="16">
        <v>45107.487500000003</v>
      </c>
      <c r="H233" s="16">
        <v>45107.564583333333</v>
      </c>
      <c r="I233" s="34" t="s">
        <v>17</v>
      </c>
      <c r="J233" s="34" t="s">
        <v>72</v>
      </c>
      <c r="K233" s="34"/>
      <c r="L233" s="38"/>
    </row>
    <row r="234" spans="1:12">
      <c r="A234" s="19" t="s">
        <v>106</v>
      </c>
      <c r="B234" s="30" t="s">
        <v>810</v>
      </c>
      <c r="C234" s="30" t="s">
        <v>108</v>
      </c>
      <c r="D234" s="30" t="s">
        <v>488</v>
      </c>
      <c r="E234" s="30" t="s">
        <v>811</v>
      </c>
      <c r="F234" s="30" t="s">
        <v>40</v>
      </c>
      <c r="G234" s="22">
        <v>45107.663888888892</v>
      </c>
      <c r="H234" s="22">
        <v>45107.684027777781</v>
      </c>
      <c r="I234" s="30" t="s">
        <v>32</v>
      </c>
      <c r="J234" s="30" t="s">
        <v>72</v>
      </c>
      <c r="K234" s="30"/>
      <c r="L234" s="39"/>
    </row>
    <row r="235" spans="1:12">
      <c r="A235" s="1" t="s">
        <v>20</v>
      </c>
      <c r="B235" s="34" t="s">
        <v>812</v>
      </c>
      <c r="C235" s="34" t="s">
        <v>13</v>
      </c>
      <c r="D235" s="34" t="s">
        <v>813</v>
      </c>
      <c r="E235" s="34" t="s">
        <v>814</v>
      </c>
      <c r="F235" s="34" t="s">
        <v>40</v>
      </c>
      <c r="G235" s="16">
        <v>45107.709722222222</v>
      </c>
      <c r="H235" s="16">
        <v>45107.716666666667</v>
      </c>
      <c r="I235" s="34" t="s">
        <v>815</v>
      </c>
      <c r="J235" s="34" t="s">
        <v>72</v>
      </c>
      <c r="K235" s="34"/>
      <c r="L235" s="38"/>
    </row>
    <row r="236" spans="1:12">
      <c r="A236" s="19" t="s">
        <v>106</v>
      </c>
      <c r="B236" s="30" t="s">
        <v>816</v>
      </c>
      <c r="C236" s="30" t="s">
        <v>333</v>
      </c>
      <c r="D236" s="30" t="s">
        <v>817</v>
      </c>
      <c r="E236" s="30" t="s">
        <v>818</v>
      </c>
      <c r="F236" s="30" t="s">
        <v>40</v>
      </c>
      <c r="G236" s="22">
        <v>45107.734027777777</v>
      </c>
      <c r="H236" s="22">
        <v>45107.743055555555</v>
      </c>
      <c r="I236" s="30" t="s">
        <v>32</v>
      </c>
      <c r="J236" s="30" t="s">
        <v>72</v>
      </c>
      <c r="K236" s="30"/>
      <c r="L236" s="39"/>
    </row>
    <row r="237" spans="1:12">
      <c r="A237" s="1" t="s">
        <v>95</v>
      </c>
      <c r="B237" s="34" t="s">
        <v>819</v>
      </c>
      <c r="C237" s="34" t="s">
        <v>749</v>
      </c>
      <c r="D237" s="34" t="s">
        <v>820</v>
      </c>
      <c r="E237" s="34" t="s">
        <v>821</v>
      </c>
      <c r="F237" s="34" t="s">
        <v>40</v>
      </c>
      <c r="G237" s="16">
        <v>45107.881944444445</v>
      </c>
      <c r="H237" s="16">
        <v>45107.886111111111</v>
      </c>
      <c r="I237" s="34" t="s">
        <v>325</v>
      </c>
      <c r="J237" s="34"/>
      <c r="K237" s="34"/>
      <c r="L237" s="38"/>
    </row>
    <row r="238" spans="1:12">
      <c r="A238" s="19" t="s">
        <v>20</v>
      </c>
      <c r="B238" s="30" t="s">
        <v>822</v>
      </c>
      <c r="C238" s="30" t="s">
        <v>13</v>
      </c>
      <c r="D238" s="30" t="s">
        <v>823</v>
      </c>
      <c r="E238" s="30" t="s">
        <v>824</v>
      </c>
      <c r="F238" s="30" t="s">
        <v>40</v>
      </c>
      <c r="G238" s="22">
        <v>45107.9</v>
      </c>
      <c r="H238" s="22">
        <v>45108.272916666669</v>
      </c>
      <c r="I238" s="30" t="s">
        <v>825</v>
      </c>
      <c r="J238" s="30"/>
      <c r="K238" s="30"/>
      <c r="L238" s="39"/>
    </row>
    <row r="239" spans="1:12">
      <c r="A239" s="1" t="s">
        <v>20</v>
      </c>
      <c r="B239" s="34" t="s">
        <v>826</v>
      </c>
      <c r="C239" s="34" t="s">
        <v>21</v>
      </c>
      <c r="D239" s="34" t="s">
        <v>827</v>
      </c>
      <c r="E239" s="34" t="s">
        <v>828</v>
      </c>
      <c r="F239" s="34" t="s">
        <v>40</v>
      </c>
      <c r="G239" s="16">
        <v>45107.922222222223</v>
      </c>
      <c r="H239" s="16">
        <v>45108.005555555559</v>
      </c>
      <c r="I239" s="34" t="s">
        <v>755</v>
      </c>
      <c r="J239" s="34"/>
      <c r="K239" s="34"/>
      <c r="L239" s="38"/>
    </row>
    <row r="240" spans="1:12">
      <c r="A240" s="19" t="s">
        <v>106</v>
      </c>
      <c r="B240" s="30" t="s">
        <v>829</v>
      </c>
      <c r="C240" s="30" t="s">
        <v>108</v>
      </c>
      <c r="D240" s="30" t="s">
        <v>830</v>
      </c>
      <c r="E240" s="30" t="s">
        <v>831</v>
      </c>
      <c r="F240" s="30" t="s">
        <v>40</v>
      </c>
      <c r="G240" s="22">
        <v>45108.015277777777</v>
      </c>
      <c r="H240" s="22">
        <v>45108.165972222225</v>
      </c>
      <c r="I240" s="30" t="s">
        <v>111</v>
      </c>
      <c r="J240" s="30"/>
      <c r="K240" s="30"/>
      <c r="L240" s="39"/>
    </row>
    <row r="241" spans="1:12">
      <c r="A241" s="1" t="s">
        <v>20</v>
      </c>
      <c r="B241" s="34" t="s">
        <v>832</v>
      </c>
      <c r="C241" s="34" t="s">
        <v>21</v>
      </c>
      <c r="D241" s="34" t="s">
        <v>833</v>
      </c>
      <c r="E241" s="34" t="s">
        <v>834</v>
      </c>
      <c r="F241" s="34" t="s">
        <v>40</v>
      </c>
      <c r="G241" s="16">
        <v>45108.114583333336</v>
      </c>
      <c r="H241" s="16">
        <v>45108.269444444442</v>
      </c>
      <c r="I241" s="34" t="s">
        <v>755</v>
      </c>
      <c r="J241" s="34"/>
      <c r="K241" s="34"/>
      <c r="L241" s="38"/>
    </row>
    <row r="242" spans="1:12">
      <c r="A242" s="19" t="s">
        <v>106</v>
      </c>
      <c r="B242" s="30" t="s">
        <v>835</v>
      </c>
      <c r="C242" s="30" t="s">
        <v>78</v>
      </c>
      <c r="D242" s="30" t="s">
        <v>836</v>
      </c>
      <c r="E242" s="30" t="s">
        <v>837</v>
      </c>
      <c r="F242" s="30" t="s">
        <v>40</v>
      </c>
      <c r="G242" s="22">
        <v>45108.130555555559</v>
      </c>
      <c r="H242" s="22">
        <v>45108.26666666667</v>
      </c>
      <c r="I242" s="30" t="s">
        <v>838</v>
      </c>
      <c r="J242" s="30"/>
      <c r="K242" s="30"/>
      <c r="L242" s="39"/>
    </row>
    <row r="243" spans="1:12">
      <c r="A243" s="1" t="s">
        <v>20</v>
      </c>
      <c r="B243" s="34" t="s">
        <v>839</v>
      </c>
      <c r="C243" s="34" t="s">
        <v>21</v>
      </c>
      <c r="D243" s="34" t="s">
        <v>840</v>
      </c>
      <c r="E243" s="34" t="s">
        <v>841</v>
      </c>
      <c r="F243" s="34" t="s">
        <v>40</v>
      </c>
      <c r="G243" s="16">
        <v>45108.248611111114</v>
      </c>
      <c r="H243" s="16">
        <v>45108.261111111111</v>
      </c>
      <c r="I243" s="34" t="s">
        <v>755</v>
      </c>
      <c r="J243" s="34"/>
      <c r="K243" s="34"/>
      <c r="L243" s="38"/>
    </row>
    <row r="244" spans="1:12">
      <c r="A244" s="19" t="s">
        <v>20</v>
      </c>
      <c r="B244" s="30" t="s">
        <v>842</v>
      </c>
      <c r="C244" s="30" t="s">
        <v>13</v>
      </c>
      <c r="D244" s="30" t="s">
        <v>843</v>
      </c>
      <c r="E244" s="30" t="s">
        <v>276</v>
      </c>
      <c r="F244" s="30" t="s">
        <v>40</v>
      </c>
      <c r="G244" s="22">
        <v>45108.807638888888</v>
      </c>
      <c r="H244" s="22">
        <v>45108.842361111114</v>
      </c>
      <c r="I244" s="30" t="s">
        <v>815</v>
      </c>
      <c r="J244" s="30" t="s">
        <v>72</v>
      </c>
      <c r="K244" s="30"/>
      <c r="L244" s="39"/>
    </row>
    <row r="245" spans="1:12">
      <c r="A245" s="1" t="s">
        <v>20</v>
      </c>
      <c r="B245" s="34" t="s">
        <v>844</v>
      </c>
      <c r="C245" s="34" t="s">
        <v>21</v>
      </c>
      <c r="D245" s="34" t="s">
        <v>845</v>
      </c>
      <c r="E245" s="34" t="s">
        <v>846</v>
      </c>
      <c r="F245" s="34" t="s">
        <v>40</v>
      </c>
      <c r="G245" s="16">
        <v>45108.863194444442</v>
      </c>
      <c r="H245" s="16" t="s">
        <v>847</v>
      </c>
      <c r="I245" s="34" t="s">
        <v>848</v>
      </c>
      <c r="J245" s="34"/>
      <c r="K245" s="34"/>
      <c r="L245" s="38"/>
    </row>
    <row r="246" spans="1:12">
      <c r="A246" s="19" t="s">
        <v>20</v>
      </c>
      <c r="B246" s="30" t="s">
        <v>849</v>
      </c>
      <c r="C246" s="30" t="s">
        <v>21</v>
      </c>
      <c r="D246" s="30" t="s">
        <v>850</v>
      </c>
      <c r="E246" s="30" t="s">
        <v>851</v>
      </c>
      <c r="F246" s="30" t="s">
        <v>40</v>
      </c>
      <c r="G246" s="22">
        <v>45108.884722222225</v>
      </c>
      <c r="H246" s="22">
        <v>45108.90902777778</v>
      </c>
      <c r="I246" s="30" t="s">
        <v>755</v>
      </c>
      <c r="J246" s="30"/>
      <c r="K246" s="30"/>
      <c r="L246" s="39"/>
    </row>
    <row r="247" spans="1:12">
      <c r="A247" s="1" t="s">
        <v>20</v>
      </c>
      <c r="B247" s="34" t="s">
        <v>852</v>
      </c>
      <c r="C247" s="34" t="s">
        <v>21</v>
      </c>
      <c r="D247" s="34" t="s">
        <v>853</v>
      </c>
      <c r="E247" s="34" t="s">
        <v>854</v>
      </c>
      <c r="F247" s="34" t="s">
        <v>40</v>
      </c>
      <c r="G247" s="16">
        <v>45108.925000000003</v>
      </c>
      <c r="H247" s="16">
        <v>45108.946527777778</v>
      </c>
      <c r="I247" s="34" t="s">
        <v>64</v>
      </c>
      <c r="J247" s="34"/>
      <c r="K247" s="34"/>
      <c r="L247" s="38"/>
    </row>
    <row r="248" spans="1:12">
      <c r="A248" s="19" t="s">
        <v>20</v>
      </c>
      <c r="B248" s="30" t="s">
        <v>855</v>
      </c>
      <c r="C248" s="30" t="s">
        <v>13</v>
      </c>
      <c r="D248" s="30" t="s">
        <v>856</v>
      </c>
      <c r="E248" s="30" t="s">
        <v>857</v>
      </c>
      <c r="F248" s="30" t="s">
        <v>40</v>
      </c>
      <c r="G248" s="22">
        <v>45109.115277777775</v>
      </c>
      <c r="H248" s="22">
        <v>45109.122916666667</v>
      </c>
      <c r="I248" s="30" t="s">
        <v>858</v>
      </c>
      <c r="J248" s="30"/>
      <c r="K248" s="30"/>
      <c r="L248" s="39"/>
    </row>
    <row r="249" spans="1:12">
      <c r="A249" s="1" t="s">
        <v>20</v>
      </c>
      <c r="B249" s="34" t="s">
        <v>859</v>
      </c>
      <c r="C249" s="34" t="s">
        <v>21</v>
      </c>
      <c r="D249" s="34" t="s">
        <v>860</v>
      </c>
      <c r="E249" s="34" t="s">
        <v>861</v>
      </c>
      <c r="F249" s="34" t="s">
        <v>40</v>
      </c>
      <c r="G249" s="16">
        <v>45109.228472222225</v>
      </c>
      <c r="H249" s="16">
        <v>45109.260416666664</v>
      </c>
      <c r="I249" s="34" t="s">
        <v>64</v>
      </c>
      <c r="J249" s="34"/>
      <c r="K249" s="34"/>
      <c r="L249" s="38"/>
    </row>
    <row r="250" spans="1:12">
      <c r="A250" s="19" t="s">
        <v>95</v>
      </c>
      <c r="B250" s="30" t="s">
        <v>862</v>
      </c>
      <c r="C250" s="30" t="s">
        <v>863</v>
      </c>
      <c r="D250" s="30" t="s">
        <v>864</v>
      </c>
      <c r="E250" s="30" t="s">
        <v>865</v>
      </c>
      <c r="F250" s="30" t="s">
        <v>40</v>
      </c>
      <c r="G250" s="22">
        <v>45109.290277777778</v>
      </c>
      <c r="H250" s="22">
        <v>45109.353472222225</v>
      </c>
      <c r="I250" s="30" t="s">
        <v>866</v>
      </c>
      <c r="J250" s="30"/>
      <c r="K250" s="30"/>
      <c r="L250" s="39"/>
    </row>
    <row r="251" spans="1:12">
      <c r="A251" s="1" t="s">
        <v>20</v>
      </c>
      <c r="B251" s="34" t="s">
        <v>867</v>
      </c>
      <c r="C251" s="34" t="s">
        <v>21</v>
      </c>
      <c r="D251" s="34" t="s">
        <v>868</v>
      </c>
      <c r="E251" s="34" t="s">
        <v>869</v>
      </c>
      <c r="F251" s="34" t="s">
        <v>40</v>
      </c>
      <c r="G251" s="16">
        <v>45109.313194444447</v>
      </c>
      <c r="H251" s="16">
        <v>45109.39166666667</v>
      </c>
      <c r="I251" s="34" t="s">
        <v>64</v>
      </c>
      <c r="J251" s="34"/>
      <c r="K251" s="34"/>
      <c r="L251" s="38"/>
    </row>
    <row r="252" spans="1:12">
      <c r="A252" s="19" t="s">
        <v>106</v>
      </c>
      <c r="B252" s="30" t="s">
        <v>870</v>
      </c>
      <c r="C252" s="30" t="s">
        <v>108</v>
      </c>
      <c r="D252" s="30" t="s">
        <v>871</v>
      </c>
      <c r="E252" s="30" t="s">
        <v>276</v>
      </c>
      <c r="F252" s="30" t="s">
        <v>40</v>
      </c>
      <c r="G252" s="22">
        <v>45109.521527777775</v>
      </c>
      <c r="H252" s="22">
        <v>45109.604861111111</v>
      </c>
      <c r="I252" s="30" t="s">
        <v>111</v>
      </c>
      <c r="J252" s="30" t="s">
        <v>72</v>
      </c>
      <c r="K252" s="30"/>
      <c r="L252" s="39"/>
    </row>
    <row r="253" spans="1:12">
      <c r="A253" s="1" t="s">
        <v>95</v>
      </c>
      <c r="B253" s="34" t="s">
        <v>872</v>
      </c>
      <c r="C253" s="34" t="s">
        <v>97</v>
      </c>
      <c r="D253" s="34" t="s">
        <v>873</v>
      </c>
      <c r="E253" s="34" t="s">
        <v>874</v>
      </c>
      <c r="F253" s="34" t="s">
        <v>40</v>
      </c>
      <c r="G253" s="16">
        <v>45109.563194444447</v>
      </c>
      <c r="H253" s="16">
        <v>45109.591666666667</v>
      </c>
      <c r="I253" s="34" t="s">
        <v>743</v>
      </c>
      <c r="J253" s="34" t="s">
        <v>72</v>
      </c>
      <c r="K253" s="34"/>
      <c r="L253" s="38"/>
    </row>
    <row r="254" spans="1:12">
      <c r="A254" s="19" t="s">
        <v>20</v>
      </c>
      <c r="B254" s="30" t="s">
        <v>875</v>
      </c>
      <c r="C254" s="30" t="s">
        <v>21</v>
      </c>
      <c r="D254" s="30" t="s">
        <v>876</v>
      </c>
      <c r="E254" s="30" t="s">
        <v>877</v>
      </c>
      <c r="F254" s="30" t="s">
        <v>40</v>
      </c>
      <c r="G254" s="22">
        <v>45109.869444444441</v>
      </c>
      <c r="H254" s="22">
        <v>45109.895833333336</v>
      </c>
      <c r="I254" s="30" t="s">
        <v>848</v>
      </c>
      <c r="J254" s="30"/>
      <c r="K254" s="30"/>
      <c r="L254" s="39"/>
    </row>
    <row r="255" spans="1:12">
      <c r="A255" s="1" t="s">
        <v>20</v>
      </c>
      <c r="B255" s="34" t="s">
        <v>878</v>
      </c>
      <c r="C255" s="34" t="s">
        <v>13</v>
      </c>
      <c r="D255" s="34" t="s">
        <v>879</v>
      </c>
      <c r="E255" s="34" t="s">
        <v>880</v>
      </c>
      <c r="F255" s="34" t="s">
        <v>40</v>
      </c>
      <c r="G255" s="16">
        <v>45109.950694444444</v>
      </c>
      <c r="H255" s="16">
        <v>45109.969444444447</v>
      </c>
      <c r="I255" s="34" t="s">
        <v>858</v>
      </c>
      <c r="J255" s="34"/>
      <c r="K255" s="34"/>
      <c r="L255" s="38"/>
    </row>
    <row r="256" spans="1:12">
      <c r="A256" s="19" t="s">
        <v>20</v>
      </c>
      <c r="B256" s="30" t="s">
        <v>881</v>
      </c>
      <c r="C256" s="30" t="s">
        <v>13</v>
      </c>
      <c r="D256" s="30" t="s">
        <v>882</v>
      </c>
      <c r="E256" s="30" t="s">
        <v>883</v>
      </c>
      <c r="F256" s="30" t="s">
        <v>40</v>
      </c>
      <c r="G256" s="22">
        <v>45109.991666666669</v>
      </c>
      <c r="H256" s="22">
        <v>45110.024305555555</v>
      </c>
      <c r="I256" s="30" t="s">
        <v>858</v>
      </c>
      <c r="J256" s="30"/>
      <c r="K256" s="30"/>
      <c r="L256" s="39"/>
    </row>
    <row r="257" spans="1:12">
      <c r="A257" s="1" t="s">
        <v>20</v>
      </c>
      <c r="B257" s="34" t="s">
        <v>884</v>
      </c>
      <c r="C257" s="34" t="s">
        <v>21</v>
      </c>
      <c r="D257" s="34" t="s">
        <v>885</v>
      </c>
      <c r="E257" s="34" t="s">
        <v>886</v>
      </c>
      <c r="F257" s="34" t="s">
        <v>40</v>
      </c>
      <c r="G257" s="16">
        <v>45110.210416666669</v>
      </c>
      <c r="H257" s="16">
        <v>45110.222916666666</v>
      </c>
      <c r="I257" s="34" t="s">
        <v>64</v>
      </c>
      <c r="J257" s="34"/>
      <c r="K257" s="34"/>
      <c r="L257" s="38"/>
    </row>
    <row r="258" spans="1:12">
      <c r="A258" s="19" t="s">
        <v>20</v>
      </c>
      <c r="B258" s="30" t="s">
        <v>887</v>
      </c>
      <c r="C258" s="30" t="s">
        <v>21</v>
      </c>
      <c r="D258" s="30" t="s">
        <v>888</v>
      </c>
      <c r="E258" s="30" t="s">
        <v>889</v>
      </c>
      <c r="F258" s="30" t="s">
        <v>40</v>
      </c>
      <c r="G258" s="22">
        <v>45110.213194444441</v>
      </c>
      <c r="H258" s="22">
        <v>45110.240277777775</v>
      </c>
      <c r="I258" s="30" t="s">
        <v>64</v>
      </c>
      <c r="J258" s="30"/>
      <c r="K258" s="30"/>
      <c r="L258" s="39"/>
    </row>
    <row r="259" spans="1:12">
      <c r="A259" s="1" t="s">
        <v>106</v>
      </c>
      <c r="B259" s="34" t="s">
        <v>890</v>
      </c>
      <c r="C259" s="34" t="s">
        <v>313</v>
      </c>
      <c r="D259" s="34" t="s">
        <v>805</v>
      </c>
      <c r="E259" s="34" t="s">
        <v>806</v>
      </c>
      <c r="F259" s="34" t="s">
        <v>40</v>
      </c>
      <c r="G259" s="16">
        <v>45110.407638888886</v>
      </c>
      <c r="H259" s="16">
        <v>45110.438888888886</v>
      </c>
      <c r="I259" s="34" t="s">
        <v>32</v>
      </c>
      <c r="J259" s="34" t="s">
        <v>72</v>
      </c>
      <c r="K259" s="34"/>
      <c r="L259" s="38"/>
    </row>
    <row r="260" spans="1:12">
      <c r="A260" s="19" t="s">
        <v>20</v>
      </c>
      <c r="B260" s="30" t="s">
        <v>891</v>
      </c>
      <c r="C260" s="30" t="s">
        <v>21</v>
      </c>
      <c r="D260" s="30" t="s">
        <v>892</v>
      </c>
      <c r="E260" s="30" t="s">
        <v>893</v>
      </c>
      <c r="F260" s="30" t="s">
        <v>40</v>
      </c>
      <c r="G260" s="22">
        <v>45110.444444444445</v>
      </c>
      <c r="H260" s="22">
        <v>45110.475694444445</v>
      </c>
      <c r="I260" s="30" t="s">
        <v>32</v>
      </c>
      <c r="J260" s="30" t="s">
        <v>72</v>
      </c>
      <c r="K260" s="30"/>
      <c r="L260" s="39"/>
    </row>
    <row r="261" spans="1:12">
      <c r="A261" s="1" t="s">
        <v>106</v>
      </c>
      <c r="B261" s="34" t="s">
        <v>894</v>
      </c>
      <c r="C261" s="34" t="s">
        <v>108</v>
      </c>
      <c r="D261" s="34" t="s">
        <v>871</v>
      </c>
      <c r="E261" s="34" t="s">
        <v>276</v>
      </c>
      <c r="F261" s="34" t="s">
        <v>40</v>
      </c>
      <c r="G261" s="16">
        <v>45110.44027777778</v>
      </c>
      <c r="H261" s="16">
        <v>45110.773611111108</v>
      </c>
      <c r="I261" s="34" t="s">
        <v>111</v>
      </c>
      <c r="J261" s="34" t="s">
        <v>72</v>
      </c>
      <c r="K261" s="34"/>
      <c r="L261" s="38"/>
    </row>
    <row r="262" spans="1:12">
      <c r="A262" s="19" t="s">
        <v>106</v>
      </c>
      <c r="B262" s="30" t="s">
        <v>895</v>
      </c>
      <c r="C262" s="30" t="s">
        <v>313</v>
      </c>
      <c r="D262" s="30" t="s">
        <v>896</v>
      </c>
      <c r="E262" s="30" t="s">
        <v>897</v>
      </c>
      <c r="F262" s="30" t="s">
        <v>40</v>
      </c>
      <c r="G262" s="22">
        <v>45110.457638888889</v>
      </c>
      <c r="H262" s="22">
        <v>45110.486111111109</v>
      </c>
      <c r="I262" s="30" t="s">
        <v>765</v>
      </c>
      <c r="J262" s="30" t="s">
        <v>72</v>
      </c>
      <c r="K262" s="30"/>
      <c r="L262" s="39"/>
    </row>
    <row r="263" spans="1:12">
      <c r="A263" s="1" t="s">
        <v>95</v>
      </c>
      <c r="B263" s="34" t="s">
        <v>898</v>
      </c>
      <c r="C263" s="34" t="s">
        <v>113</v>
      </c>
      <c r="D263" s="34" t="s">
        <v>899</v>
      </c>
      <c r="E263" s="34" t="s">
        <v>900</v>
      </c>
      <c r="F263" s="34" t="s">
        <v>130</v>
      </c>
      <c r="G263" s="16">
        <v>45110.499305555553</v>
      </c>
      <c r="H263" s="16"/>
      <c r="I263" s="34" t="s">
        <v>378</v>
      </c>
      <c r="J263" s="34" t="s">
        <v>72</v>
      </c>
      <c r="K263" s="34" t="s">
        <v>101</v>
      </c>
      <c r="L263" s="38">
        <v>45111</v>
      </c>
    </row>
    <row r="264" spans="1:12">
      <c r="A264" s="19" t="s">
        <v>20</v>
      </c>
      <c r="B264" s="30" t="s">
        <v>901</v>
      </c>
      <c r="C264" s="30" t="s">
        <v>13</v>
      </c>
      <c r="D264" s="30" t="s">
        <v>902</v>
      </c>
      <c r="E264" s="30" t="s">
        <v>903</v>
      </c>
      <c r="F264" s="30" t="s">
        <v>40</v>
      </c>
      <c r="G264" s="22">
        <v>45110.479166666664</v>
      </c>
      <c r="H264" s="22">
        <v>45110.663888888892</v>
      </c>
      <c r="I264" s="30" t="s">
        <v>17</v>
      </c>
      <c r="J264" s="30" t="s">
        <v>72</v>
      </c>
      <c r="K264" s="30"/>
      <c r="L264" s="39"/>
    </row>
    <row r="265" spans="1:12">
      <c r="A265" s="1" t="s">
        <v>20</v>
      </c>
      <c r="B265" s="34" t="s">
        <v>904</v>
      </c>
      <c r="C265" s="34" t="s">
        <v>13</v>
      </c>
      <c r="D265" s="34" t="s">
        <v>905</v>
      </c>
      <c r="E265" s="34" t="s">
        <v>903</v>
      </c>
      <c r="F265" s="34" t="s">
        <v>40</v>
      </c>
      <c r="G265" s="16">
        <v>45110.552083333336</v>
      </c>
      <c r="H265" s="16">
        <v>45110.663888888892</v>
      </c>
      <c r="I265" s="34" t="s">
        <v>17</v>
      </c>
      <c r="J265" s="34" t="s">
        <v>72</v>
      </c>
      <c r="K265" s="34"/>
      <c r="L265" s="38"/>
    </row>
    <row r="266" spans="1:12">
      <c r="A266" s="19" t="s">
        <v>106</v>
      </c>
      <c r="B266" s="30" t="s">
        <v>906</v>
      </c>
      <c r="C266" s="30" t="s">
        <v>108</v>
      </c>
      <c r="D266" s="30" t="s">
        <v>907</v>
      </c>
      <c r="E266" s="30" t="s">
        <v>908</v>
      </c>
      <c r="F266" s="30" t="s">
        <v>40</v>
      </c>
      <c r="G266" s="22">
        <v>45110.390277777777</v>
      </c>
      <c r="H266" s="22">
        <v>45110.637499999997</v>
      </c>
      <c r="I266" s="30" t="s">
        <v>909</v>
      </c>
      <c r="J266" s="30" t="s">
        <v>72</v>
      </c>
      <c r="K266" s="30"/>
      <c r="L266" s="39"/>
    </row>
    <row r="267" spans="1:12">
      <c r="A267" s="1" t="s">
        <v>106</v>
      </c>
      <c r="B267" s="34" t="s">
        <v>910</v>
      </c>
      <c r="C267" s="34" t="s">
        <v>78</v>
      </c>
      <c r="D267" s="34" t="s">
        <v>911</v>
      </c>
      <c r="E267" s="34" t="s">
        <v>912</v>
      </c>
      <c r="F267" s="34" t="s">
        <v>40</v>
      </c>
      <c r="G267" s="16">
        <v>45110.629861111112</v>
      </c>
      <c r="H267" s="16">
        <v>45110.722222222219</v>
      </c>
      <c r="I267" s="34" t="s">
        <v>258</v>
      </c>
      <c r="J267" s="34" t="s">
        <v>72</v>
      </c>
      <c r="K267" s="34"/>
      <c r="L267" s="38"/>
    </row>
    <row r="268" spans="1:12">
      <c r="A268" s="19" t="s">
        <v>106</v>
      </c>
      <c r="B268" s="30" t="s">
        <v>913</v>
      </c>
      <c r="C268" s="30" t="s">
        <v>313</v>
      </c>
      <c r="D268" s="30" t="s">
        <v>914</v>
      </c>
      <c r="E268" s="30" t="s">
        <v>276</v>
      </c>
      <c r="F268" s="30" t="s">
        <v>40</v>
      </c>
      <c r="G268" s="22">
        <v>45110.686111111114</v>
      </c>
      <c r="H268" s="22">
        <v>45110.705555555556</v>
      </c>
      <c r="I268" s="30" t="s">
        <v>765</v>
      </c>
      <c r="J268" s="30" t="s">
        <v>72</v>
      </c>
      <c r="K268" s="30"/>
      <c r="L268" s="39"/>
    </row>
    <row r="269" spans="1:12">
      <c r="A269" s="1" t="s">
        <v>106</v>
      </c>
      <c r="B269" s="34" t="s">
        <v>915</v>
      </c>
      <c r="C269" s="34" t="s">
        <v>333</v>
      </c>
      <c r="D269" s="34" t="s">
        <v>916</v>
      </c>
      <c r="E269" s="34"/>
      <c r="F269" s="34" t="s">
        <v>40</v>
      </c>
      <c r="G269" s="16">
        <v>45110.727777777778</v>
      </c>
      <c r="H269" s="16">
        <v>45111.509027777778</v>
      </c>
      <c r="I269" s="34" t="s">
        <v>346</v>
      </c>
      <c r="J269" s="34" t="s">
        <v>72</v>
      </c>
      <c r="K269" s="34"/>
      <c r="L269" s="38"/>
    </row>
    <row r="270" spans="1:12">
      <c r="A270" s="19" t="s">
        <v>95</v>
      </c>
      <c r="B270" s="30" t="s">
        <v>917</v>
      </c>
      <c r="C270" s="30" t="s">
        <v>97</v>
      </c>
      <c r="D270" s="30" t="s">
        <v>918</v>
      </c>
      <c r="E270" s="30" t="s">
        <v>919</v>
      </c>
      <c r="F270" s="30" t="s">
        <v>40</v>
      </c>
      <c r="G270" s="22">
        <v>45110.811111111114</v>
      </c>
      <c r="H270" s="22">
        <v>45110.822916666664</v>
      </c>
      <c r="I270" s="30" t="s">
        <v>32</v>
      </c>
      <c r="J270" s="30" t="s">
        <v>72</v>
      </c>
      <c r="K270" s="30"/>
      <c r="L270" s="39"/>
    </row>
    <row r="271" spans="1:12">
      <c r="A271" s="1" t="s">
        <v>20</v>
      </c>
      <c r="B271" s="34" t="s">
        <v>920</v>
      </c>
      <c r="C271" s="34" t="s">
        <v>13</v>
      </c>
      <c r="D271" s="34" t="s">
        <v>921</v>
      </c>
      <c r="E271" s="34" t="s">
        <v>922</v>
      </c>
      <c r="F271" s="34" t="s">
        <v>40</v>
      </c>
      <c r="G271" s="16">
        <v>45110.852083333331</v>
      </c>
      <c r="H271" s="16">
        <v>45110.883333333331</v>
      </c>
      <c r="I271" s="34" t="s">
        <v>858</v>
      </c>
      <c r="J271" s="34"/>
      <c r="K271" s="34"/>
      <c r="L271" s="38"/>
    </row>
    <row r="272" spans="1:12">
      <c r="A272" s="19" t="s">
        <v>20</v>
      </c>
      <c r="B272" s="30" t="s">
        <v>923</v>
      </c>
      <c r="C272" s="30" t="s">
        <v>21</v>
      </c>
      <c r="D272" s="30" t="s">
        <v>924</v>
      </c>
      <c r="E272" s="30" t="s">
        <v>925</v>
      </c>
      <c r="F272" s="30" t="s">
        <v>40</v>
      </c>
      <c r="G272" s="22" t="s">
        <v>926</v>
      </c>
      <c r="H272" s="22">
        <v>45111.006944444445</v>
      </c>
      <c r="I272" s="30" t="s">
        <v>64</v>
      </c>
      <c r="J272" s="30"/>
      <c r="K272" s="30"/>
      <c r="L272" s="39"/>
    </row>
    <row r="273" spans="1:12">
      <c r="A273" s="1" t="s">
        <v>20</v>
      </c>
      <c r="B273" s="34" t="s">
        <v>927</v>
      </c>
      <c r="C273" s="34" t="s">
        <v>21</v>
      </c>
      <c r="D273" s="34" t="s">
        <v>928</v>
      </c>
      <c r="E273" s="34" t="s">
        <v>746</v>
      </c>
      <c r="F273" s="34" t="s">
        <v>40</v>
      </c>
      <c r="G273" s="16">
        <v>45111.206250000003</v>
      </c>
      <c r="H273" s="16">
        <v>45111.217361111114</v>
      </c>
      <c r="I273" s="34" t="s">
        <v>32</v>
      </c>
      <c r="J273" s="34"/>
      <c r="K273" s="34"/>
      <c r="L273" s="38"/>
    </row>
    <row r="274" spans="1:12">
      <c r="A274" s="19" t="s">
        <v>106</v>
      </c>
      <c r="B274" s="30" t="s">
        <v>929</v>
      </c>
      <c r="C274" s="30" t="s">
        <v>78</v>
      </c>
      <c r="D274" s="30" t="s">
        <v>930</v>
      </c>
      <c r="E274" s="30" t="s">
        <v>931</v>
      </c>
      <c r="F274" s="30" t="s">
        <v>40</v>
      </c>
      <c r="G274" s="22">
        <v>45111.542361111111</v>
      </c>
      <c r="H274" s="22">
        <v>45111.642361111109</v>
      </c>
      <c r="I274" s="30" t="s">
        <v>258</v>
      </c>
      <c r="J274" s="30" t="s">
        <v>72</v>
      </c>
      <c r="K274" s="30"/>
      <c r="L274" s="39"/>
    </row>
    <row r="275" spans="1:12">
      <c r="A275" s="1" t="s">
        <v>106</v>
      </c>
      <c r="B275" s="34" t="s">
        <v>932</v>
      </c>
      <c r="C275" s="34" t="s">
        <v>313</v>
      </c>
      <c r="D275" s="34" t="s">
        <v>933</v>
      </c>
      <c r="E275" s="34" t="s">
        <v>934</v>
      </c>
      <c r="F275" s="34" t="s">
        <v>40</v>
      </c>
      <c r="G275" s="16">
        <v>45111.643055555556</v>
      </c>
      <c r="H275" s="16">
        <v>45111.654166666667</v>
      </c>
      <c r="I275" s="34" t="s">
        <v>32</v>
      </c>
      <c r="J275" s="34" t="s">
        <v>72</v>
      </c>
      <c r="K275" s="34"/>
      <c r="L275" s="38"/>
    </row>
    <row r="276" spans="1:12">
      <c r="A276" s="19" t="s">
        <v>106</v>
      </c>
      <c r="B276" s="30" t="s">
        <v>935</v>
      </c>
      <c r="C276" s="30" t="s">
        <v>313</v>
      </c>
      <c r="D276" s="30" t="s">
        <v>936</v>
      </c>
      <c r="E276" s="30" t="s">
        <v>937</v>
      </c>
      <c r="F276" s="30" t="s">
        <v>40</v>
      </c>
      <c r="G276" s="22">
        <v>45111.704861111109</v>
      </c>
      <c r="H276" s="22">
        <v>45111.753472222219</v>
      </c>
      <c r="I276" s="30" t="s">
        <v>765</v>
      </c>
      <c r="J276" s="30" t="s">
        <v>72</v>
      </c>
      <c r="K276" s="30"/>
      <c r="L276" s="39"/>
    </row>
    <row r="277" spans="1:12">
      <c r="A277" s="1" t="s">
        <v>20</v>
      </c>
      <c r="B277" s="34" t="s">
        <v>938</v>
      </c>
      <c r="C277" s="34" t="s">
        <v>13</v>
      </c>
      <c r="D277" s="34" t="s">
        <v>939</v>
      </c>
      <c r="E277" s="34" t="s">
        <v>940</v>
      </c>
      <c r="F277" s="34" t="s">
        <v>40</v>
      </c>
      <c r="G277" s="16">
        <v>45111.771527777775</v>
      </c>
      <c r="H277" s="16">
        <v>45112.45</v>
      </c>
      <c r="I277" s="34" t="s">
        <v>17</v>
      </c>
      <c r="J277" s="34" t="s">
        <v>101</v>
      </c>
      <c r="K277" s="34"/>
      <c r="L277" s="38"/>
    </row>
    <row r="278" spans="1:12">
      <c r="A278" s="19" t="s">
        <v>106</v>
      </c>
      <c r="B278" s="30" t="s">
        <v>941</v>
      </c>
      <c r="C278" s="30" t="s">
        <v>333</v>
      </c>
      <c r="D278" s="30" t="s">
        <v>942</v>
      </c>
      <c r="E278" s="30"/>
      <c r="F278" s="30" t="s">
        <v>130</v>
      </c>
      <c r="G278" s="22">
        <v>45111.684027777781</v>
      </c>
      <c r="H278" s="22"/>
      <c r="I278" s="30" t="s">
        <v>346</v>
      </c>
      <c r="J278" s="30" t="s">
        <v>72</v>
      </c>
      <c r="K278" s="30" t="s">
        <v>101</v>
      </c>
      <c r="L278" s="39">
        <v>45111.756944444445</v>
      </c>
    </row>
    <row r="279" spans="1:12">
      <c r="A279" s="1" t="s">
        <v>106</v>
      </c>
      <c r="B279" s="34" t="s">
        <v>943</v>
      </c>
      <c r="C279" s="34" t="s">
        <v>108</v>
      </c>
      <c r="D279" s="34" t="s">
        <v>944</v>
      </c>
      <c r="E279" s="34" t="s">
        <v>945</v>
      </c>
      <c r="F279" s="34" t="s">
        <v>40</v>
      </c>
      <c r="G279" s="16">
        <v>45111.772916666669</v>
      </c>
      <c r="H279" s="16">
        <v>45111.793749999997</v>
      </c>
      <c r="I279" s="34" t="s">
        <v>946</v>
      </c>
      <c r="J279" s="34" t="s">
        <v>72</v>
      </c>
      <c r="K279" s="34"/>
      <c r="L279" s="38"/>
    </row>
    <row r="280" spans="1:12">
      <c r="A280" s="19" t="s">
        <v>106</v>
      </c>
      <c r="B280" s="30" t="s">
        <v>947</v>
      </c>
      <c r="C280" s="43" t="s">
        <v>313</v>
      </c>
      <c r="D280" s="43" t="s">
        <v>948</v>
      </c>
      <c r="E280" s="43" t="s">
        <v>949</v>
      </c>
      <c r="F280" s="43" t="s">
        <v>40</v>
      </c>
      <c r="G280" s="22">
        <v>45053.347222222219</v>
      </c>
      <c r="H280" s="22">
        <v>45053.375</v>
      </c>
      <c r="I280" s="44" t="s">
        <v>440</v>
      </c>
      <c r="J280" s="45" t="s">
        <v>101</v>
      </c>
      <c r="K280" s="45"/>
      <c r="L280" s="46"/>
    </row>
    <row r="281" spans="1:12">
      <c r="A281" s="1" t="s">
        <v>106</v>
      </c>
      <c r="B281" s="34" t="s">
        <v>950</v>
      </c>
      <c r="C281" s="34" t="s">
        <v>13</v>
      </c>
      <c r="D281" s="34" t="s">
        <v>951</v>
      </c>
      <c r="E281" s="34" t="s">
        <v>952</v>
      </c>
      <c r="F281" s="34" t="s">
        <v>40</v>
      </c>
      <c r="G281" s="16">
        <v>45112.347222222219</v>
      </c>
      <c r="H281" s="16">
        <v>45112.381249999999</v>
      </c>
      <c r="I281" s="34" t="s">
        <v>440</v>
      </c>
      <c r="J281" s="34" t="s">
        <v>101</v>
      </c>
      <c r="K281" s="34"/>
      <c r="L281" s="38"/>
    </row>
    <row r="282" spans="1:12">
      <c r="A282" s="19" t="s">
        <v>106</v>
      </c>
      <c r="B282" s="30" t="s">
        <v>950</v>
      </c>
      <c r="C282" s="43" t="s">
        <v>313</v>
      </c>
      <c r="D282" s="43" t="s">
        <v>951</v>
      </c>
      <c r="E282" s="43" t="s">
        <v>952</v>
      </c>
      <c r="F282" s="43" t="s">
        <v>40</v>
      </c>
      <c r="G282" s="22">
        <v>45053.368055555555</v>
      </c>
      <c r="H282" s="22">
        <v>45053.375</v>
      </c>
      <c r="I282" s="44" t="s">
        <v>440</v>
      </c>
      <c r="J282" s="45" t="s">
        <v>101</v>
      </c>
      <c r="K282" s="45"/>
      <c r="L282" s="46"/>
    </row>
    <row r="283" spans="1:12">
      <c r="A283" s="1" t="s">
        <v>20</v>
      </c>
      <c r="B283" s="34" t="s">
        <v>953</v>
      </c>
      <c r="C283" s="34" t="s">
        <v>13</v>
      </c>
      <c r="D283" s="34" t="s">
        <v>954</v>
      </c>
      <c r="E283" s="34" t="s">
        <v>955</v>
      </c>
      <c r="F283" s="34" t="s">
        <v>40</v>
      </c>
      <c r="G283" s="16">
        <v>45112.381944444445</v>
      </c>
      <c r="H283" s="16">
        <v>45112.4375</v>
      </c>
      <c r="I283" s="34" t="s">
        <v>105</v>
      </c>
      <c r="J283" s="34" t="s">
        <v>101</v>
      </c>
      <c r="K283" s="34"/>
      <c r="L283" s="38"/>
    </row>
    <row r="284" spans="1:12">
      <c r="A284" s="19" t="s">
        <v>106</v>
      </c>
      <c r="B284" s="30" t="s">
        <v>953</v>
      </c>
      <c r="C284" s="43" t="s">
        <v>13</v>
      </c>
      <c r="D284" s="43" t="s">
        <v>954</v>
      </c>
      <c r="E284" s="43" t="s">
        <v>956</v>
      </c>
      <c r="F284" s="43" t="s">
        <v>40</v>
      </c>
      <c r="G284" s="22">
        <v>45053.37777777778</v>
      </c>
      <c r="H284" s="22">
        <v>45053.50277777778</v>
      </c>
      <c r="I284" s="44" t="s">
        <v>858</v>
      </c>
      <c r="J284" s="45" t="s">
        <v>101</v>
      </c>
      <c r="K284" s="45"/>
      <c r="L284" s="46"/>
    </row>
    <row r="285" spans="1:12">
      <c r="A285" s="1" t="s">
        <v>106</v>
      </c>
      <c r="B285" s="34" t="s">
        <v>957</v>
      </c>
      <c r="C285" s="34" t="s">
        <v>108</v>
      </c>
      <c r="D285" s="34" t="s">
        <v>958</v>
      </c>
      <c r="E285" s="34" t="s">
        <v>959</v>
      </c>
      <c r="F285" s="34" t="s">
        <v>40</v>
      </c>
      <c r="G285" s="16">
        <v>45112.365277777775</v>
      </c>
      <c r="H285" s="16">
        <v>45112.408333333333</v>
      </c>
      <c r="I285" s="34" t="s">
        <v>960</v>
      </c>
      <c r="J285" s="34" t="s">
        <v>101</v>
      </c>
      <c r="K285" s="34"/>
      <c r="L285" s="38"/>
    </row>
    <row r="286" spans="1:12">
      <c r="A286" s="19" t="s">
        <v>106</v>
      </c>
      <c r="B286" s="30" t="s">
        <v>957</v>
      </c>
      <c r="C286" s="43" t="s">
        <v>108</v>
      </c>
      <c r="D286" s="43" t="s">
        <v>958</v>
      </c>
      <c r="E286" s="43" t="s">
        <v>959</v>
      </c>
      <c r="F286" s="43" t="s">
        <v>40</v>
      </c>
      <c r="G286" s="22">
        <v>45053.380555555559</v>
      </c>
      <c r="H286" s="22">
        <v>45053.413888888892</v>
      </c>
      <c r="I286" s="44" t="s">
        <v>961</v>
      </c>
      <c r="J286" s="45" t="s">
        <v>101</v>
      </c>
      <c r="K286" s="45"/>
      <c r="L286" s="46"/>
    </row>
    <row r="287" spans="1:12">
      <c r="A287" s="1" t="s">
        <v>106</v>
      </c>
      <c r="B287" s="34" t="s">
        <v>962</v>
      </c>
      <c r="C287" s="34" t="s">
        <v>333</v>
      </c>
      <c r="D287" s="34" t="s">
        <v>963</v>
      </c>
      <c r="E287" s="34"/>
      <c r="F287" s="34" t="s">
        <v>130</v>
      </c>
      <c r="G287" s="16">
        <v>45053.39166666667</v>
      </c>
      <c r="H287" s="16"/>
      <c r="I287" s="34" t="s">
        <v>346</v>
      </c>
      <c r="J287" s="34" t="s">
        <v>101</v>
      </c>
      <c r="K287" s="34" t="s">
        <v>132</v>
      </c>
      <c r="L287" s="38"/>
    </row>
    <row r="288" spans="1:12">
      <c r="A288" s="19" t="s">
        <v>106</v>
      </c>
      <c r="B288" s="30" t="s">
        <v>964</v>
      </c>
      <c r="C288" s="30" t="s">
        <v>108</v>
      </c>
      <c r="D288" s="30" t="s">
        <v>965</v>
      </c>
      <c r="E288" s="30" t="s">
        <v>966</v>
      </c>
      <c r="F288" s="30" t="s">
        <v>40</v>
      </c>
      <c r="G288" s="22">
        <v>45112.525000000001</v>
      </c>
      <c r="H288" s="22">
        <v>45112.55</v>
      </c>
      <c r="I288" s="30" t="s">
        <v>32</v>
      </c>
      <c r="J288" s="30" t="s">
        <v>101</v>
      </c>
      <c r="K288" s="30"/>
      <c r="L288" s="39"/>
    </row>
    <row r="289" spans="1:12">
      <c r="A289" s="1" t="s">
        <v>106</v>
      </c>
      <c r="B289" s="34" t="s">
        <v>964</v>
      </c>
      <c r="C289" s="34" t="s">
        <v>108</v>
      </c>
      <c r="D289" s="34" t="s">
        <v>965</v>
      </c>
      <c r="E289" s="34" t="s">
        <v>966</v>
      </c>
      <c r="F289" s="34" t="s">
        <v>40</v>
      </c>
      <c r="G289" s="16">
        <v>45053.525000000001</v>
      </c>
      <c r="H289" s="16">
        <v>45053.65625</v>
      </c>
      <c r="I289" s="34" t="s">
        <v>961</v>
      </c>
      <c r="J289" s="34" t="s">
        <v>101</v>
      </c>
      <c r="K289" s="34"/>
      <c r="L289" s="38"/>
    </row>
    <row r="290" spans="1:12">
      <c r="A290" s="19" t="s">
        <v>106</v>
      </c>
      <c r="B290" s="30" t="s">
        <v>967</v>
      </c>
      <c r="C290" s="30" t="s">
        <v>108</v>
      </c>
      <c r="D290" s="30" t="s">
        <v>968</v>
      </c>
      <c r="E290" s="30" t="s">
        <v>969</v>
      </c>
      <c r="F290" s="30" t="s">
        <v>40</v>
      </c>
      <c r="G290" s="22">
        <v>45053.779861111114</v>
      </c>
      <c r="H290" s="22">
        <v>45053.79791666667</v>
      </c>
      <c r="I290" s="30" t="s">
        <v>32</v>
      </c>
      <c r="J290" s="30" t="s">
        <v>101</v>
      </c>
      <c r="K290" s="30"/>
      <c r="L290" s="39"/>
    </row>
    <row r="291" spans="1:12">
      <c r="A291" s="1" t="s">
        <v>20</v>
      </c>
      <c r="B291" s="34" t="s">
        <v>970</v>
      </c>
      <c r="C291" s="34" t="s">
        <v>13</v>
      </c>
      <c r="D291" s="34" t="s">
        <v>971</v>
      </c>
      <c r="E291" s="34" t="s">
        <v>972</v>
      </c>
      <c r="F291" s="34" t="s">
        <v>40</v>
      </c>
      <c r="G291" s="16">
        <v>45112.736111111109</v>
      </c>
      <c r="H291" s="16">
        <v>45112.833333333336</v>
      </c>
      <c r="I291" s="34" t="s">
        <v>17</v>
      </c>
      <c r="J291" s="34" t="s">
        <v>101</v>
      </c>
      <c r="K291" s="34"/>
      <c r="L291" s="38"/>
    </row>
    <row r="292" spans="1:12">
      <c r="A292" s="19" t="s">
        <v>106</v>
      </c>
      <c r="B292" s="30" t="s">
        <v>970</v>
      </c>
      <c r="C292" s="30" t="s">
        <v>13</v>
      </c>
      <c r="D292" s="30" t="s">
        <v>971</v>
      </c>
      <c r="E292" s="30" t="s">
        <v>972</v>
      </c>
      <c r="F292" s="30" t="s">
        <v>40</v>
      </c>
      <c r="G292" s="22">
        <v>45053.833333333336</v>
      </c>
      <c r="H292" s="22">
        <v>45053.979166666664</v>
      </c>
      <c r="I292" s="30" t="s">
        <v>17</v>
      </c>
      <c r="J292" s="30" t="s">
        <v>101</v>
      </c>
      <c r="K292" s="30"/>
      <c r="L292" s="39"/>
    </row>
    <row r="293" spans="1:12">
      <c r="A293" s="1" t="s">
        <v>106</v>
      </c>
      <c r="B293" s="34" t="s">
        <v>973</v>
      </c>
      <c r="C293" s="34" t="s">
        <v>78</v>
      </c>
      <c r="D293" s="34" t="s">
        <v>974</v>
      </c>
      <c r="E293" s="34" t="s">
        <v>975</v>
      </c>
      <c r="F293" s="34" t="s">
        <v>40</v>
      </c>
      <c r="G293" s="16">
        <v>45113.34375</v>
      </c>
      <c r="H293" s="16">
        <v>45113.452777777777</v>
      </c>
      <c r="I293" s="34" t="s">
        <v>258</v>
      </c>
      <c r="J293" s="34" t="s">
        <v>101</v>
      </c>
      <c r="K293" s="34"/>
      <c r="L293" s="38"/>
    </row>
    <row r="294" spans="1:12">
      <c r="A294" s="19" t="s">
        <v>106</v>
      </c>
      <c r="B294" s="30" t="s">
        <v>973</v>
      </c>
      <c r="C294" s="30" t="s">
        <v>78</v>
      </c>
      <c r="D294" s="30" t="s">
        <v>974</v>
      </c>
      <c r="E294" s="30" t="s">
        <v>976</v>
      </c>
      <c r="F294" s="30" t="s">
        <v>40</v>
      </c>
      <c r="G294" s="22">
        <v>45084.40625</v>
      </c>
      <c r="H294" s="22">
        <v>45084.540972222225</v>
      </c>
      <c r="I294" s="30" t="s">
        <v>258</v>
      </c>
      <c r="J294" s="30" t="s">
        <v>101</v>
      </c>
      <c r="K294" s="30"/>
      <c r="L294" s="39"/>
    </row>
    <row r="295" spans="1:12">
      <c r="A295" s="1" t="s">
        <v>106</v>
      </c>
      <c r="B295" s="34" t="s">
        <v>977</v>
      </c>
      <c r="C295" s="34" t="s">
        <v>28</v>
      </c>
      <c r="D295" s="34" t="s">
        <v>978</v>
      </c>
      <c r="E295" s="34" t="s">
        <v>979</v>
      </c>
      <c r="F295" s="34" t="s">
        <v>308</v>
      </c>
      <c r="G295" s="16">
        <v>45084.495138888888</v>
      </c>
      <c r="H295" s="16"/>
      <c r="I295" s="34" t="s">
        <v>980</v>
      </c>
      <c r="J295" s="34" t="s">
        <v>101</v>
      </c>
      <c r="K295" s="34"/>
      <c r="L295" s="38"/>
    </row>
    <row r="296" spans="1:12">
      <c r="A296" s="19" t="s">
        <v>106</v>
      </c>
      <c r="B296" s="30" t="s">
        <v>981</v>
      </c>
      <c r="C296" s="30" t="s">
        <v>21</v>
      </c>
      <c r="D296" s="30" t="s">
        <v>982</v>
      </c>
      <c r="E296" s="30" t="s">
        <v>983</v>
      </c>
      <c r="F296" s="30" t="s">
        <v>40</v>
      </c>
      <c r="G296" s="22">
        <v>45084.571527777778</v>
      </c>
      <c r="H296" s="22">
        <v>45084.588194444441</v>
      </c>
      <c r="I296" s="30" t="s">
        <v>984</v>
      </c>
      <c r="J296" s="30" t="s">
        <v>101</v>
      </c>
      <c r="K296" s="30"/>
      <c r="L296" s="39"/>
    </row>
    <row r="297" spans="1:12">
      <c r="A297" s="1" t="s">
        <v>106</v>
      </c>
      <c r="B297" s="34" t="s">
        <v>985</v>
      </c>
      <c r="C297" s="34" t="s">
        <v>49</v>
      </c>
      <c r="D297" s="34" t="s">
        <v>986</v>
      </c>
      <c r="E297" s="34" t="s">
        <v>987</v>
      </c>
      <c r="F297" s="34" t="s">
        <v>40</v>
      </c>
      <c r="G297" s="16">
        <v>45084.654861111114</v>
      </c>
      <c r="H297" s="16">
        <v>45084.708333333336</v>
      </c>
      <c r="I297" s="34" t="s">
        <v>32</v>
      </c>
      <c r="J297" s="34" t="s">
        <v>101</v>
      </c>
      <c r="K297" s="34"/>
      <c r="L297" s="38"/>
    </row>
    <row r="298" spans="1:12">
      <c r="A298" s="19" t="s">
        <v>95</v>
      </c>
      <c r="B298" s="30" t="s">
        <v>988</v>
      </c>
      <c r="C298" s="30" t="s">
        <v>97</v>
      </c>
      <c r="D298" s="30" t="s">
        <v>989</v>
      </c>
      <c r="E298" s="30" t="s">
        <v>990</v>
      </c>
      <c r="F298" s="30" t="s">
        <v>40</v>
      </c>
      <c r="G298" s="22">
        <v>45084.745833333334</v>
      </c>
      <c r="H298" s="22">
        <v>45084</v>
      </c>
      <c r="I298" s="30" t="s">
        <v>991</v>
      </c>
      <c r="J298" s="30" t="s">
        <v>101</v>
      </c>
      <c r="K298" s="30"/>
      <c r="L298" s="39"/>
    </row>
    <row r="299" spans="1:12">
      <c r="A299" s="1" t="s">
        <v>106</v>
      </c>
      <c r="B299" s="34" t="s">
        <v>992</v>
      </c>
      <c r="C299" s="34" t="s">
        <v>380</v>
      </c>
      <c r="D299" s="34" t="s">
        <v>993</v>
      </c>
      <c r="E299" s="34" t="s">
        <v>994</v>
      </c>
      <c r="F299" s="34" t="s">
        <v>40</v>
      </c>
      <c r="G299" s="16">
        <v>45145.557638888888</v>
      </c>
      <c r="H299" s="16"/>
      <c r="I299" s="34" t="s">
        <v>383</v>
      </c>
      <c r="J299" s="34" t="s">
        <v>101</v>
      </c>
      <c r="K299" s="34"/>
      <c r="L299" s="38"/>
    </row>
    <row r="300" spans="1:12">
      <c r="A300" s="19" t="s">
        <v>106</v>
      </c>
      <c r="B300" s="30" t="s">
        <v>995</v>
      </c>
      <c r="C300" s="30" t="s">
        <v>380</v>
      </c>
      <c r="D300" s="30" t="s">
        <v>993</v>
      </c>
      <c r="E300" s="30" t="s">
        <v>996</v>
      </c>
      <c r="F300" s="30" t="s">
        <v>40</v>
      </c>
      <c r="G300" s="22">
        <v>45176.445833333331</v>
      </c>
      <c r="H300" s="22">
        <v>45176.473611111112</v>
      </c>
      <c r="I300" s="30" t="s">
        <v>383</v>
      </c>
      <c r="J300" s="30" t="s">
        <v>101</v>
      </c>
      <c r="K300" s="30"/>
      <c r="L300" s="39"/>
    </row>
    <row r="301" spans="1:12">
      <c r="A301" s="1" t="s">
        <v>106</v>
      </c>
      <c r="B301" s="34" t="s">
        <v>997</v>
      </c>
      <c r="C301" s="34" t="s">
        <v>108</v>
      </c>
      <c r="D301" s="34" t="s">
        <v>998</v>
      </c>
      <c r="E301" s="34" t="s">
        <v>999</v>
      </c>
      <c r="F301" s="34" t="s">
        <v>40</v>
      </c>
      <c r="G301" s="16">
        <v>45176.555555555555</v>
      </c>
      <c r="H301" s="16">
        <v>45176.652083333334</v>
      </c>
      <c r="I301" s="34" t="s">
        <v>32</v>
      </c>
      <c r="J301" s="34" t="s">
        <v>101</v>
      </c>
      <c r="K301" s="34"/>
      <c r="L301" s="38"/>
    </row>
    <row r="302" spans="1:12">
      <c r="A302" s="19" t="s">
        <v>20</v>
      </c>
      <c r="B302" s="30" t="s">
        <v>1000</v>
      </c>
      <c r="C302" s="30" t="s">
        <v>21</v>
      </c>
      <c r="D302" s="30" t="s">
        <v>1001</v>
      </c>
      <c r="E302" s="30" t="s">
        <v>1002</v>
      </c>
      <c r="F302" s="30" t="s">
        <v>40</v>
      </c>
      <c r="G302" s="22">
        <v>45176.611111111109</v>
      </c>
      <c r="H302" s="22">
        <v>45176.62222222222</v>
      </c>
      <c r="I302" s="30" t="s">
        <v>32</v>
      </c>
      <c r="J302" s="30" t="s">
        <v>101</v>
      </c>
      <c r="K302" s="30"/>
      <c r="L302" s="39"/>
    </row>
    <row r="303" spans="1:12">
      <c r="A303" s="1" t="s">
        <v>95</v>
      </c>
      <c r="B303" s="34" t="s">
        <v>1003</v>
      </c>
      <c r="C303" s="34" t="s">
        <v>97</v>
      </c>
      <c r="D303" s="34" t="s">
        <v>1004</v>
      </c>
      <c r="E303" s="34" t="s">
        <v>1005</v>
      </c>
      <c r="F303" s="34" t="s">
        <v>40</v>
      </c>
      <c r="G303" s="16">
        <v>45176.614583333336</v>
      </c>
      <c r="H303" s="16">
        <v>45176.655555555553</v>
      </c>
      <c r="I303" s="34" t="s">
        <v>991</v>
      </c>
      <c r="J303" s="34" t="s">
        <v>101</v>
      </c>
      <c r="K303" s="34"/>
      <c r="L303" s="38"/>
    </row>
    <row r="304" spans="1:12">
      <c r="A304" s="19" t="s">
        <v>106</v>
      </c>
      <c r="B304" s="30" t="s">
        <v>1006</v>
      </c>
      <c r="C304" s="30" t="s">
        <v>313</v>
      </c>
      <c r="D304" s="30" t="s">
        <v>1007</v>
      </c>
      <c r="E304" s="30" t="s">
        <v>1008</v>
      </c>
      <c r="F304" s="30" t="s">
        <v>40</v>
      </c>
      <c r="G304" s="22">
        <v>45176.673611111109</v>
      </c>
      <c r="H304" s="22">
        <v>45176.6875</v>
      </c>
      <c r="I304" s="30" t="s">
        <v>32</v>
      </c>
      <c r="J304" s="30" t="s">
        <v>101</v>
      </c>
      <c r="K304" s="30"/>
      <c r="L304" s="39"/>
    </row>
    <row r="305" spans="1:12">
      <c r="A305" s="1" t="s">
        <v>106</v>
      </c>
      <c r="B305" s="34" t="s">
        <v>1009</v>
      </c>
      <c r="C305" s="34" t="s">
        <v>333</v>
      </c>
      <c r="D305" s="34" t="s">
        <v>1010</v>
      </c>
      <c r="E305" s="34"/>
      <c r="F305" s="34" t="s">
        <v>130</v>
      </c>
      <c r="G305" s="16">
        <v>45176.459722222222</v>
      </c>
      <c r="H305" s="16"/>
      <c r="I305" s="34" t="s">
        <v>346</v>
      </c>
      <c r="J305" s="34" t="s">
        <v>101</v>
      </c>
      <c r="K305" s="34" t="s">
        <v>132</v>
      </c>
      <c r="L305" s="38"/>
    </row>
    <row r="306" spans="1:12">
      <c r="A306" s="41" t="s">
        <v>106</v>
      </c>
      <c r="B306" s="30" t="s">
        <v>1011</v>
      </c>
      <c r="C306" s="30" t="s">
        <v>78</v>
      </c>
      <c r="D306" s="30" t="s">
        <v>1012</v>
      </c>
      <c r="E306" s="30" t="s">
        <v>1013</v>
      </c>
      <c r="F306" s="30" t="s">
        <v>40</v>
      </c>
      <c r="G306" s="22">
        <v>45206.645138888889</v>
      </c>
      <c r="H306" s="22">
        <v>45206.72152777778</v>
      </c>
      <c r="I306" s="30" t="s">
        <v>258</v>
      </c>
      <c r="J306" s="30" t="s">
        <v>101</v>
      </c>
      <c r="K306" s="30"/>
      <c r="L306" s="39"/>
    </row>
    <row r="307" spans="1:12">
      <c r="A307" s="42" t="s">
        <v>106</v>
      </c>
      <c r="B307" s="34" t="s">
        <v>1014</v>
      </c>
      <c r="C307" s="34" t="s">
        <v>108</v>
      </c>
      <c r="D307" s="34" t="s">
        <v>1015</v>
      </c>
      <c r="E307" s="34" t="s">
        <v>1016</v>
      </c>
      <c r="F307" s="34" t="s">
        <v>40</v>
      </c>
      <c r="G307" s="16">
        <v>45206.685416666667</v>
      </c>
      <c r="H307" s="16">
        <v>45267.588888888888</v>
      </c>
      <c r="I307" s="34" t="s">
        <v>111</v>
      </c>
      <c r="J307" s="34" t="s">
        <v>101</v>
      </c>
      <c r="K307" s="34"/>
      <c r="L307" s="38"/>
    </row>
    <row r="308" spans="1:12">
      <c r="A308" s="19" t="s">
        <v>106</v>
      </c>
      <c r="B308" s="30" t="s">
        <v>1017</v>
      </c>
      <c r="C308" s="30" t="s">
        <v>313</v>
      </c>
      <c r="D308" s="30" t="s">
        <v>1018</v>
      </c>
      <c r="E308" s="30" t="s">
        <v>1019</v>
      </c>
      <c r="F308" s="30" t="s">
        <v>40</v>
      </c>
      <c r="G308" s="22">
        <v>45206.878472222219</v>
      </c>
      <c r="H308" s="22">
        <v>45237.564583333333</v>
      </c>
      <c r="I308" s="30" t="s">
        <v>1020</v>
      </c>
      <c r="J308" s="30" t="s">
        <v>101</v>
      </c>
      <c r="K308" s="30"/>
      <c r="L308" s="39"/>
    </row>
    <row r="309" spans="1:12">
      <c r="A309" s="42" t="s">
        <v>106</v>
      </c>
      <c r="B309" s="34" t="s">
        <v>1021</v>
      </c>
      <c r="C309" s="34" t="s">
        <v>313</v>
      </c>
      <c r="D309" s="34" t="s">
        <v>1022</v>
      </c>
      <c r="E309" s="34" t="s">
        <v>1023</v>
      </c>
      <c r="F309" s="34" t="s">
        <v>40</v>
      </c>
      <c r="G309" s="16">
        <v>45237.379166666666</v>
      </c>
      <c r="H309" s="16">
        <v>45237.465277777781</v>
      </c>
      <c r="I309" s="34" t="s">
        <v>440</v>
      </c>
      <c r="J309" s="34" t="s">
        <v>101</v>
      </c>
      <c r="K309" s="34"/>
      <c r="L309" s="38"/>
    </row>
    <row r="310" spans="1:12">
      <c r="A310" s="41" t="s">
        <v>20</v>
      </c>
      <c r="B310" s="30" t="s">
        <v>1024</v>
      </c>
      <c r="C310" s="30" t="s">
        <v>13</v>
      </c>
      <c r="D310" s="30" t="s">
        <v>1025</v>
      </c>
      <c r="E310" s="30" t="s">
        <v>1026</v>
      </c>
      <c r="F310" s="30" t="s">
        <v>40</v>
      </c>
      <c r="G310" s="22">
        <v>45237.258333333331</v>
      </c>
      <c r="H310" s="22">
        <v>45237.524305555555</v>
      </c>
      <c r="I310" s="30" t="s">
        <v>17</v>
      </c>
      <c r="J310" s="30" t="s">
        <v>101</v>
      </c>
      <c r="K310" s="30"/>
      <c r="L310" s="39"/>
    </row>
    <row r="311" spans="1:12">
      <c r="A311" s="1" t="s">
        <v>20</v>
      </c>
      <c r="B311" s="34" t="s">
        <v>1027</v>
      </c>
      <c r="C311" s="34" t="s">
        <v>13</v>
      </c>
      <c r="D311" s="34" t="s">
        <v>1028</v>
      </c>
      <c r="E311" s="34" t="s">
        <v>1029</v>
      </c>
      <c r="F311" s="34" t="s">
        <v>40</v>
      </c>
      <c r="G311" s="16" t="s">
        <v>1030</v>
      </c>
      <c r="H311" s="16" t="s">
        <v>1031</v>
      </c>
      <c r="I311" s="34" t="s">
        <v>17</v>
      </c>
      <c r="J311" s="34" t="s">
        <v>101</v>
      </c>
      <c r="K311" s="34"/>
      <c r="L311" s="38"/>
    </row>
    <row r="312" spans="1:12">
      <c r="A312" s="19" t="s">
        <v>106</v>
      </c>
      <c r="B312" s="30" t="s">
        <v>1032</v>
      </c>
      <c r="C312" s="30" t="s">
        <v>313</v>
      </c>
      <c r="D312" s="30" t="s">
        <v>1033</v>
      </c>
      <c r="E312" s="30" t="s">
        <v>1034</v>
      </c>
      <c r="F312" s="30" t="s">
        <v>40</v>
      </c>
      <c r="G312" s="22">
        <v>45237.412499999999</v>
      </c>
      <c r="H312" s="22">
        <v>45237.463888888888</v>
      </c>
      <c r="I312" s="30" t="s">
        <v>1020</v>
      </c>
      <c r="J312" s="30" t="s">
        <v>101</v>
      </c>
      <c r="K312" s="30"/>
      <c r="L312" s="39"/>
    </row>
    <row r="313" spans="1:12">
      <c r="A313" s="1" t="s">
        <v>106</v>
      </c>
      <c r="B313" s="34" t="s">
        <v>1035</v>
      </c>
      <c r="C313" s="34" t="s">
        <v>313</v>
      </c>
      <c r="D313" s="34" t="s">
        <v>1036</v>
      </c>
      <c r="E313" s="34" t="s">
        <v>1037</v>
      </c>
      <c r="F313" s="34" t="s">
        <v>40</v>
      </c>
      <c r="G313" s="16">
        <v>45237.462500000001</v>
      </c>
      <c r="H313" s="16">
        <v>45237.507638888892</v>
      </c>
      <c r="I313" s="34" t="s">
        <v>32</v>
      </c>
      <c r="J313" s="34" t="s">
        <v>101</v>
      </c>
      <c r="K313" s="34"/>
      <c r="L313" s="38"/>
    </row>
    <row r="314" spans="1:12">
      <c r="A314" s="19" t="s">
        <v>106</v>
      </c>
      <c r="B314" s="30" t="s">
        <v>1038</v>
      </c>
      <c r="C314" s="30" t="s">
        <v>108</v>
      </c>
      <c r="D314" s="30" t="s">
        <v>1039</v>
      </c>
      <c r="E314" s="30" t="s">
        <v>1040</v>
      </c>
      <c r="F314" s="30" t="s">
        <v>40</v>
      </c>
      <c r="G314" s="22">
        <v>45237.511805555558</v>
      </c>
      <c r="H314" s="22">
        <v>45237.564583333333</v>
      </c>
      <c r="I314" s="30" t="s">
        <v>1020</v>
      </c>
      <c r="J314" s="30" t="s">
        <v>101</v>
      </c>
      <c r="K314" s="30"/>
      <c r="L314" s="39"/>
    </row>
    <row r="315" spans="1:12">
      <c r="A315" s="1" t="s">
        <v>20</v>
      </c>
      <c r="B315" s="34" t="s">
        <v>1041</v>
      </c>
      <c r="C315" s="34" t="s">
        <v>21</v>
      </c>
      <c r="D315" s="34" t="s">
        <v>1042</v>
      </c>
      <c r="E315" s="34" t="s">
        <v>1043</v>
      </c>
      <c r="F315" s="34" t="s">
        <v>40</v>
      </c>
      <c r="G315" s="16">
        <v>45237.53402777778</v>
      </c>
      <c r="H315" s="16">
        <v>45237.574999999997</v>
      </c>
      <c r="I315" s="34" t="s">
        <v>32</v>
      </c>
      <c r="J315" s="34" t="s">
        <v>101</v>
      </c>
      <c r="K315" s="34"/>
      <c r="L315" s="38"/>
    </row>
    <row r="316" spans="1:12">
      <c r="A316" s="19" t="s">
        <v>106</v>
      </c>
      <c r="B316" s="30" t="s">
        <v>1044</v>
      </c>
      <c r="C316" s="30" t="s">
        <v>380</v>
      </c>
      <c r="D316" s="30" t="s">
        <v>414</v>
      </c>
      <c r="E316" s="30" t="s">
        <v>1045</v>
      </c>
      <c r="F316" s="30" t="s">
        <v>40</v>
      </c>
      <c r="G316" s="22">
        <v>45237.73541666667</v>
      </c>
      <c r="H316" s="22">
        <v>45237.75277777778</v>
      </c>
      <c r="I316" s="30" t="s">
        <v>383</v>
      </c>
      <c r="J316" s="30" t="s">
        <v>101</v>
      </c>
      <c r="K316" s="30"/>
      <c r="L316" s="39"/>
    </row>
    <row r="317" spans="1:12">
      <c r="A317" s="1" t="s">
        <v>95</v>
      </c>
      <c r="B317" s="34" t="s">
        <v>1046</v>
      </c>
      <c r="C317" s="34" t="s">
        <v>97</v>
      </c>
      <c r="D317" s="34" t="s">
        <v>1047</v>
      </c>
      <c r="E317" s="34" t="s">
        <v>1048</v>
      </c>
      <c r="F317" s="34" t="s">
        <v>40</v>
      </c>
      <c r="G317" s="16">
        <v>45237.777777777781</v>
      </c>
      <c r="H317" s="16">
        <v>45237.792361111111</v>
      </c>
      <c r="I317" s="34" t="s">
        <v>32</v>
      </c>
      <c r="J317" s="34" t="s">
        <v>101</v>
      </c>
      <c r="K317" s="34"/>
      <c r="L317" s="38"/>
    </row>
    <row r="318" spans="1:12">
      <c r="A318" s="19" t="s">
        <v>20</v>
      </c>
      <c r="B318" s="30" t="s">
        <v>1049</v>
      </c>
      <c r="C318" s="30" t="s">
        <v>21</v>
      </c>
      <c r="D318" s="30" t="s">
        <v>1050</v>
      </c>
      <c r="E318" s="30" t="s">
        <v>1051</v>
      </c>
      <c r="F318" s="30" t="s">
        <v>40</v>
      </c>
      <c r="G318" s="22">
        <v>45237.79791666667</v>
      </c>
      <c r="H318" s="22">
        <v>45237.813194444447</v>
      </c>
      <c r="I318" s="30" t="s">
        <v>1052</v>
      </c>
      <c r="J318" s="30" t="s">
        <v>101</v>
      </c>
      <c r="K318" s="30"/>
      <c r="L318" s="39"/>
    </row>
    <row r="319" spans="1:12">
      <c r="A319" s="1" t="s">
        <v>106</v>
      </c>
      <c r="B319" s="34" t="s">
        <v>1053</v>
      </c>
      <c r="C319" s="34" t="s">
        <v>108</v>
      </c>
      <c r="D319" s="34" t="s">
        <v>1054</v>
      </c>
      <c r="E319" s="34" t="s">
        <v>1055</v>
      </c>
      <c r="F319" s="34" t="s">
        <v>40</v>
      </c>
      <c r="G319" s="16">
        <v>45267.359722222223</v>
      </c>
      <c r="H319" s="16">
        <v>45267.465277777781</v>
      </c>
      <c r="I319" s="34" t="s">
        <v>1056</v>
      </c>
      <c r="J319" s="49" t="s">
        <v>94</v>
      </c>
      <c r="K319" s="34"/>
      <c r="L319" s="38"/>
    </row>
    <row r="320" spans="1:12">
      <c r="A320" s="19" t="s">
        <v>106</v>
      </c>
      <c r="B320" s="30" t="s">
        <v>1057</v>
      </c>
      <c r="C320" s="30" t="s">
        <v>333</v>
      </c>
      <c r="D320" s="30" t="s">
        <v>1058</v>
      </c>
      <c r="E320" s="30"/>
      <c r="F320" s="30" t="s">
        <v>214</v>
      </c>
      <c r="G320" s="22">
        <v>45267.5625</v>
      </c>
      <c r="H320" s="22"/>
      <c r="I320" s="30" t="s">
        <v>346</v>
      </c>
      <c r="J320" s="45" t="s">
        <v>94</v>
      </c>
      <c r="K320" s="30"/>
      <c r="L320" s="39"/>
    </row>
    <row r="321" spans="1:12">
      <c r="A321" s="1" t="s">
        <v>106</v>
      </c>
      <c r="B321" s="34" t="s">
        <v>1059</v>
      </c>
      <c r="C321" s="34" t="s">
        <v>333</v>
      </c>
      <c r="D321" s="34" t="s">
        <v>1060</v>
      </c>
      <c r="E321" s="34"/>
      <c r="F321" s="34" t="s">
        <v>214</v>
      </c>
      <c r="G321" s="16">
        <v>45267.569444444445</v>
      </c>
      <c r="H321" s="16"/>
      <c r="I321" s="34" t="s">
        <v>346</v>
      </c>
      <c r="J321" s="49" t="s">
        <v>94</v>
      </c>
      <c r="K321" s="34"/>
      <c r="L321" s="38"/>
    </row>
    <row r="322" spans="1:12">
      <c r="A322" s="19" t="s">
        <v>106</v>
      </c>
      <c r="B322" s="30" t="s">
        <v>1061</v>
      </c>
      <c r="C322" s="30" t="s">
        <v>108</v>
      </c>
      <c r="D322" s="30" t="s">
        <v>1062</v>
      </c>
      <c r="E322" s="30" t="s">
        <v>1063</v>
      </c>
      <c r="F322" s="30" t="s">
        <v>40</v>
      </c>
      <c r="G322" s="22">
        <v>45267.61041666667</v>
      </c>
      <c r="H322" s="22" t="s">
        <v>1064</v>
      </c>
      <c r="I322" s="30" t="s">
        <v>111</v>
      </c>
      <c r="J322" s="45" t="s">
        <v>94</v>
      </c>
      <c r="K322" s="30"/>
      <c r="L322" s="39"/>
    </row>
    <row r="323" spans="1:12">
      <c r="A323" s="1" t="s">
        <v>106</v>
      </c>
      <c r="B323" s="34" t="s">
        <v>1065</v>
      </c>
      <c r="C323" s="34" t="s">
        <v>108</v>
      </c>
      <c r="D323" s="34" t="s">
        <v>1066</v>
      </c>
      <c r="E323" s="34" t="s">
        <v>1067</v>
      </c>
      <c r="F323" s="34" t="s">
        <v>40</v>
      </c>
      <c r="G323" s="16">
        <v>45119.890277777777</v>
      </c>
      <c r="H323" s="16">
        <v>45119.920138888891</v>
      </c>
      <c r="I323" s="34" t="s">
        <v>616</v>
      </c>
      <c r="J323" s="34" t="s">
        <v>72</v>
      </c>
      <c r="K323" s="34"/>
      <c r="L323" s="38"/>
    </row>
    <row r="324" spans="1:12">
      <c r="A324" s="19" t="s">
        <v>20</v>
      </c>
      <c r="B324" s="30" t="s">
        <v>1068</v>
      </c>
      <c r="C324" s="30" t="s">
        <v>21</v>
      </c>
      <c r="D324" s="30" t="s">
        <v>1069</v>
      </c>
      <c r="E324" s="30" t="s">
        <v>1070</v>
      </c>
      <c r="F324" s="30" t="s">
        <v>40</v>
      </c>
      <c r="G324" s="22">
        <v>45119.975694444445</v>
      </c>
      <c r="H324" s="22">
        <v>45120.038888888892</v>
      </c>
      <c r="I324" s="30" t="s">
        <v>52</v>
      </c>
      <c r="J324" s="30" t="s">
        <v>72</v>
      </c>
      <c r="K324" s="30"/>
      <c r="L324" s="39"/>
    </row>
    <row r="325" spans="1:12">
      <c r="A325" s="1" t="s">
        <v>20</v>
      </c>
      <c r="B325" s="34" t="s">
        <v>1071</v>
      </c>
      <c r="C325" s="34" t="s">
        <v>21</v>
      </c>
      <c r="D325" s="34" t="s">
        <v>1072</v>
      </c>
      <c r="E325" s="34" t="s">
        <v>1073</v>
      </c>
      <c r="F325" s="34" t="s">
        <v>40</v>
      </c>
      <c r="G325" s="16">
        <v>45120.128472222219</v>
      </c>
      <c r="H325" s="16">
        <v>45120.15</v>
      </c>
      <c r="I325" s="34" t="s">
        <v>52</v>
      </c>
      <c r="J325" s="34" t="s">
        <v>72</v>
      </c>
      <c r="K325" s="34"/>
      <c r="L325" s="38"/>
    </row>
    <row r="326" spans="1:12">
      <c r="A326" s="19" t="s">
        <v>20</v>
      </c>
      <c r="B326" s="30" t="s">
        <v>1074</v>
      </c>
      <c r="C326" s="30" t="s">
        <v>13</v>
      </c>
      <c r="D326" s="30" t="s">
        <v>1075</v>
      </c>
      <c r="E326" s="30" t="s">
        <v>1076</v>
      </c>
      <c r="F326" s="30" t="s">
        <v>40</v>
      </c>
      <c r="G326" s="22">
        <v>45120.291666666664</v>
      </c>
      <c r="H326" s="22">
        <v>45120.34375</v>
      </c>
      <c r="I326" s="30" t="s">
        <v>17</v>
      </c>
      <c r="J326" s="30" t="s">
        <v>72</v>
      </c>
      <c r="K326" s="30"/>
      <c r="L326" s="39"/>
    </row>
    <row r="327" spans="1:12">
      <c r="A327" s="1" t="s">
        <v>106</v>
      </c>
      <c r="B327" s="34" t="s">
        <v>1077</v>
      </c>
      <c r="C327" s="34" t="s">
        <v>333</v>
      </c>
      <c r="D327" s="34" t="s">
        <v>1078</v>
      </c>
      <c r="E327" s="34" t="s">
        <v>1079</v>
      </c>
      <c r="F327" s="34" t="s">
        <v>40</v>
      </c>
      <c r="G327" s="16" t="s">
        <v>1080</v>
      </c>
      <c r="H327" s="16" t="s">
        <v>1081</v>
      </c>
      <c r="I327" s="34" t="s">
        <v>346</v>
      </c>
      <c r="J327" s="34" t="s">
        <v>1082</v>
      </c>
      <c r="K327" s="34"/>
      <c r="L327" s="38"/>
    </row>
    <row r="328" spans="1:12">
      <c r="A328" s="19" t="s">
        <v>106</v>
      </c>
      <c r="B328" s="30" t="s">
        <v>1083</v>
      </c>
      <c r="C328" s="30" t="s">
        <v>78</v>
      </c>
      <c r="D328" s="30" t="s">
        <v>1084</v>
      </c>
      <c r="E328" s="30" t="s">
        <v>1085</v>
      </c>
      <c r="F328" s="30" t="s">
        <v>40</v>
      </c>
      <c r="G328" s="22" t="s">
        <v>1086</v>
      </c>
      <c r="H328" s="22" t="s">
        <v>1087</v>
      </c>
      <c r="I328" s="30" t="s">
        <v>258</v>
      </c>
      <c r="J328" s="30" t="s">
        <v>1082</v>
      </c>
      <c r="K328" s="30"/>
      <c r="L328" s="39"/>
    </row>
    <row r="329" spans="1:12">
      <c r="A329" s="1" t="s">
        <v>95</v>
      </c>
      <c r="B329" s="34" t="s">
        <v>1088</v>
      </c>
      <c r="C329" s="34" t="s">
        <v>97</v>
      </c>
      <c r="D329" s="34" t="s">
        <v>1089</v>
      </c>
      <c r="E329" s="34" t="s">
        <v>1090</v>
      </c>
      <c r="F329" s="34" t="s">
        <v>40</v>
      </c>
      <c r="G329" s="16" t="s">
        <v>1091</v>
      </c>
      <c r="H329" s="16" t="s">
        <v>1092</v>
      </c>
      <c r="I329" s="34" t="s">
        <v>378</v>
      </c>
      <c r="J329" s="34" t="s">
        <v>72</v>
      </c>
      <c r="K329" s="34" t="s">
        <v>1082</v>
      </c>
      <c r="L329" s="38" t="s">
        <v>1093</v>
      </c>
    </row>
    <row r="330" spans="1:12">
      <c r="A330" s="19" t="s">
        <v>95</v>
      </c>
      <c r="B330" s="30" t="s">
        <v>1088</v>
      </c>
      <c r="C330" s="30" t="s">
        <v>97</v>
      </c>
      <c r="D330" s="30" t="s">
        <v>1089</v>
      </c>
      <c r="E330" s="30" t="s">
        <v>1094</v>
      </c>
      <c r="F330" s="30" t="s">
        <v>40</v>
      </c>
      <c r="G330" s="22">
        <v>45120.85833333333</v>
      </c>
      <c r="H330" s="22">
        <v>45121.316666666666</v>
      </c>
      <c r="I330" s="30" t="s">
        <v>1095</v>
      </c>
      <c r="J330" s="30" t="s">
        <v>72</v>
      </c>
      <c r="K330" s="30"/>
      <c r="L330" s="39"/>
    </row>
    <row r="331" spans="1:12">
      <c r="A331" s="1" t="s">
        <v>20</v>
      </c>
      <c r="B331" s="34" t="s">
        <v>1096</v>
      </c>
      <c r="C331" s="34" t="s">
        <v>21</v>
      </c>
      <c r="D331" s="34" t="s">
        <v>1097</v>
      </c>
      <c r="E331" s="34" t="s">
        <v>1098</v>
      </c>
      <c r="F331" s="34" t="s">
        <v>40</v>
      </c>
      <c r="G331" s="16">
        <v>45120.865277777775</v>
      </c>
      <c r="H331" s="16">
        <v>45120.948611111111</v>
      </c>
      <c r="I331" s="34" t="s">
        <v>52</v>
      </c>
      <c r="J331" s="34" t="s">
        <v>72</v>
      </c>
      <c r="K331" s="34"/>
      <c r="L331" s="38"/>
    </row>
    <row r="332" spans="1:12">
      <c r="A332" s="19" t="s">
        <v>95</v>
      </c>
      <c r="B332" s="30" t="s">
        <v>1099</v>
      </c>
      <c r="C332" s="30" t="s">
        <v>118</v>
      </c>
      <c r="D332" s="30" t="s">
        <v>1100</v>
      </c>
      <c r="E332" s="30" t="s">
        <v>1101</v>
      </c>
      <c r="F332" s="30" t="s">
        <v>40</v>
      </c>
      <c r="G332" s="22">
        <v>45121.28402777778</v>
      </c>
      <c r="H332" s="22">
        <v>45121.307638888888</v>
      </c>
      <c r="I332" s="30" t="s">
        <v>1102</v>
      </c>
      <c r="J332" s="30" t="s">
        <v>72</v>
      </c>
      <c r="K332" s="30"/>
      <c r="L332" s="39"/>
    </row>
    <row r="333" spans="1:12">
      <c r="A333" s="1" t="s">
        <v>106</v>
      </c>
      <c r="B333" s="34" t="s">
        <v>1103</v>
      </c>
      <c r="C333" s="34" t="s">
        <v>108</v>
      </c>
      <c r="D333" s="34" t="s">
        <v>1062</v>
      </c>
      <c r="E333" s="34" t="s">
        <v>1104</v>
      </c>
      <c r="F333" s="34" t="s">
        <v>40</v>
      </c>
      <c r="G333" s="16" t="s">
        <v>1105</v>
      </c>
      <c r="H333" s="16" t="s">
        <v>1106</v>
      </c>
      <c r="I333" s="34" t="s">
        <v>111</v>
      </c>
      <c r="J333" s="34" t="s">
        <v>1082</v>
      </c>
      <c r="K333" s="34"/>
      <c r="L333" s="38"/>
    </row>
    <row r="334" spans="1:12">
      <c r="A334" s="19" t="s">
        <v>95</v>
      </c>
      <c r="B334" s="30" t="s">
        <v>1107</v>
      </c>
      <c r="C334" s="30" t="s">
        <v>97</v>
      </c>
      <c r="D334" s="30" t="s">
        <v>1108</v>
      </c>
      <c r="E334" s="30" t="s">
        <v>1109</v>
      </c>
      <c r="F334" s="30" t="s">
        <v>40</v>
      </c>
      <c r="G334" s="22" t="s">
        <v>1110</v>
      </c>
      <c r="H334" s="22" t="s">
        <v>1111</v>
      </c>
      <c r="I334" s="30" t="s">
        <v>1112</v>
      </c>
      <c r="J334" s="30" t="s">
        <v>1082</v>
      </c>
      <c r="K334" s="30"/>
      <c r="L334" s="39"/>
    </row>
    <row r="335" spans="1:12">
      <c r="A335" s="1" t="s">
        <v>20</v>
      </c>
      <c r="B335" s="34" t="s">
        <v>1113</v>
      </c>
      <c r="C335" s="34" t="s">
        <v>21</v>
      </c>
      <c r="D335" s="34" t="s">
        <v>1114</v>
      </c>
      <c r="E335" s="34" t="s">
        <v>1115</v>
      </c>
      <c r="F335" s="34" t="s">
        <v>40</v>
      </c>
      <c r="G335" s="16">
        <v>45121.86041666667</v>
      </c>
      <c r="H335" s="16">
        <v>45121.890972222223</v>
      </c>
      <c r="I335" s="34" t="s">
        <v>52</v>
      </c>
      <c r="J335" s="34" t="s">
        <v>72</v>
      </c>
      <c r="K335" s="34"/>
      <c r="L335" s="38"/>
    </row>
    <row r="336" spans="1:12">
      <c r="A336" s="19" t="s">
        <v>20</v>
      </c>
      <c r="B336" s="30" t="s">
        <v>1116</v>
      </c>
      <c r="C336" s="30" t="s">
        <v>21</v>
      </c>
      <c r="D336" s="30" t="s">
        <v>1117</v>
      </c>
      <c r="E336" s="30" t="s">
        <v>1118</v>
      </c>
      <c r="F336" s="30" t="s">
        <v>40</v>
      </c>
      <c r="G336" s="22">
        <v>45121.973611111112</v>
      </c>
      <c r="H336" s="22">
        <v>45121.99722222222</v>
      </c>
      <c r="I336" s="30" t="s">
        <v>52</v>
      </c>
      <c r="J336" s="30" t="s">
        <v>72</v>
      </c>
      <c r="K336" s="30"/>
      <c r="L336" s="39"/>
    </row>
    <row r="337" spans="1:12">
      <c r="A337" s="1" t="s">
        <v>95</v>
      </c>
      <c r="B337" s="34" t="s">
        <v>1119</v>
      </c>
      <c r="C337" s="34" t="s">
        <v>97</v>
      </c>
      <c r="D337" s="34" t="s">
        <v>1120</v>
      </c>
      <c r="E337" s="34" t="s">
        <v>1121</v>
      </c>
      <c r="F337" s="34" t="s">
        <v>40</v>
      </c>
      <c r="G337" s="16">
        <v>45122.052777777775</v>
      </c>
      <c r="H337" s="16">
        <v>45122.081944444442</v>
      </c>
      <c r="I337" s="34" t="s">
        <v>1095</v>
      </c>
      <c r="J337" s="34" t="s">
        <v>72</v>
      </c>
      <c r="K337" s="34"/>
      <c r="L337" s="38"/>
    </row>
    <row r="338" spans="1:12">
      <c r="A338" s="19" t="s">
        <v>20</v>
      </c>
      <c r="B338" s="30" t="s">
        <v>1122</v>
      </c>
      <c r="C338" s="30" t="s">
        <v>21</v>
      </c>
      <c r="D338" s="30" t="s">
        <v>1123</v>
      </c>
      <c r="E338" s="30" t="s">
        <v>1124</v>
      </c>
      <c r="F338" s="30" t="s">
        <v>40</v>
      </c>
      <c r="G338" s="22">
        <v>45122.111805555556</v>
      </c>
      <c r="H338" s="22">
        <v>45122.143750000003</v>
      </c>
      <c r="I338" s="30" t="s">
        <v>52</v>
      </c>
      <c r="J338" s="30" t="s">
        <v>72</v>
      </c>
      <c r="K338" s="30"/>
      <c r="L338" s="39"/>
    </row>
    <row r="339" spans="1:12">
      <c r="A339" s="1" t="s">
        <v>95</v>
      </c>
      <c r="B339" s="34" t="s">
        <v>1125</v>
      </c>
      <c r="C339" s="34" t="s">
        <v>118</v>
      </c>
      <c r="D339" s="34" t="s">
        <v>1126</v>
      </c>
      <c r="E339" s="34" t="s">
        <v>1127</v>
      </c>
      <c r="F339" s="34" t="s">
        <v>40</v>
      </c>
      <c r="G339" s="16">
        <v>45122.27847222222</v>
      </c>
      <c r="H339" s="16">
        <v>45122.291666666664</v>
      </c>
      <c r="I339" s="34" t="s">
        <v>502</v>
      </c>
      <c r="J339" s="34" t="s">
        <v>72</v>
      </c>
      <c r="K339" s="34"/>
      <c r="L339" s="38"/>
    </row>
    <row r="340" spans="1:12">
      <c r="A340" s="19" t="s">
        <v>95</v>
      </c>
      <c r="B340" s="30" t="s">
        <v>1128</v>
      </c>
      <c r="C340" s="30" t="s">
        <v>97</v>
      </c>
      <c r="D340" s="30" t="s">
        <v>1120</v>
      </c>
      <c r="E340" s="30" t="s">
        <v>1129</v>
      </c>
      <c r="F340" s="30" t="s">
        <v>40</v>
      </c>
      <c r="G340" s="22">
        <v>45122.286111111112</v>
      </c>
      <c r="H340" s="22">
        <v>45122.308333333334</v>
      </c>
      <c r="I340" s="30" t="s">
        <v>1095</v>
      </c>
      <c r="J340" s="30" t="s">
        <v>72</v>
      </c>
      <c r="K340" s="30"/>
      <c r="L340" s="39"/>
    </row>
    <row r="341" spans="1:12">
      <c r="A341" s="1" t="s">
        <v>95</v>
      </c>
      <c r="B341" s="34" t="s">
        <v>1130</v>
      </c>
      <c r="C341" s="34" t="s">
        <v>97</v>
      </c>
      <c r="D341" s="34" t="s">
        <v>1089</v>
      </c>
      <c r="E341" s="34" t="s">
        <v>1131</v>
      </c>
      <c r="F341" s="34" t="s">
        <v>214</v>
      </c>
      <c r="G341" s="16" t="s">
        <v>1132</v>
      </c>
      <c r="H341" s="16"/>
      <c r="I341" s="34" t="s">
        <v>1133</v>
      </c>
      <c r="J341" s="34" t="s">
        <v>1082</v>
      </c>
      <c r="K341" s="34"/>
      <c r="L341" s="38"/>
    </row>
    <row r="342" spans="1:12">
      <c r="A342" s="19" t="s">
        <v>106</v>
      </c>
      <c r="B342" s="30" t="s">
        <v>1134</v>
      </c>
      <c r="C342" s="30" t="s">
        <v>108</v>
      </c>
      <c r="D342" s="30" t="s">
        <v>1135</v>
      </c>
      <c r="E342" s="30" t="s">
        <v>1136</v>
      </c>
      <c r="F342" s="30" t="s">
        <v>40</v>
      </c>
      <c r="G342" s="22">
        <v>45123.924305555556</v>
      </c>
      <c r="H342" s="22">
        <v>45123.959027777775</v>
      </c>
      <c r="I342" s="30" t="s">
        <v>946</v>
      </c>
      <c r="J342" s="30" t="s">
        <v>72</v>
      </c>
      <c r="K342" s="30"/>
      <c r="L342" s="39"/>
    </row>
    <row r="343" spans="1:12">
      <c r="A343" s="1" t="s">
        <v>106</v>
      </c>
      <c r="B343" s="34" t="s">
        <v>1137</v>
      </c>
      <c r="C343" s="34" t="s">
        <v>313</v>
      </c>
      <c r="D343" s="34" t="s">
        <v>1138</v>
      </c>
      <c r="E343" s="34" t="s">
        <v>1139</v>
      </c>
      <c r="F343" s="34" t="s">
        <v>40</v>
      </c>
      <c r="G343" s="16">
        <v>45123.996527777781</v>
      </c>
      <c r="H343" s="16">
        <v>45124.023611111108</v>
      </c>
      <c r="I343" s="34" t="s">
        <v>32</v>
      </c>
      <c r="J343" s="34" t="s">
        <v>72</v>
      </c>
      <c r="K343" s="34"/>
      <c r="L343" s="38"/>
    </row>
    <row r="344" spans="1:12">
      <c r="A344" s="19" t="s">
        <v>106</v>
      </c>
      <c r="B344" s="30" t="s">
        <v>1140</v>
      </c>
      <c r="C344" s="30" t="s">
        <v>333</v>
      </c>
      <c r="D344" s="30" t="s">
        <v>1141</v>
      </c>
      <c r="E344" s="30" t="s">
        <v>1142</v>
      </c>
      <c r="F344" s="30" t="s">
        <v>214</v>
      </c>
      <c r="G344" s="22" t="s">
        <v>1143</v>
      </c>
      <c r="H344" s="22"/>
      <c r="I344" s="30" t="s">
        <v>346</v>
      </c>
      <c r="J344" s="30" t="s">
        <v>1082</v>
      </c>
      <c r="K344" s="30"/>
      <c r="L344" s="39"/>
    </row>
    <row r="345" spans="1:12">
      <c r="A345" s="1" t="s">
        <v>95</v>
      </c>
      <c r="B345" s="34" t="s">
        <v>1144</v>
      </c>
      <c r="C345" s="34" t="s">
        <v>97</v>
      </c>
      <c r="D345" s="34" t="s">
        <v>1145</v>
      </c>
      <c r="E345" s="34" t="s">
        <v>1146</v>
      </c>
      <c r="F345" s="34" t="s">
        <v>40</v>
      </c>
      <c r="G345" s="16" t="s">
        <v>1147</v>
      </c>
      <c r="H345" s="16" t="s">
        <v>1148</v>
      </c>
      <c r="I345" s="34" t="s">
        <v>32</v>
      </c>
      <c r="J345" s="34" t="s">
        <v>1082</v>
      </c>
      <c r="K345" s="34"/>
      <c r="L345" s="38"/>
    </row>
    <row r="346" spans="1:12">
      <c r="A346" s="19" t="s">
        <v>20</v>
      </c>
      <c r="B346" s="30" t="s">
        <v>1149</v>
      </c>
      <c r="C346" s="30" t="s">
        <v>13</v>
      </c>
      <c r="D346" s="30" t="s">
        <v>1150</v>
      </c>
      <c r="E346" s="30" t="s">
        <v>1151</v>
      </c>
      <c r="F346" s="30" t="s">
        <v>40</v>
      </c>
      <c r="G346" s="22" t="s">
        <v>1152</v>
      </c>
      <c r="H346" s="22" t="s">
        <v>1153</v>
      </c>
      <c r="I346" s="30" t="s">
        <v>1154</v>
      </c>
      <c r="J346" s="30" t="s">
        <v>1082</v>
      </c>
      <c r="K346" s="30"/>
      <c r="L346" s="39"/>
    </row>
    <row r="347" spans="1:12">
      <c r="A347" s="1" t="s">
        <v>95</v>
      </c>
      <c r="B347" s="34" t="s">
        <v>1155</v>
      </c>
      <c r="C347" s="34" t="s">
        <v>118</v>
      </c>
      <c r="D347" s="34" t="s">
        <v>1156</v>
      </c>
      <c r="E347" s="34" t="s">
        <v>1157</v>
      </c>
      <c r="F347" s="34" t="s">
        <v>40</v>
      </c>
      <c r="G347" s="16">
        <v>45124.844444444447</v>
      </c>
      <c r="H347" s="16">
        <v>45124.852777777778</v>
      </c>
      <c r="I347" s="34" t="s">
        <v>502</v>
      </c>
      <c r="J347" s="34" t="s">
        <v>72</v>
      </c>
      <c r="K347" s="34"/>
      <c r="L347" s="38"/>
    </row>
    <row r="348" spans="1:12">
      <c r="A348" s="19" t="s">
        <v>20</v>
      </c>
      <c r="B348" s="30" t="s">
        <v>1158</v>
      </c>
      <c r="C348" s="30" t="s">
        <v>21</v>
      </c>
      <c r="D348" s="30" t="s">
        <v>1159</v>
      </c>
      <c r="E348" s="30" t="s">
        <v>1160</v>
      </c>
      <c r="F348" s="30" t="s">
        <v>40</v>
      </c>
      <c r="G348" s="22">
        <v>45125.109722222223</v>
      </c>
      <c r="H348" s="22">
        <v>45125.15625</v>
      </c>
      <c r="I348" s="30" t="s">
        <v>52</v>
      </c>
      <c r="J348" s="30" t="s">
        <v>72</v>
      </c>
      <c r="K348" s="30"/>
      <c r="L348" s="39"/>
    </row>
    <row r="349" spans="1:12">
      <c r="A349" s="1" t="s">
        <v>95</v>
      </c>
      <c r="B349" s="34" t="s">
        <v>1161</v>
      </c>
      <c r="C349" s="34" t="s">
        <v>97</v>
      </c>
      <c r="D349" s="34" t="s">
        <v>1162</v>
      </c>
      <c r="E349" s="34" t="s">
        <v>1163</v>
      </c>
      <c r="F349" s="34" t="s">
        <v>40</v>
      </c>
      <c r="G349" s="16">
        <v>45125.104861111111</v>
      </c>
      <c r="H349" s="16">
        <v>45125.245833333334</v>
      </c>
      <c r="I349" s="34" t="s">
        <v>1164</v>
      </c>
      <c r="J349" s="34" t="s">
        <v>72</v>
      </c>
      <c r="K349" s="34"/>
      <c r="L349" s="38"/>
    </row>
    <row r="350" spans="1:12">
      <c r="A350" s="19" t="s">
        <v>106</v>
      </c>
      <c r="B350" s="30" t="s">
        <v>1165</v>
      </c>
      <c r="C350" s="30" t="s">
        <v>49</v>
      </c>
      <c r="D350" s="30" t="s">
        <v>1166</v>
      </c>
      <c r="E350" s="30" t="s">
        <v>1167</v>
      </c>
      <c r="F350" s="30" t="s">
        <v>40</v>
      </c>
      <c r="G350" s="22">
        <v>45125.165972222225</v>
      </c>
      <c r="H350" s="22">
        <v>45125.177083333336</v>
      </c>
      <c r="I350" s="30" t="s">
        <v>105</v>
      </c>
      <c r="J350" s="30" t="s">
        <v>72</v>
      </c>
      <c r="K350" s="30"/>
      <c r="L350" s="39"/>
    </row>
    <row r="351" spans="1:12">
      <c r="A351" s="1" t="s">
        <v>106</v>
      </c>
      <c r="B351" s="34" t="s">
        <v>1168</v>
      </c>
      <c r="C351" s="34" t="s">
        <v>108</v>
      </c>
      <c r="D351" s="34" t="s">
        <v>1169</v>
      </c>
      <c r="E351" s="34" t="s">
        <v>1170</v>
      </c>
      <c r="F351" s="34" t="s">
        <v>40</v>
      </c>
      <c r="G351" s="16" t="s">
        <v>1171</v>
      </c>
      <c r="H351" s="16" t="s">
        <v>1172</v>
      </c>
      <c r="I351" s="34" t="s">
        <v>1173</v>
      </c>
      <c r="J351" s="34" t="s">
        <v>1082</v>
      </c>
      <c r="K351" s="34"/>
      <c r="L351" s="38"/>
    </row>
    <row r="352" spans="1:12">
      <c r="A352" s="19" t="s">
        <v>106</v>
      </c>
      <c r="B352" s="30" t="s">
        <v>1174</v>
      </c>
      <c r="C352" s="30" t="s">
        <v>333</v>
      </c>
      <c r="D352" s="30" t="s">
        <v>1175</v>
      </c>
      <c r="E352" s="30" t="s">
        <v>1176</v>
      </c>
      <c r="F352" s="30" t="s">
        <v>130</v>
      </c>
      <c r="G352" s="22" t="s">
        <v>1177</v>
      </c>
      <c r="H352" s="22"/>
      <c r="I352" s="30" t="s">
        <v>346</v>
      </c>
      <c r="J352" s="30" t="s">
        <v>1082</v>
      </c>
      <c r="K352" s="30" t="s">
        <v>72</v>
      </c>
      <c r="L352" s="39">
        <v>45125</v>
      </c>
    </row>
    <row r="353" spans="1:12">
      <c r="A353" s="1" t="s">
        <v>20</v>
      </c>
      <c r="B353" s="34" t="s">
        <v>1178</v>
      </c>
      <c r="C353" s="34" t="s">
        <v>21</v>
      </c>
      <c r="D353" s="34" t="s">
        <v>1179</v>
      </c>
      <c r="E353" s="34" t="s">
        <v>1180</v>
      </c>
      <c r="F353" s="34" t="s">
        <v>40</v>
      </c>
      <c r="G353" s="16" t="s">
        <v>1181</v>
      </c>
      <c r="H353" s="16" t="s">
        <v>1181</v>
      </c>
      <c r="I353" s="34" t="s">
        <v>1182</v>
      </c>
      <c r="J353" s="34" t="s">
        <v>88</v>
      </c>
      <c r="K353" s="34"/>
      <c r="L353" s="38"/>
    </row>
    <row r="354" spans="1:12">
      <c r="A354" s="19" t="s">
        <v>20</v>
      </c>
      <c r="B354" s="30" t="s">
        <v>1183</v>
      </c>
      <c r="C354" s="30" t="s">
        <v>21</v>
      </c>
      <c r="D354" s="30" t="s">
        <v>1184</v>
      </c>
      <c r="E354" s="30" t="s">
        <v>1185</v>
      </c>
      <c r="F354" s="30" t="s">
        <v>308</v>
      </c>
      <c r="G354" s="22" t="s">
        <v>1186</v>
      </c>
      <c r="H354" s="22"/>
      <c r="I354" s="30" t="s">
        <v>1182</v>
      </c>
      <c r="J354" s="30" t="s">
        <v>88</v>
      </c>
      <c r="K354" s="30"/>
      <c r="L354" s="39"/>
    </row>
    <row r="355" spans="1:12">
      <c r="A355" s="1" t="s">
        <v>106</v>
      </c>
      <c r="B355" s="34" t="s">
        <v>1187</v>
      </c>
      <c r="C355" s="34" t="s">
        <v>108</v>
      </c>
      <c r="D355" s="34" t="s">
        <v>1188</v>
      </c>
      <c r="E355" s="34" t="s">
        <v>1189</v>
      </c>
      <c r="F355" s="34" t="s">
        <v>40</v>
      </c>
      <c r="G355" s="16" t="s">
        <v>1190</v>
      </c>
      <c r="H355" s="16" t="s">
        <v>1191</v>
      </c>
      <c r="I355" s="34" t="s">
        <v>111</v>
      </c>
      <c r="J355" s="34" t="s">
        <v>88</v>
      </c>
      <c r="K355" s="34"/>
      <c r="L355" s="38"/>
    </row>
    <row r="356" spans="1:12">
      <c r="A356" s="41" t="s">
        <v>20</v>
      </c>
      <c r="B356" s="30" t="s">
        <v>1192</v>
      </c>
      <c r="C356" s="30" t="s">
        <v>21</v>
      </c>
      <c r="D356" s="30" t="s">
        <v>1193</v>
      </c>
      <c r="E356" s="30" t="s">
        <v>1194</v>
      </c>
      <c r="F356" s="30" t="s">
        <v>40</v>
      </c>
      <c r="G356" s="22" t="s">
        <v>1195</v>
      </c>
      <c r="H356" s="22" t="s">
        <v>1196</v>
      </c>
      <c r="I356" s="30" t="s">
        <v>1182</v>
      </c>
      <c r="J356" s="30" t="s">
        <v>88</v>
      </c>
      <c r="K356" s="30"/>
      <c r="L356" s="39"/>
    </row>
    <row r="357" spans="1:12">
      <c r="A357" s="55" t="s">
        <v>106</v>
      </c>
      <c r="B357" s="34" t="s">
        <v>1197</v>
      </c>
      <c r="C357" s="34" t="s">
        <v>108</v>
      </c>
      <c r="D357" s="34" t="s">
        <v>1198</v>
      </c>
      <c r="E357" s="34" t="s">
        <v>1199</v>
      </c>
      <c r="F357" s="34" t="s">
        <v>214</v>
      </c>
      <c r="G357" s="16" t="s">
        <v>1200</v>
      </c>
      <c r="H357" s="16"/>
      <c r="I357" s="34" t="s">
        <v>111</v>
      </c>
      <c r="J357" s="34" t="s">
        <v>88</v>
      </c>
      <c r="K357" s="34"/>
      <c r="L357" s="38"/>
    </row>
    <row r="358" spans="1:12">
      <c r="A358" s="56" t="s">
        <v>106</v>
      </c>
      <c r="B358" s="30" t="s">
        <v>1201</v>
      </c>
      <c r="C358" s="30" t="s">
        <v>108</v>
      </c>
      <c r="D358" s="30" t="s">
        <v>1202</v>
      </c>
      <c r="E358" s="30" t="s">
        <v>1203</v>
      </c>
      <c r="F358" s="30" t="s">
        <v>214</v>
      </c>
      <c r="G358" s="22" t="s">
        <v>1191</v>
      </c>
      <c r="H358" s="22"/>
      <c r="I358" s="30" t="s">
        <v>111</v>
      </c>
      <c r="J358" s="30" t="s">
        <v>88</v>
      </c>
      <c r="K358" s="30"/>
      <c r="L358" s="39"/>
    </row>
    <row r="359" spans="1:12">
      <c r="A359" s="55" t="s">
        <v>20</v>
      </c>
      <c r="B359" s="34" t="s">
        <v>1204</v>
      </c>
      <c r="C359" s="34" t="s">
        <v>21</v>
      </c>
      <c r="D359" s="34" t="s">
        <v>1205</v>
      </c>
      <c r="E359" s="34" t="s">
        <v>1206</v>
      </c>
      <c r="F359" s="34" t="s">
        <v>40</v>
      </c>
      <c r="G359" s="16" t="s">
        <v>1207</v>
      </c>
      <c r="H359" s="16" t="s">
        <v>1208</v>
      </c>
      <c r="I359" s="34" t="s">
        <v>1182</v>
      </c>
      <c r="J359" s="34" t="s">
        <v>88</v>
      </c>
      <c r="K359" s="34"/>
      <c r="L359" s="38"/>
    </row>
    <row r="360" spans="1:12">
      <c r="A360" s="56" t="s">
        <v>20</v>
      </c>
      <c r="B360" s="30" t="s">
        <v>1209</v>
      </c>
      <c r="C360" s="30" t="s">
        <v>21</v>
      </c>
      <c r="D360" s="30" t="s">
        <v>1193</v>
      </c>
      <c r="E360" s="30" t="s">
        <v>1210</v>
      </c>
      <c r="F360" s="30" t="s">
        <v>40</v>
      </c>
      <c r="G360" s="22" t="s">
        <v>1211</v>
      </c>
      <c r="H360" s="22" t="s">
        <v>1211</v>
      </c>
      <c r="I360" s="30" t="s">
        <v>1182</v>
      </c>
      <c r="J360" s="30" t="s">
        <v>88</v>
      </c>
      <c r="K360" s="30"/>
      <c r="L360" s="39"/>
    </row>
    <row r="361" spans="1:12">
      <c r="A361" s="55" t="s">
        <v>20</v>
      </c>
      <c r="B361" s="34" t="s">
        <v>1212</v>
      </c>
      <c r="C361" s="34" t="s">
        <v>13</v>
      </c>
      <c r="D361" s="34" t="s">
        <v>1213</v>
      </c>
      <c r="E361" s="34" t="s">
        <v>1214</v>
      </c>
      <c r="F361" s="34" t="s">
        <v>40</v>
      </c>
      <c r="G361" s="16" t="s">
        <v>1215</v>
      </c>
      <c r="H361" s="16" t="s">
        <v>1216</v>
      </c>
      <c r="I361" s="34" t="s">
        <v>187</v>
      </c>
      <c r="J361" s="34" t="s">
        <v>88</v>
      </c>
      <c r="K361" s="34"/>
      <c r="L361" s="38"/>
    </row>
    <row r="362" spans="1:12">
      <c r="A362" s="57" t="s">
        <v>20</v>
      </c>
      <c r="B362" s="30" t="s">
        <v>1217</v>
      </c>
      <c r="C362" s="30" t="s">
        <v>21</v>
      </c>
      <c r="D362" s="30" t="s">
        <v>1218</v>
      </c>
      <c r="E362" s="30" t="s">
        <v>1219</v>
      </c>
      <c r="F362" s="30" t="s">
        <v>40</v>
      </c>
      <c r="G362" s="22" t="s">
        <v>1220</v>
      </c>
      <c r="H362" s="22" t="s">
        <v>1221</v>
      </c>
      <c r="I362" s="30" t="s">
        <v>1182</v>
      </c>
      <c r="J362" s="30" t="s">
        <v>88</v>
      </c>
      <c r="K362" s="30"/>
      <c r="L362" s="39"/>
    </row>
    <row r="363" spans="1:12">
      <c r="A363" s="55" t="s">
        <v>95</v>
      </c>
      <c r="B363" s="34" t="s">
        <v>1222</v>
      </c>
      <c r="C363" s="34" t="s">
        <v>97</v>
      </c>
      <c r="D363" s="34" t="s">
        <v>1223</v>
      </c>
      <c r="E363" s="34" t="s">
        <v>1224</v>
      </c>
      <c r="F363" s="34" t="s">
        <v>40</v>
      </c>
      <c r="G363" s="16" t="s">
        <v>1225</v>
      </c>
      <c r="H363" s="16" t="s">
        <v>1226</v>
      </c>
      <c r="I363" s="34" t="s">
        <v>991</v>
      </c>
      <c r="J363" s="34" t="s">
        <v>88</v>
      </c>
      <c r="K363" s="34"/>
      <c r="L363" s="38"/>
    </row>
    <row r="364" spans="1:12">
      <c r="A364" s="56" t="s">
        <v>20</v>
      </c>
      <c r="B364" s="30" t="s">
        <v>1227</v>
      </c>
      <c r="C364" s="30" t="s">
        <v>21</v>
      </c>
      <c r="D364" s="30" t="s">
        <v>1193</v>
      </c>
      <c r="E364" s="30" t="s">
        <v>1228</v>
      </c>
      <c r="F364" s="30" t="s">
        <v>40</v>
      </c>
      <c r="G364" s="22" t="s">
        <v>1229</v>
      </c>
      <c r="H364" s="22" t="s">
        <v>1230</v>
      </c>
      <c r="I364" s="30" t="s">
        <v>1182</v>
      </c>
      <c r="J364" s="30" t="s">
        <v>88</v>
      </c>
      <c r="K364" s="30"/>
      <c r="L364" s="39"/>
    </row>
    <row r="365" spans="1:12">
      <c r="A365" s="55" t="s">
        <v>20</v>
      </c>
      <c r="B365" s="34" t="s">
        <v>1231</v>
      </c>
      <c r="C365" s="34" t="s">
        <v>21</v>
      </c>
      <c r="D365" s="34" t="s">
        <v>1232</v>
      </c>
      <c r="E365" s="34" t="s">
        <v>1233</v>
      </c>
      <c r="F365" s="34" t="s">
        <v>40</v>
      </c>
      <c r="G365" s="16" t="s">
        <v>1234</v>
      </c>
      <c r="H365" s="16" t="s">
        <v>1235</v>
      </c>
      <c r="I365" s="34" t="s">
        <v>1182</v>
      </c>
      <c r="J365" s="34" t="s">
        <v>88</v>
      </c>
      <c r="K365" s="34"/>
      <c r="L365" s="38"/>
    </row>
    <row r="366" spans="1:12">
      <c r="A366" s="56" t="s">
        <v>95</v>
      </c>
      <c r="B366" s="30" t="s">
        <v>1236</v>
      </c>
      <c r="C366" s="30" t="s">
        <v>118</v>
      </c>
      <c r="D366" s="30" t="s">
        <v>1237</v>
      </c>
      <c r="E366" s="30" t="s">
        <v>1238</v>
      </c>
      <c r="F366" s="30" t="s">
        <v>40</v>
      </c>
      <c r="G366" s="22" t="s">
        <v>1239</v>
      </c>
      <c r="H366" s="22" t="s">
        <v>1240</v>
      </c>
      <c r="I366" s="30" t="s">
        <v>1241</v>
      </c>
      <c r="J366" s="30" t="s">
        <v>88</v>
      </c>
      <c r="K366" s="30"/>
      <c r="L366" s="39"/>
    </row>
    <row r="367" spans="1:12">
      <c r="A367" s="55" t="s">
        <v>20</v>
      </c>
      <c r="B367" s="34" t="s">
        <v>1242</v>
      </c>
      <c r="C367" s="34" t="s">
        <v>21</v>
      </c>
      <c r="D367" s="34" t="s">
        <v>1193</v>
      </c>
      <c r="E367" s="34" t="s">
        <v>1243</v>
      </c>
      <c r="F367" s="34" t="s">
        <v>40</v>
      </c>
      <c r="G367" s="16" t="s">
        <v>1244</v>
      </c>
      <c r="H367" s="16" t="s">
        <v>1245</v>
      </c>
      <c r="I367" s="34" t="s">
        <v>1182</v>
      </c>
      <c r="J367" s="34" t="s">
        <v>88</v>
      </c>
      <c r="K367" s="34"/>
      <c r="L367" s="38"/>
    </row>
    <row r="368" spans="1:12">
      <c r="A368" s="56" t="s">
        <v>95</v>
      </c>
      <c r="B368" s="30" t="s">
        <v>1246</v>
      </c>
      <c r="C368" s="30" t="s">
        <v>97</v>
      </c>
      <c r="D368" s="30" t="s">
        <v>1247</v>
      </c>
      <c r="E368" s="30" t="s">
        <v>1248</v>
      </c>
      <c r="F368" s="30" t="s">
        <v>40</v>
      </c>
      <c r="G368" s="22" t="s">
        <v>1249</v>
      </c>
      <c r="H368" s="22" t="s">
        <v>1250</v>
      </c>
      <c r="I368" s="30" t="s">
        <v>1251</v>
      </c>
      <c r="J368" s="30" t="s">
        <v>88</v>
      </c>
      <c r="K368" s="30"/>
      <c r="L368" s="39"/>
    </row>
    <row r="369" spans="1:12">
      <c r="A369" s="55" t="s">
        <v>106</v>
      </c>
      <c r="B369" s="34" t="s">
        <v>1252</v>
      </c>
      <c r="C369" s="34" t="s">
        <v>108</v>
      </c>
      <c r="D369" s="34" t="s">
        <v>1253</v>
      </c>
      <c r="E369" s="34" t="s">
        <v>1254</v>
      </c>
      <c r="F369" s="34" t="s">
        <v>40</v>
      </c>
      <c r="G369" s="16" t="s">
        <v>1255</v>
      </c>
      <c r="H369" s="16" t="s">
        <v>1256</v>
      </c>
      <c r="I369" s="34" t="s">
        <v>1173</v>
      </c>
      <c r="J369" s="34" t="s">
        <v>88</v>
      </c>
      <c r="K369" s="34"/>
      <c r="L369" s="38"/>
    </row>
    <row r="370" spans="1:12">
      <c r="A370" s="56" t="s">
        <v>106</v>
      </c>
      <c r="B370" s="30" t="s">
        <v>1257</v>
      </c>
      <c r="C370" s="30" t="s">
        <v>313</v>
      </c>
      <c r="D370" s="30" t="s">
        <v>1258</v>
      </c>
      <c r="E370" s="30" t="s">
        <v>1259</v>
      </c>
      <c r="F370" s="30" t="s">
        <v>40</v>
      </c>
      <c r="G370" s="22" t="s">
        <v>1260</v>
      </c>
      <c r="H370" s="22" t="s">
        <v>1261</v>
      </c>
      <c r="I370" s="30" t="s">
        <v>1262</v>
      </c>
      <c r="J370" s="30" t="s">
        <v>88</v>
      </c>
      <c r="K370" s="30"/>
      <c r="L370" s="39"/>
    </row>
    <row r="371" spans="1:12">
      <c r="A371" s="55" t="s">
        <v>106</v>
      </c>
      <c r="B371" s="34" t="s">
        <v>1263</v>
      </c>
      <c r="C371" s="34" t="s">
        <v>78</v>
      </c>
      <c r="D371" s="34" t="s">
        <v>1264</v>
      </c>
      <c r="E371" s="34" t="s">
        <v>1265</v>
      </c>
      <c r="F371" s="34" t="s">
        <v>40</v>
      </c>
      <c r="G371" s="16" t="s">
        <v>1266</v>
      </c>
      <c r="H371" s="16" t="s">
        <v>1267</v>
      </c>
      <c r="I371" s="34" t="s">
        <v>1268</v>
      </c>
      <c r="J371" s="34" t="s">
        <v>88</v>
      </c>
      <c r="K371" s="34"/>
      <c r="L371" s="38"/>
    </row>
    <row r="372" spans="1:12">
      <c r="A372" s="56" t="s">
        <v>106</v>
      </c>
      <c r="B372" s="30" t="s">
        <v>1269</v>
      </c>
      <c r="C372" s="30" t="s">
        <v>313</v>
      </c>
      <c r="D372" s="30" t="s">
        <v>1270</v>
      </c>
      <c r="E372" s="30" t="s">
        <v>1271</v>
      </c>
      <c r="F372" s="30" t="s">
        <v>40</v>
      </c>
      <c r="G372" s="22" t="s">
        <v>1272</v>
      </c>
      <c r="H372" s="22" t="s">
        <v>1273</v>
      </c>
      <c r="I372" s="30" t="s">
        <v>1262</v>
      </c>
      <c r="J372" s="30" t="s">
        <v>88</v>
      </c>
      <c r="K372" s="30"/>
      <c r="L372" s="39"/>
    </row>
    <row r="373" spans="1:12">
      <c r="A373" s="55" t="s">
        <v>20</v>
      </c>
      <c r="B373" s="34" t="s">
        <v>1274</v>
      </c>
      <c r="C373" s="34" t="s">
        <v>13</v>
      </c>
      <c r="D373" s="34" t="s">
        <v>1275</v>
      </c>
      <c r="E373" s="34" t="s">
        <v>1276</v>
      </c>
      <c r="F373" s="34" t="s">
        <v>40</v>
      </c>
      <c r="G373" s="16" t="s">
        <v>1277</v>
      </c>
      <c r="H373" s="16" t="s">
        <v>1278</v>
      </c>
      <c r="I373" s="34" t="s">
        <v>187</v>
      </c>
      <c r="J373" s="34" t="s">
        <v>88</v>
      </c>
      <c r="K373" s="34"/>
      <c r="L373" s="38"/>
    </row>
    <row r="374" spans="1:12">
      <c r="A374" s="56" t="s">
        <v>106</v>
      </c>
      <c r="B374" s="30" t="s">
        <v>1279</v>
      </c>
      <c r="C374" s="30" t="s">
        <v>78</v>
      </c>
      <c r="D374" s="30" t="s">
        <v>1280</v>
      </c>
      <c r="E374" s="30" t="s">
        <v>1281</v>
      </c>
      <c r="F374" s="30" t="s">
        <v>40</v>
      </c>
      <c r="G374" s="22" t="s">
        <v>1282</v>
      </c>
      <c r="H374" s="22" t="s">
        <v>1283</v>
      </c>
      <c r="I374" s="30" t="s">
        <v>258</v>
      </c>
      <c r="J374" s="30" t="s">
        <v>88</v>
      </c>
      <c r="K374" s="30"/>
      <c r="L374" s="39"/>
    </row>
    <row r="375" spans="1:12">
      <c r="A375" s="55" t="s">
        <v>20</v>
      </c>
      <c r="B375" s="34" t="s">
        <v>1284</v>
      </c>
      <c r="C375" s="34" t="s">
        <v>21</v>
      </c>
      <c r="D375" s="34" t="s">
        <v>1285</v>
      </c>
      <c r="E375" s="34" t="s">
        <v>1286</v>
      </c>
      <c r="F375" s="34" t="s">
        <v>40</v>
      </c>
      <c r="G375" s="16" t="s">
        <v>1287</v>
      </c>
      <c r="H375" s="16" t="s">
        <v>1288</v>
      </c>
      <c r="I375" s="34" t="s">
        <v>1289</v>
      </c>
      <c r="J375" s="34" t="s">
        <v>88</v>
      </c>
      <c r="K375" s="34"/>
      <c r="L375" s="38"/>
    </row>
    <row r="376" spans="1:12">
      <c r="A376" s="56" t="s">
        <v>106</v>
      </c>
      <c r="B376" s="30" t="s">
        <v>1290</v>
      </c>
      <c r="C376" s="30" t="s">
        <v>108</v>
      </c>
      <c r="D376" s="30" t="s">
        <v>1291</v>
      </c>
      <c r="E376" s="30" t="s">
        <v>1292</v>
      </c>
      <c r="F376" s="30" t="s">
        <v>40</v>
      </c>
      <c r="G376" s="22" t="s">
        <v>1293</v>
      </c>
      <c r="H376" s="22" t="s">
        <v>1294</v>
      </c>
      <c r="I376" s="30" t="s">
        <v>747</v>
      </c>
      <c r="J376" s="30" t="s">
        <v>72</v>
      </c>
      <c r="K376" s="30"/>
      <c r="L376" s="39"/>
    </row>
    <row r="377" spans="1:12">
      <c r="A377" s="55" t="s">
        <v>20</v>
      </c>
      <c r="B377" s="34" t="s">
        <v>1295</v>
      </c>
      <c r="C377" s="34" t="s">
        <v>13</v>
      </c>
      <c r="D377" s="34" t="s">
        <v>1296</v>
      </c>
      <c r="E377" s="34" t="s">
        <v>1297</v>
      </c>
      <c r="F377" s="34" t="s">
        <v>40</v>
      </c>
      <c r="G377" s="16" t="s">
        <v>1298</v>
      </c>
      <c r="H377" s="16" t="s">
        <v>1299</v>
      </c>
      <c r="I377" s="34" t="s">
        <v>17</v>
      </c>
      <c r="J377" s="34" t="s">
        <v>72</v>
      </c>
      <c r="K377" s="34"/>
      <c r="L377" s="38"/>
    </row>
    <row r="378" spans="1:12">
      <c r="A378" s="56" t="s">
        <v>95</v>
      </c>
      <c r="B378" s="30" t="s">
        <v>1300</v>
      </c>
      <c r="C378" s="30" t="s">
        <v>97</v>
      </c>
      <c r="D378" s="30" t="s">
        <v>1301</v>
      </c>
      <c r="E378" s="30" t="s">
        <v>1302</v>
      </c>
      <c r="F378" s="30" t="s">
        <v>40</v>
      </c>
      <c r="G378" s="22" t="s">
        <v>1303</v>
      </c>
      <c r="H378" s="22" t="s">
        <v>1304</v>
      </c>
      <c r="I378" s="30" t="s">
        <v>32</v>
      </c>
      <c r="J378" s="30" t="s">
        <v>72</v>
      </c>
      <c r="K378" s="30"/>
      <c r="L378" s="39"/>
    </row>
    <row r="379" spans="1:12">
      <c r="A379" s="55" t="s">
        <v>20</v>
      </c>
      <c r="B379" s="34" t="s">
        <v>1305</v>
      </c>
      <c r="C379" s="34" t="s">
        <v>13</v>
      </c>
      <c r="D379" s="34" t="s">
        <v>134</v>
      </c>
      <c r="E379" s="34" t="s">
        <v>1306</v>
      </c>
      <c r="F379" s="34" t="s">
        <v>40</v>
      </c>
      <c r="G379" s="16" t="s">
        <v>1307</v>
      </c>
      <c r="H379" s="16" t="s">
        <v>1308</v>
      </c>
      <c r="I379" s="34" t="s">
        <v>17</v>
      </c>
      <c r="J379" s="34" t="s">
        <v>72</v>
      </c>
      <c r="K379" s="34"/>
      <c r="L379" s="38"/>
    </row>
    <row r="380" spans="1:12">
      <c r="A380" s="56" t="s">
        <v>95</v>
      </c>
      <c r="B380" s="30" t="s">
        <v>1309</v>
      </c>
      <c r="C380" s="30" t="s">
        <v>113</v>
      </c>
      <c r="D380" s="30" t="s">
        <v>1310</v>
      </c>
      <c r="E380" s="30" t="s">
        <v>1311</v>
      </c>
      <c r="F380" s="30" t="s">
        <v>40</v>
      </c>
      <c r="G380" s="22" t="s">
        <v>1312</v>
      </c>
      <c r="H380" s="22" t="s">
        <v>1313</v>
      </c>
      <c r="I380" s="30" t="s">
        <v>32</v>
      </c>
      <c r="J380" s="30" t="s">
        <v>72</v>
      </c>
      <c r="K380" s="30"/>
      <c r="L380" s="39"/>
    </row>
    <row r="381" spans="1:12">
      <c r="A381" s="55" t="s">
        <v>20</v>
      </c>
      <c r="B381" s="34" t="s">
        <v>1314</v>
      </c>
      <c r="C381" s="34" t="s">
        <v>21</v>
      </c>
      <c r="D381" s="34" t="s">
        <v>1315</v>
      </c>
      <c r="E381" s="34" t="s">
        <v>1316</v>
      </c>
      <c r="F381" s="34" t="s">
        <v>40</v>
      </c>
      <c r="G381" s="16" t="s">
        <v>1317</v>
      </c>
      <c r="H381" s="16" t="s">
        <v>1318</v>
      </c>
      <c r="I381" s="34" t="s">
        <v>1052</v>
      </c>
      <c r="J381" s="34" t="s">
        <v>72</v>
      </c>
      <c r="K381" s="34"/>
      <c r="L381" s="38"/>
    </row>
    <row r="382" spans="1:12">
      <c r="A382" s="56" t="s">
        <v>106</v>
      </c>
      <c r="B382" s="30" t="s">
        <v>1319</v>
      </c>
      <c r="C382" s="30" t="s">
        <v>108</v>
      </c>
      <c r="D382" s="30" t="s">
        <v>761</v>
      </c>
      <c r="E382" s="30" t="s">
        <v>1320</v>
      </c>
      <c r="F382" s="30" t="s">
        <v>40</v>
      </c>
      <c r="G382" s="22" t="s">
        <v>1321</v>
      </c>
      <c r="H382" s="22" t="s">
        <v>1322</v>
      </c>
      <c r="I382" s="30" t="s">
        <v>318</v>
      </c>
      <c r="J382" s="30" t="s">
        <v>72</v>
      </c>
      <c r="K382" s="30"/>
      <c r="L382" s="39"/>
    </row>
    <row r="383" spans="1:12">
      <c r="A383" s="42" t="s">
        <v>106</v>
      </c>
      <c r="B383" s="34" t="s">
        <v>1323</v>
      </c>
      <c r="C383" s="34" t="s">
        <v>49</v>
      </c>
      <c r="D383" s="34" t="s">
        <v>1324</v>
      </c>
      <c r="E383" s="34" t="s">
        <v>1325</v>
      </c>
      <c r="F383" s="34" t="s">
        <v>40</v>
      </c>
      <c r="G383" s="16" t="s">
        <v>1326</v>
      </c>
      <c r="H383" s="16" t="s">
        <v>1327</v>
      </c>
      <c r="I383" s="34" t="s">
        <v>32</v>
      </c>
      <c r="J383" s="34" t="s">
        <v>72</v>
      </c>
      <c r="K383" s="34"/>
      <c r="L383" s="38"/>
    </row>
    <row r="384" spans="1:12">
      <c r="A384" s="41" t="s">
        <v>20</v>
      </c>
      <c r="B384" s="30" t="s">
        <v>1328</v>
      </c>
      <c r="C384" s="30" t="s">
        <v>13</v>
      </c>
      <c r="D384" s="30" t="s">
        <v>1329</v>
      </c>
      <c r="E384" s="30" t="s">
        <v>1330</v>
      </c>
      <c r="F384" s="30" t="s">
        <v>40</v>
      </c>
      <c r="G384" s="22" t="s">
        <v>1331</v>
      </c>
      <c r="H384" s="22" t="s">
        <v>1332</v>
      </c>
      <c r="I384" s="30" t="s">
        <v>17</v>
      </c>
      <c r="J384" s="30" t="s">
        <v>72</v>
      </c>
      <c r="K384" s="30"/>
      <c r="L384" s="39"/>
    </row>
    <row r="385" spans="1:12">
      <c r="A385" s="42" t="s">
        <v>106</v>
      </c>
      <c r="B385" s="34" t="s">
        <v>1333</v>
      </c>
      <c r="C385" s="34" t="s">
        <v>49</v>
      </c>
      <c r="D385" s="34" t="s">
        <v>1334</v>
      </c>
      <c r="E385" s="34" t="s">
        <v>1335</v>
      </c>
      <c r="F385" s="34" t="s">
        <v>40</v>
      </c>
      <c r="G385" s="16" t="s">
        <v>1336</v>
      </c>
      <c r="H385" s="16" t="s">
        <v>1337</v>
      </c>
      <c r="I385" s="34" t="s">
        <v>161</v>
      </c>
      <c r="J385" s="34" t="s">
        <v>72</v>
      </c>
      <c r="K385" s="34"/>
      <c r="L385" s="38"/>
    </row>
    <row r="386" spans="1:12">
      <c r="A386" s="41" t="s">
        <v>95</v>
      </c>
      <c r="B386" s="30" t="s">
        <v>1338</v>
      </c>
      <c r="C386" s="30" t="s">
        <v>97</v>
      </c>
      <c r="D386" s="30" t="s">
        <v>1339</v>
      </c>
      <c r="E386" s="30" t="s">
        <v>1340</v>
      </c>
      <c r="F386" s="30" t="s">
        <v>40</v>
      </c>
      <c r="G386" s="22" t="s">
        <v>1341</v>
      </c>
      <c r="H386" s="22" t="s">
        <v>1342</v>
      </c>
      <c r="I386" s="30" t="s">
        <v>1343</v>
      </c>
      <c r="J386" s="30" t="s">
        <v>72</v>
      </c>
      <c r="K386" s="30"/>
      <c r="L386" s="39"/>
    </row>
    <row r="387" spans="1:12">
      <c r="A387" s="42" t="s">
        <v>106</v>
      </c>
      <c r="B387" s="34" t="s">
        <v>1344</v>
      </c>
      <c r="C387" s="34" t="s">
        <v>380</v>
      </c>
      <c r="D387" s="34" t="s">
        <v>1345</v>
      </c>
      <c r="E387" s="34" t="s">
        <v>1346</v>
      </c>
      <c r="F387" s="34" t="s">
        <v>40</v>
      </c>
      <c r="G387" s="16" t="s">
        <v>1347</v>
      </c>
      <c r="H387" s="16" t="s">
        <v>1348</v>
      </c>
      <c r="I387" s="34" t="s">
        <v>1349</v>
      </c>
      <c r="J387" s="34" t="s">
        <v>72</v>
      </c>
      <c r="K387" s="34"/>
      <c r="L387" s="38"/>
    </row>
    <row r="388" spans="1:12">
      <c r="A388" s="41" t="s">
        <v>20</v>
      </c>
      <c r="B388" s="30" t="s">
        <v>1350</v>
      </c>
      <c r="C388" s="30" t="s">
        <v>21</v>
      </c>
      <c r="D388" s="30" t="s">
        <v>1351</v>
      </c>
      <c r="E388" s="30" t="s">
        <v>1352</v>
      </c>
      <c r="F388" s="30" t="s">
        <v>40</v>
      </c>
      <c r="G388" s="22" t="s">
        <v>1353</v>
      </c>
      <c r="H388" s="22" t="s">
        <v>1354</v>
      </c>
      <c r="I388" s="30" t="s">
        <v>105</v>
      </c>
      <c r="J388" s="30" t="s">
        <v>94</v>
      </c>
      <c r="K388" s="30"/>
      <c r="L388" s="39"/>
    </row>
    <row r="389" spans="1:12">
      <c r="A389" s="42" t="s">
        <v>106</v>
      </c>
      <c r="B389" s="34" t="s">
        <v>1355</v>
      </c>
      <c r="C389" s="34" t="s">
        <v>49</v>
      </c>
      <c r="D389" s="34" t="s">
        <v>1356</v>
      </c>
      <c r="E389" s="34" t="s">
        <v>1357</v>
      </c>
      <c r="F389" s="34" t="s">
        <v>40</v>
      </c>
      <c r="G389" s="16" t="s">
        <v>1358</v>
      </c>
      <c r="H389" s="16" t="s">
        <v>1359</v>
      </c>
      <c r="I389" s="34" t="s">
        <v>1360</v>
      </c>
      <c r="J389" s="34" t="s">
        <v>72</v>
      </c>
      <c r="K389" s="34"/>
      <c r="L389" s="38"/>
    </row>
    <row r="390" spans="1:12">
      <c r="A390" s="41" t="s">
        <v>106</v>
      </c>
      <c r="B390" s="30" t="s">
        <v>1355</v>
      </c>
      <c r="C390" s="30" t="s">
        <v>49</v>
      </c>
      <c r="D390" s="30" t="s">
        <v>1356</v>
      </c>
      <c r="E390" s="30"/>
      <c r="F390" s="30" t="s">
        <v>130</v>
      </c>
      <c r="G390" s="22"/>
      <c r="H390" s="22"/>
      <c r="I390" s="30"/>
      <c r="J390" s="30" t="s">
        <v>1082</v>
      </c>
      <c r="K390" s="30" t="s">
        <v>72</v>
      </c>
      <c r="L390" s="39" t="s">
        <v>1361</v>
      </c>
    </row>
    <row r="391" spans="1:12">
      <c r="A391" s="42" t="s">
        <v>20</v>
      </c>
      <c r="B391" s="34" t="s">
        <v>1362</v>
      </c>
      <c r="C391" s="34" t="s">
        <v>13</v>
      </c>
      <c r="D391" s="34" t="s">
        <v>1363</v>
      </c>
      <c r="E391" s="34" t="s">
        <v>1364</v>
      </c>
      <c r="F391" s="34" t="s">
        <v>40</v>
      </c>
      <c r="G391" s="16" t="s">
        <v>1365</v>
      </c>
      <c r="H391" s="16" t="s">
        <v>1366</v>
      </c>
      <c r="I391" s="34" t="s">
        <v>1367</v>
      </c>
      <c r="J391" s="34" t="s">
        <v>1082</v>
      </c>
      <c r="K391" s="34"/>
      <c r="L391" s="38"/>
    </row>
    <row r="392" spans="1:12">
      <c r="A392" s="19" t="s">
        <v>106</v>
      </c>
      <c r="B392" s="30" t="s">
        <v>1368</v>
      </c>
      <c r="C392" s="30" t="s">
        <v>108</v>
      </c>
      <c r="D392" s="30" t="s">
        <v>1369</v>
      </c>
      <c r="E392" s="30" t="s">
        <v>1370</v>
      </c>
      <c r="F392" s="30" t="s">
        <v>40</v>
      </c>
      <c r="G392" s="22" t="s">
        <v>1371</v>
      </c>
      <c r="H392" s="22" t="s">
        <v>1372</v>
      </c>
      <c r="I392" s="30" t="s">
        <v>1373</v>
      </c>
      <c r="J392" s="30" t="s">
        <v>1082</v>
      </c>
      <c r="K392" s="30"/>
      <c r="L392" s="39"/>
    </row>
    <row r="393" spans="1:12">
      <c r="A393" s="42" t="s">
        <v>106</v>
      </c>
      <c r="B393" s="34" t="s">
        <v>1374</v>
      </c>
      <c r="C393" s="34" t="s">
        <v>49</v>
      </c>
      <c r="D393" s="34" t="s">
        <v>1375</v>
      </c>
      <c r="E393" s="34" t="s">
        <v>1376</v>
      </c>
      <c r="F393" s="34" t="s">
        <v>40</v>
      </c>
      <c r="G393" s="16" t="s">
        <v>1377</v>
      </c>
      <c r="H393" s="16" t="s">
        <v>1378</v>
      </c>
      <c r="I393" s="34" t="s">
        <v>1360</v>
      </c>
      <c r="J393" s="34" t="s">
        <v>72</v>
      </c>
      <c r="K393" s="34"/>
      <c r="L393" s="38"/>
    </row>
    <row r="394" spans="1:12">
      <c r="A394" s="41" t="s">
        <v>95</v>
      </c>
      <c r="B394" s="30" t="s">
        <v>1379</v>
      </c>
      <c r="C394" s="30" t="s">
        <v>97</v>
      </c>
      <c r="D394" s="30" t="s">
        <v>1380</v>
      </c>
      <c r="E394" s="30" t="s">
        <v>1381</v>
      </c>
      <c r="F394" s="30" t="s">
        <v>40</v>
      </c>
      <c r="G394" s="22" t="s">
        <v>1382</v>
      </c>
      <c r="H394" s="22" t="s">
        <v>1383</v>
      </c>
      <c r="I394" s="30" t="s">
        <v>1384</v>
      </c>
      <c r="J394" s="30" t="s">
        <v>72</v>
      </c>
      <c r="K394" s="30"/>
      <c r="L394" s="39"/>
    </row>
    <row r="395" spans="1:12">
      <c r="A395" s="42" t="s">
        <v>95</v>
      </c>
      <c r="B395" s="34" t="s">
        <v>1385</v>
      </c>
      <c r="C395" s="34" t="s">
        <v>97</v>
      </c>
      <c r="D395" s="34" t="s">
        <v>1386</v>
      </c>
      <c r="E395" s="34" t="s">
        <v>1387</v>
      </c>
      <c r="F395" s="34" t="s">
        <v>40</v>
      </c>
      <c r="G395" s="16" t="s">
        <v>1388</v>
      </c>
      <c r="H395" s="16" t="s">
        <v>1389</v>
      </c>
      <c r="I395" s="34" t="s">
        <v>1384</v>
      </c>
      <c r="J395" s="34" t="s">
        <v>72</v>
      </c>
      <c r="K395" s="34"/>
      <c r="L395" s="38"/>
    </row>
    <row r="396" spans="1:12">
      <c r="A396" s="41" t="s">
        <v>106</v>
      </c>
      <c r="B396" s="30" t="s">
        <v>1390</v>
      </c>
      <c r="C396" s="30" t="s">
        <v>37</v>
      </c>
      <c r="D396" s="30" t="s">
        <v>1391</v>
      </c>
      <c r="E396" s="30" t="s">
        <v>1392</v>
      </c>
      <c r="F396" s="30" t="s">
        <v>40</v>
      </c>
      <c r="G396" s="22" t="s">
        <v>1393</v>
      </c>
      <c r="H396" s="22" t="s">
        <v>1394</v>
      </c>
      <c r="I396" s="30" t="s">
        <v>32</v>
      </c>
      <c r="J396" s="30" t="s">
        <v>72</v>
      </c>
      <c r="K396" s="30"/>
      <c r="L396" s="39"/>
    </row>
    <row r="397" spans="1:12">
      <c r="A397" s="42" t="s">
        <v>106</v>
      </c>
      <c r="B397" s="34" t="s">
        <v>1395</v>
      </c>
      <c r="C397" s="34" t="s">
        <v>108</v>
      </c>
      <c r="D397" s="34" t="s">
        <v>1396</v>
      </c>
      <c r="E397" s="34" t="s">
        <v>1397</v>
      </c>
      <c r="F397" s="34" t="s">
        <v>40</v>
      </c>
      <c r="G397" s="16" t="s">
        <v>1398</v>
      </c>
      <c r="H397" s="16" t="s">
        <v>1399</v>
      </c>
      <c r="I397" s="34" t="s">
        <v>32</v>
      </c>
      <c r="J397" s="34" t="s">
        <v>72</v>
      </c>
      <c r="K397" s="34"/>
      <c r="L397" s="38"/>
    </row>
    <row r="398" spans="1:12">
      <c r="A398" s="41" t="s">
        <v>106</v>
      </c>
      <c r="B398" s="30" t="s">
        <v>1400</v>
      </c>
      <c r="C398" s="30" t="s">
        <v>49</v>
      </c>
      <c r="D398" s="30" t="s">
        <v>1401</v>
      </c>
      <c r="E398" s="30" t="s">
        <v>1402</v>
      </c>
      <c r="F398" s="30" t="s">
        <v>40</v>
      </c>
      <c r="G398" s="22" t="s">
        <v>1403</v>
      </c>
      <c r="H398" s="22" t="s">
        <v>1404</v>
      </c>
      <c r="I398" s="30" t="s">
        <v>1360</v>
      </c>
      <c r="J398" s="30" t="s">
        <v>72</v>
      </c>
      <c r="K398" s="30" t="s">
        <v>1082</v>
      </c>
      <c r="L398" s="39" t="s">
        <v>1405</v>
      </c>
    </row>
    <row r="399" spans="1:12">
      <c r="A399" s="42" t="s">
        <v>20</v>
      </c>
      <c r="B399" s="34" t="s">
        <v>1406</v>
      </c>
      <c r="C399" s="34" t="s">
        <v>21</v>
      </c>
      <c r="D399" s="34" t="s">
        <v>1407</v>
      </c>
      <c r="E399" s="34" t="s">
        <v>1408</v>
      </c>
      <c r="F399" s="34" t="s">
        <v>40</v>
      </c>
      <c r="G399" s="16" t="s">
        <v>1409</v>
      </c>
      <c r="H399" s="16" t="s">
        <v>1410</v>
      </c>
      <c r="I399" s="34" t="s">
        <v>1411</v>
      </c>
      <c r="J399" s="34" t="s">
        <v>94</v>
      </c>
      <c r="K399" s="34"/>
      <c r="L399" s="38"/>
    </row>
    <row r="400" spans="1:12">
      <c r="A400" s="41" t="s">
        <v>20</v>
      </c>
      <c r="B400" s="30" t="s">
        <v>1412</v>
      </c>
      <c r="C400" s="30" t="s">
        <v>13</v>
      </c>
      <c r="D400" s="30" t="s">
        <v>1413</v>
      </c>
      <c r="E400" s="30" t="s">
        <v>1414</v>
      </c>
      <c r="F400" s="30" t="s">
        <v>40</v>
      </c>
      <c r="G400" s="22" t="s">
        <v>1415</v>
      </c>
      <c r="H400" s="22" t="s">
        <v>1416</v>
      </c>
      <c r="I400" s="30" t="s">
        <v>1417</v>
      </c>
      <c r="J400" s="30" t="s">
        <v>94</v>
      </c>
      <c r="K400" s="30"/>
      <c r="L400" s="39"/>
    </row>
    <row r="401" spans="1:12">
      <c r="A401" s="42" t="s">
        <v>20</v>
      </c>
      <c r="B401" s="34" t="s">
        <v>1418</v>
      </c>
      <c r="C401" s="34" t="s">
        <v>13</v>
      </c>
      <c r="D401" s="34" t="s">
        <v>1296</v>
      </c>
      <c r="E401" s="34" t="s">
        <v>1419</v>
      </c>
      <c r="F401" s="34" t="s">
        <v>40</v>
      </c>
      <c r="G401" s="16" t="s">
        <v>1420</v>
      </c>
      <c r="H401" s="16" t="s">
        <v>1421</v>
      </c>
      <c r="I401" s="34" t="s">
        <v>299</v>
      </c>
      <c r="J401" s="34" t="s">
        <v>72</v>
      </c>
      <c r="K401" s="34"/>
      <c r="L401" s="38"/>
    </row>
    <row r="402" spans="1:12">
      <c r="A402" s="41" t="s">
        <v>106</v>
      </c>
      <c r="B402" s="30" t="s">
        <v>1422</v>
      </c>
      <c r="C402" s="31" t="s">
        <v>108</v>
      </c>
      <c r="D402" s="31" t="s">
        <v>1423</v>
      </c>
      <c r="E402" s="31" t="s">
        <v>1424</v>
      </c>
      <c r="F402" s="31" t="s">
        <v>40</v>
      </c>
      <c r="G402" s="22" t="s">
        <v>1425</v>
      </c>
      <c r="H402" s="22" t="s">
        <v>1426</v>
      </c>
      <c r="I402" s="31" t="s">
        <v>946</v>
      </c>
      <c r="J402" s="31" t="s">
        <v>72</v>
      </c>
      <c r="K402" s="31"/>
      <c r="L402" s="32"/>
    </row>
    <row r="403" spans="1:12">
      <c r="A403" s="1" t="s">
        <v>106</v>
      </c>
      <c r="B403" s="34" t="s">
        <v>1427</v>
      </c>
      <c r="C403" s="35" t="s">
        <v>108</v>
      </c>
      <c r="D403" s="35" t="s">
        <v>1428</v>
      </c>
      <c r="E403" s="35" t="s">
        <v>1429</v>
      </c>
      <c r="F403" s="35" t="s">
        <v>40</v>
      </c>
      <c r="G403" s="16" t="s">
        <v>1430</v>
      </c>
      <c r="H403" s="16" t="s">
        <v>1431</v>
      </c>
      <c r="I403" s="35" t="s">
        <v>32</v>
      </c>
      <c r="J403" s="35" t="s">
        <v>72</v>
      </c>
      <c r="K403" s="35"/>
      <c r="L403" s="36"/>
    </row>
    <row r="404" spans="1:12">
      <c r="A404" s="19" t="s">
        <v>20</v>
      </c>
      <c r="B404" s="30" t="s">
        <v>1432</v>
      </c>
      <c r="C404" s="31" t="s">
        <v>13</v>
      </c>
      <c r="D404" s="31" t="s">
        <v>1433</v>
      </c>
      <c r="E404" s="31" t="s">
        <v>1434</v>
      </c>
      <c r="F404" s="31" t="s">
        <v>40</v>
      </c>
      <c r="G404" s="22" t="s">
        <v>1435</v>
      </c>
      <c r="H404" s="22" t="s">
        <v>1436</v>
      </c>
      <c r="I404" s="31" t="s">
        <v>1437</v>
      </c>
      <c r="J404" s="31" t="s">
        <v>72</v>
      </c>
      <c r="K404" s="31"/>
      <c r="L404" s="32"/>
    </row>
    <row r="405" spans="1:12">
      <c r="A405" s="1" t="s">
        <v>95</v>
      </c>
      <c r="B405" s="34" t="s">
        <v>1438</v>
      </c>
      <c r="C405" s="35" t="s">
        <v>97</v>
      </c>
      <c r="D405" s="35" t="s">
        <v>1439</v>
      </c>
      <c r="E405" s="35" t="s">
        <v>1440</v>
      </c>
      <c r="F405" s="35" t="s">
        <v>40</v>
      </c>
      <c r="G405" s="16" t="s">
        <v>1441</v>
      </c>
      <c r="H405" s="16" t="s">
        <v>1442</v>
      </c>
      <c r="I405" s="35" t="s">
        <v>32</v>
      </c>
      <c r="J405" s="35" t="s">
        <v>94</v>
      </c>
      <c r="K405" s="35"/>
      <c r="L405" s="36"/>
    </row>
    <row r="406" spans="1:12">
      <c r="A406" s="19" t="s">
        <v>20</v>
      </c>
      <c r="B406" s="30" t="s">
        <v>1443</v>
      </c>
      <c r="C406" s="31" t="s">
        <v>13</v>
      </c>
      <c r="D406" s="31" t="s">
        <v>1296</v>
      </c>
      <c r="E406" s="31" t="s">
        <v>1444</v>
      </c>
      <c r="F406" s="31" t="s">
        <v>40</v>
      </c>
      <c r="G406" s="22" t="s">
        <v>1445</v>
      </c>
      <c r="H406" s="22" t="s">
        <v>1446</v>
      </c>
      <c r="I406" s="31" t="s">
        <v>299</v>
      </c>
      <c r="J406" s="31" t="s">
        <v>72</v>
      </c>
      <c r="K406" s="31"/>
      <c r="L406" s="32"/>
    </row>
    <row r="407" spans="1:12">
      <c r="A407" s="42" t="s">
        <v>20</v>
      </c>
      <c r="B407" s="34" t="s">
        <v>1447</v>
      </c>
      <c r="C407" s="35" t="s">
        <v>13</v>
      </c>
      <c r="D407" s="35" t="s">
        <v>1448</v>
      </c>
      <c r="E407" s="35" t="s">
        <v>1449</v>
      </c>
      <c r="F407" s="35" t="s">
        <v>40</v>
      </c>
      <c r="G407" s="16" t="s">
        <v>1450</v>
      </c>
      <c r="H407" s="16" t="s">
        <v>1451</v>
      </c>
      <c r="I407" s="35" t="s">
        <v>149</v>
      </c>
      <c r="J407" s="35" t="s">
        <v>72</v>
      </c>
      <c r="K407" s="35"/>
      <c r="L407" s="36"/>
    </row>
    <row r="408" spans="1:12">
      <c r="A408" s="41" t="s">
        <v>20</v>
      </c>
      <c r="B408" s="30" t="s">
        <v>1452</v>
      </c>
      <c r="C408" s="31" t="s">
        <v>13</v>
      </c>
      <c r="D408" s="31" t="s">
        <v>1296</v>
      </c>
      <c r="E408" s="31" t="s">
        <v>1453</v>
      </c>
      <c r="F408" s="31" t="s">
        <v>40</v>
      </c>
      <c r="G408" s="22" t="s">
        <v>1454</v>
      </c>
      <c r="H408" s="22" t="s">
        <v>1455</v>
      </c>
      <c r="I408" s="31" t="s">
        <v>299</v>
      </c>
      <c r="J408" s="31" t="s">
        <v>72</v>
      </c>
      <c r="K408" s="31"/>
      <c r="L408" s="32"/>
    </row>
    <row r="409" spans="1:12">
      <c r="A409" s="42" t="s">
        <v>20</v>
      </c>
      <c r="B409" s="34" t="s">
        <v>1456</v>
      </c>
      <c r="C409" s="35" t="s">
        <v>13</v>
      </c>
      <c r="D409" s="35" t="s">
        <v>1457</v>
      </c>
      <c r="E409" s="35" t="s">
        <v>1458</v>
      </c>
      <c r="F409" s="35" t="s">
        <v>40</v>
      </c>
      <c r="G409" s="16" t="s">
        <v>1459</v>
      </c>
      <c r="H409" s="16" t="s">
        <v>1460</v>
      </c>
      <c r="I409" s="35" t="s">
        <v>74</v>
      </c>
      <c r="J409" s="35" t="s">
        <v>72</v>
      </c>
      <c r="K409" s="35"/>
      <c r="L409" s="36"/>
    </row>
    <row r="410" spans="1:12">
      <c r="A410" s="41" t="s">
        <v>106</v>
      </c>
      <c r="B410" s="30" t="s">
        <v>1461</v>
      </c>
      <c r="C410" s="31" t="s">
        <v>108</v>
      </c>
      <c r="D410" s="31" t="s">
        <v>1428</v>
      </c>
      <c r="E410" s="31" t="s">
        <v>1462</v>
      </c>
      <c r="F410" s="31" t="s">
        <v>40</v>
      </c>
      <c r="G410" s="22" t="s">
        <v>1463</v>
      </c>
      <c r="H410" s="22" t="s">
        <v>1464</v>
      </c>
      <c r="I410" s="31" t="s">
        <v>32</v>
      </c>
      <c r="J410" s="31" t="s">
        <v>72</v>
      </c>
      <c r="K410" s="31"/>
      <c r="L410" s="32"/>
    </row>
    <row r="411" spans="1:12">
      <c r="A411" s="42" t="s">
        <v>106</v>
      </c>
      <c r="B411" s="34" t="s">
        <v>1465</v>
      </c>
      <c r="C411" s="53" t="s">
        <v>108</v>
      </c>
      <c r="D411" s="53" t="s">
        <v>1466</v>
      </c>
      <c r="E411" s="53" t="s">
        <v>1467</v>
      </c>
      <c r="F411" s="53" t="s">
        <v>40</v>
      </c>
      <c r="G411" s="16" t="s">
        <v>1468</v>
      </c>
      <c r="H411" s="16" t="s">
        <v>1469</v>
      </c>
      <c r="I411" s="58" t="s">
        <v>1470</v>
      </c>
      <c r="J411" s="59" t="s">
        <v>94</v>
      </c>
      <c r="K411" s="59"/>
      <c r="L411" s="60"/>
    </row>
    <row r="412" spans="1:12">
      <c r="A412" s="41" t="s">
        <v>20</v>
      </c>
      <c r="B412" s="30" t="s">
        <v>1471</v>
      </c>
      <c r="C412" s="61" t="s">
        <v>21</v>
      </c>
      <c r="D412" s="61" t="s">
        <v>1472</v>
      </c>
      <c r="E412" s="61" t="s">
        <v>1473</v>
      </c>
      <c r="F412" s="61" t="s">
        <v>40</v>
      </c>
      <c r="G412" s="22" t="s">
        <v>1474</v>
      </c>
      <c r="H412" s="22" t="s">
        <v>1475</v>
      </c>
      <c r="I412" s="62" t="s">
        <v>64</v>
      </c>
      <c r="J412" s="63" t="s">
        <v>94</v>
      </c>
      <c r="K412" s="63"/>
      <c r="L412" s="64"/>
    </row>
    <row r="413" spans="1:12">
      <c r="A413" s="42" t="s">
        <v>20</v>
      </c>
      <c r="B413" s="34" t="s">
        <v>1476</v>
      </c>
      <c r="C413" s="53" t="s">
        <v>13</v>
      </c>
      <c r="D413" s="53" t="s">
        <v>1477</v>
      </c>
      <c r="E413" s="53" t="s">
        <v>1478</v>
      </c>
      <c r="F413" s="53" t="s">
        <v>40</v>
      </c>
      <c r="G413" s="16" t="s">
        <v>1479</v>
      </c>
      <c r="H413" s="16" t="s">
        <v>1480</v>
      </c>
      <c r="I413" s="58" t="s">
        <v>32</v>
      </c>
      <c r="J413" s="59" t="s">
        <v>94</v>
      </c>
      <c r="K413" s="59"/>
      <c r="L413" s="50"/>
    </row>
    <row r="414" spans="1:12">
      <c r="A414" s="41" t="s">
        <v>20</v>
      </c>
      <c r="B414" s="30" t="s">
        <v>1481</v>
      </c>
      <c r="C414" s="61" t="s">
        <v>21</v>
      </c>
      <c r="D414" s="61" t="s">
        <v>1482</v>
      </c>
      <c r="E414" s="61" t="s">
        <v>1483</v>
      </c>
      <c r="F414" s="61" t="s">
        <v>40</v>
      </c>
      <c r="G414" s="22" t="s">
        <v>1484</v>
      </c>
      <c r="H414" s="22" t="s">
        <v>1485</v>
      </c>
      <c r="I414" s="62" t="s">
        <v>64</v>
      </c>
      <c r="J414" s="63" t="s">
        <v>94</v>
      </c>
      <c r="K414" s="63"/>
      <c r="L414" s="64"/>
    </row>
    <row r="415" spans="1:12">
      <c r="A415" s="42" t="s">
        <v>106</v>
      </c>
      <c r="B415" s="34" t="s">
        <v>1486</v>
      </c>
      <c r="C415" s="53" t="s">
        <v>333</v>
      </c>
      <c r="D415" s="53" t="s">
        <v>1487</v>
      </c>
      <c r="E415" s="53"/>
      <c r="F415" s="53" t="s">
        <v>40</v>
      </c>
      <c r="G415" s="16" t="s">
        <v>1488</v>
      </c>
      <c r="H415" s="16" t="s">
        <v>1489</v>
      </c>
      <c r="I415" s="58" t="s">
        <v>105</v>
      </c>
      <c r="J415" s="59" t="s">
        <v>72</v>
      </c>
      <c r="K415" s="59"/>
      <c r="L415" s="60"/>
    </row>
    <row r="416" spans="1:12">
      <c r="A416" s="41" t="s">
        <v>20</v>
      </c>
      <c r="B416" s="30" t="s">
        <v>1490</v>
      </c>
      <c r="C416" s="61" t="s">
        <v>13</v>
      </c>
      <c r="D416" s="61" t="s">
        <v>1491</v>
      </c>
      <c r="E416" s="61" t="s">
        <v>276</v>
      </c>
      <c r="F416" s="61" t="s">
        <v>40</v>
      </c>
      <c r="G416" s="22" t="s">
        <v>1492</v>
      </c>
      <c r="H416" s="22" t="s">
        <v>1493</v>
      </c>
      <c r="I416" s="62" t="s">
        <v>149</v>
      </c>
      <c r="J416" s="63" t="s">
        <v>72</v>
      </c>
      <c r="K416" s="63"/>
      <c r="L416" s="64"/>
    </row>
    <row r="417" spans="1:12">
      <c r="A417" s="42" t="s">
        <v>106</v>
      </c>
      <c r="B417" s="34" t="s">
        <v>1494</v>
      </c>
      <c r="C417" s="53" t="s">
        <v>108</v>
      </c>
      <c r="D417" s="53" t="s">
        <v>1428</v>
      </c>
      <c r="E417" s="53" t="s">
        <v>1495</v>
      </c>
      <c r="F417" s="53" t="s">
        <v>40</v>
      </c>
      <c r="G417" s="16" t="s">
        <v>1496</v>
      </c>
      <c r="H417" s="16" t="s">
        <v>1497</v>
      </c>
      <c r="I417" s="58" t="s">
        <v>32</v>
      </c>
      <c r="J417" s="59" t="s">
        <v>72</v>
      </c>
      <c r="K417" s="59"/>
      <c r="L417" s="50"/>
    </row>
    <row r="418" spans="1:12">
      <c r="A418" s="41" t="s">
        <v>106</v>
      </c>
      <c r="B418" s="30" t="s">
        <v>1498</v>
      </c>
      <c r="C418" s="61" t="s">
        <v>78</v>
      </c>
      <c r="D418" s="61" t="s">
        <v>1499</v>
      </c>
      <c r="E418" s="61"/>
      <c r="F418" s="61" t="s">
        <v>40</v>
      </c>
      <c r="G418" s="22" t="s">
        <v>1500</v>
      </c>
      <c r="H418" s="22" t="s">
        <v>1501</v>
      </c>
      <c r="I418" s="62" t="s">
        <v>258</v>
      </c>
      <c r="J418" s="63" t="s">
        <v>72</v>
      </c>
      <c r="K418" s="63"/>
      <c r="L418" s="64"/>
    </row>
    <row r="419" spans="1:12" ht="188.5">
      <c r="A419" s="42" t="s">
        <v>106</v>
      </c>
      <c r="B419" s="34" t="s">
        <v>1502</v>
      </c>
      <c r="C419" s="53" t="s">
        <v>313</v>
      </c>
      <c r="D419" s="65" t="s">
        <v>1503</v>
      </c>
      <c r="E419" s="53" t="s">
        <v>276</v>
      </c>
      <c r="F419" s="53" t="s">
        <v>40</v>
      </c>
      <c r="G419" s="16" t="s">
        <v>1504</v>
      </c>
      <c r="H419" s="16" t="s">
        <v>1505</v>
      </c>
      <c r="I419" s="58" t="s">
        <v>1506</v>
      </c>
      <c r="J419" s="59" t="s">
        <v>72</v>
      </c>
      <c r="K419" s="59"/>
      <c r="L419" s="60"/>
    </row>
    <row r="420" spans="1:12">
      <c r="A420" s="41" t="s">
        <v>106</v>
      </c>
      <c r="B420" s="30" t="s">
        <v>1507</v>
      </c>
      <c r="C420" s="61" t="s">
        <v>37</v>
      </c>
      <c r="D420" s="61" t="s">
        <v>1391</v>
      </c>
      <c r="E420" s="61" t="s">
        <v>1495</v>
      </c>
      <c r="F420" s="61" t="s">
        <v>40</v>
      </c>
      <c r="G420" s="22" t="s">
        <v>1508</v>
      </c>
      <c r="H420" s="22" t="s">
        <v>1509</v>
      </c>
      <c r="I420" s="62" t="s">
        <v>32</v>
      </c>
      <c r="J420" s="63" t="s">
        <v>72</v>
      </c>
      <c r="K420" s="63"/>
      <c r="L420" s="64"/>
    </row>
    <row r="421" spans="1:12">
      <c r="A421" s="42" t="s">
        <v>106</v>
      </c>
      <c r="B421" s="34" t="s">
        <v>1510</v>
      </c>
      <c r="C421" s="53" t="s">
        <v>78</v>
      </c>
      <c r="D421" s="53" t="s">
        <v>1511</v>
      </c>
      <c r="E421" s="53" t="s">
        <v>276</v>
      </c>
      <c r="F421" s="53" t="s">
        <v>40</v>
      </c>
      <c r="G421" s="16" t="s">
        <v>1512</v>
      </c>
      <c r="H421" s="16" t="s">
        <v>1513</v>
      </c>
      <c r="I421" s="58" t="s">
        <v>258</v>
      </c>
      <c r="J421" s="59" t="s">
        <v>72</v>
      </c>
      <c r="K421" s="59"/>
      <c r="L421" s="60"/>
    </row>
    <row r="422" spans="1:12">
      <c r="A422" s="41" t="s">
        <v>106</v>
      </c>
      <c r="B422" s="30" t="s">
        <v>1514</v>
      </c>
      <c r="C422" s="61" t="s">
        <v>108</v>
      </c>
      <c r="D422" s="61" t="s">
        <v>1515</v>
      </c>
      <c r="E422" s="61" t="s">
        <v>1515</v>
      </c>
      <c r="F422" s="61" t="s">
        <v>40</v>
      </c>
      <c r="G422" s="22" t="s">
        <v>1516</v>
      </c>
      <c r="H422" s="22" t="s">
        <v>1517</v>
      </c>
      <c r="I422" s="62" t="s">
        <v>1470</v>
      </c>
      <c r="J422" s="63" t="s">
        <v>94</v>
      </c>
      <c r="K422" s="63"/>
      <c r="L422" s="64"/>
    </row>
    <row r="423" spans="1:12" ht="409.5">
      <c r="A423" s="1" t="s">
        <v>20</v>
      </c>
      <c r="B423" s="34" t="s">
        <v>1514</v>
      </c>
      <c r="C423" s="53" t="s">
        <v>13</v>
      </c>
      <c r="D423" s="53" t="s">
        <v>1518</v>
      </c>
      <c r="E423" s="65" t="s">
        <v>1519</v>
      </c>
      <c r="F423" s="53" t="s">
        <v>40</v>
      </c>
      <c r="G423" s="16" t="s">
        <v>1520</v>
      </c>
      <c r="H423" s="16" t="s">
        <v>1521</v>
      </c>
      <c r="I423" s="58" t="s">
        <v>1522</v>
      </c>
      <c r="J423" s="59" t="s">
        <v>72</v>
      </c>
      <c r="K423" s="59" t="s">
        <v>94</v>
      </c>
      <c r="L423" s="36" t="s">
        <v>1523</v>
      </c>
    </row>
    <row r="424" spans="1:12">
      <c r="A424" s="19" t="s">
        <v>106</v>
      </c>
      <c r="B424" s="30" t="s">
        <v>1524</v>
      </c>
      <c r="C424" s="61" t="s">
        <v>108</v>
      </c>
      <c r="D424" s="61" t="s">
        <v>1525</v>
      </c>
      <c r="E424" s="61" t="s">
        <v>1526</v>
      </c>
      <c r="F424" s="61" t="s">
        <v>40</v>
      </c>
      <c r="G424" s="22" t="s">
        <v>1527</v>
      </c>
      <c r="H424" s="22" t="s">
        <v>1528</v>
      </c>
      <c r="I424" s="62" t="s">
        <v>32</v>
      </c>
      <c r="J424" s="63" t="s">
        <v>94</v>
      </c>
      <c r="K424" s="63"/>
      <c r="L424" s="64"/>
    </row>
    <row r="425" spans="1:12">
      <c r="A425" s="42" t="s">
        <v>20</v>
      </c>
      <c r="B425" s="34" t="s">
        <v>1529</v>
      </c>
      <c r="C425" s="53" t="s">
        <v>13</v>
      </c>
      <c r="D425" s="53" t="s">
        <v>1530</v>
      </c>
      <c r="E425" s="53" t="s">
        <v>1531</v>
      </c>
      <c r="F425" s="53" t="s">
        <v>40</v>
      </c>
      <c r="G425" s="16" t="s">
        <v>1532</v>
      </c>
      <c r="H425" s="16" t="s">
        <v>1533</v>
      </c>
      <c r="I425" s="58"/>
      <c r="J425" s="59" t="s">
        <v>94</v>
      </c>
      <c r="K425" s="59" t="s">
        <v>72</v>
      </c>
      <c r="L425" s="36" t="s">
        <v>1532</v>
      </c>
    </row>
    <row r="426" spans="1:12">
      <c r="A426" s="41" t="s">
        <v>106</v>
      </c>
      <c r="B426" s="30" t="s">
        <v>1534</v>
      </c>
      <c r="C426" s="61" t="s">
        <v>108</v>
      </c>
      <c r="D426" s="61" t="s">
        <v>1535</v>
      </c>
      <c r="E426" s="61" t="s">
        <v>1536</v>
      </c>
      <c r="F426" s="61" t="s">
        <v>40</v>
      </c>
      <c r="G426" s="22" t="s">
        <v>1537</v>
      </c>
      <c r="H426" s="22" t="s">
        <v>1538</v>
      </c>
      <c r="I426" s="62" t="s">
        <v>32</v>
      </c>
      <c r="J426" s="63" t="s">
        <v>72</v>
      </c>
      <c r="K426" s="63"/>
      <c r="L426" s="64"/>
    </row>
    <row r="427" spans="1:12">
      <c r="A427" s="42" t="s">
        <v>20</v>
      </c>
      <c r="B427" s="34" t="s">
        <v>1539</v>
      </c>
      <c r="C427" s="53" t="s">
        <v>13</v>
      </c>
      <c r="D427" s="53" t="s">
        <v>1540</v>
      </c>
      <c r="E427" s="53" t="s">
        <v>276</v>
      </c>
      <c r="F427" s="53" t="s">
        <v>40</v>
      </c>
      <c r="G427" s="16" t="s">
        <v>1541</v>
      </c>
      <c r="H427" s="16" t="s">
        <v>1542</v>
      </c>
      <c r="I427" s="58" t="s">
        <v>1543</v>
      </c>
      <c r="J427" s="59" t="s">
        <v>72</v>
      </c>
      <c r="K427" s="59"/>
      <c r="L427" s="60"/>
    </row>
    <row r="428" spans="1:12">
      <c r="A428" s="41" t="s">
        <v>106</v>
      </c>
      <c r="B428" s="30" t="s">
        <v>1544</v>
      </c>
      <c r="C428" s="61" t="s">
        <v>108</v>
      </c>
      <c r="D428" s="61" t="s">
        <v>1545</v>
      </c>
      <c r="E428" s="61" t="s">
        <v>1546</v>
      </c>
      <c r="F428" s="61" t="s">
        <v>40</v>
      </c>
      <c r="G428" s="22" t="s">
        <v>1547</v>
      </c>
      <c r="H428" s="22" t="s">
        <v>1548</v>
      </c>
      <c r="I428" s="62" t="s">
        <v>616</v>
      </c>
      <c r="J428" s="63" t="s">
        <v>72</v>
      </c>
      <c r="K428" s="63"/>
      <c r="L428" s="64"/>
    </row>
    <row r="429" spans="1:12">
      <c r="A429" s="42" t="s">
        <v>106</v>
      </c>
      <c r="B429" s="34" t="s">
        <v>1549</v>
      </c>
      <c r="C429" s="53" t="s">
        <v>108</v>
      </c>
      <c r="D429" s="53" t="s">
        <v>1550</v>
      </c>
      <c r="E429" s="53" t="s">
        <v>276</v>
      </c>
      <c r="F429" s="53" t="s">
        <v>40</v>
      </c>
      <c r="G429" s="16" t="s">
        <v>1551</v>
      </c>
      <c r="H429" s="16" t="s">
        <v>1552</v>
      </c>
      <c r="I429" s="58" t="s">
        <v>111</v>
      </c>
      <c r="J429" s="59" t="s">
        <v>72</v>
      </c>
      <c r="K429" s="59"/>
      <c r="L429" s="60"/>
    </row>
    <row r="430" spans="1:12">
      <c r="A430" s="19" t="s">
        <v>106</v>
      </c>
      <c r="B430" s="30" t="s">
        <v>1553</v>
      </c>
      <c r="C430" s="61" t="s">
        <v>108</v>
      </c>
      <c r="D430" s="61" t="s">
        <v>1554</v>
      </c>
      <c r="E430" s="61" t="s">
        <v>1555</v>
      </c>
      <c r="F430" s="61" t="s">
        <v>130</v>
      </c>
      <c r="G430" s="22" t="s">
        <v>1556</v>
      </c>
      <c r="H430" s="22"/>
      <c r="I430" s="62" t="s">
        <v>111</v>
      </c>
      <c r="J430" s="63" t="s">
        <v>94</v>
      </c>
      <c r="K430" s="63" t="s">
        <v>1557</v>
      </c>
      <c r="L430" s="64">
        <v>44965.166666666664</v>
      </c>
    </row>
    <row r="431" spans="1:12">
      <c r="A431" s="1" t="s">
        <v>20</v>
      </c>
      <c r="B431" s="34" t="s">
        <v>1558</v>
      </c>
      <c r="C431" s="53" t="s">
        <v>49</v>
      </c>
      <c r="D431" s="53" t="s">
        <v>1559</v>
      </c>
      <c r="E431" s="53" t="s">
        <v>1560</v>
      </c>
      <c r="F431" s="53" t="s">
        <v>214</v>
      </c>
      <c r="G431" s="16" t="s">
        <v>1561</v>
      </c>
      <c r="H431" s="16">
        <v>44965.581250000003</v>
      </c>
      <c r="I431" s="58" t="s">
        <v>32</v>
      </c>
      <c r="J431" s="59" t="s">
        <v>94</v>
      </c>
      <c r="K431" s="59" t="s">
        <v>101</v>
      </c>
      <c r="L431" s="60">
        <v>45140.333333333336</v>
      </c>
    </row>
    <row r="432" spans="1:12">
      <c r="A432" s="19" t="s">
        <v>20</v>
      </c>
      <c r="B432" s="30" t="s">
        <v>1558</v>
      </c>
      <c r="C432" s="61" t="s">
        <v>49</v>
      </c>
      <c r="D432" s="61" t="s">
        <v>1559</v>
      </c>
      <c r="E432" s="61" t="s">
        <v>1560</v>
      </c>
      <c r="F432" s="61" t="s">
        <v>40</v>
      </c>
      <c r="G432" s="22" t="s">
        <v>1561</v>
      </c>
      <c r="H432" s="22">
        <v>44965.697916666664</v>
      </c>
      <c r="I432" s="62" t="s">
        <v>32</v>
      </c>
      <c r="J432" s="63" t="s">
        <v>101</v>
      </c>
      <c r="K432" s="63"/>
      <c r="L432" s="64"/>
    </row>
    <row r="433" spans="1:12">
      <c r="A433" s="1" t="s">
        <v>106</v>
      </c>
      <c r="B433" s="34" t="s">
        <v>1562</v>
      </c>
      <c r="C433" s="53" t="s">
        <v>108</v>
      </c>
      <c r="D433" s="53" t="s">
        <v>1563</v>
      </c>
      <c r="E433" s="53" t="s">
        <v>1564</v>
      </c>
      <c r="F433" s="53" t="s">
        <v>40</v>
      </c>
      <c r="G433" s="16">
        <v>44965.363194444442</v>
      </c>
      <c r="H433" s="16">
        <v>44965.454861111109</v>
      </c>
      <c r="I433" s="58" t="s">
        <v>984</v>
      </c>
      <c r="J433" s="59" t="s">
        <v>101</v>
      </c>
      <c r="K433" s="59"/>
      <c r="L433" s="60"/>
    </row>
    <row r="434" spans="1:12">
      <c r="A434" s="19" t="s">
        <v>106</v>
      </c>
      <c r="B434" s="30" t="s">
        <v>1565</v>
      </c>
      <c r="C434" s="61" t="s">
        <v>380</v>
      </c>
      <c r="D434" s="61" t="s">
        <v>1566</v>
      </c>
      <c r="E434" s="61" t="s">
        <v>1567</v>
      </c>
      <c r="F434" s="61" t="s">
        <v>40</v>
      </c>
      <c r="G434" s="22">
        <v>44965.456250000003</v>
      </c>
      <c r="H434" s="22">
        <v>44965.48333333333</v>
      </c>
      <c r="I434" s="62" t="s">
        <v>383</v>
      </c>
      <c r="J434" s="63" t="s">
        <v>101</v>
      </c>
      <c r="K434" s="63"/>
      <c r="L434" s="64"/>
    </row>
    <row r="435" spans="1:12">
      <c r="A435" s="1" t="s">
        <v>106</v>
      </c>
      <c r="B435" s="34" t="s">
        <v>1568</v>
      </c>
      <c r="C435" s="53" t="s">
        <v>108</v>
      </c>
      <c r="D435" s="53" t="s">
        <v>1569</v>
      </c>
      <c r="E435" s="53" t="s">
        <v>1570</v>
      </c>
      <c r="F435" s="53" t="s">
        <v>40</v>
      </c>
      <c r="G435" s="16">
        <v>44965.48541666667</v>
      </c>
      <c r="H435" s="16">
        <v>44965.55</v>
      </c>
      <c r="I435" s="58" t="s">
        <v>111</v>
      </c>
      <c r="J435" s="59" t="s">
        <v>101</v>
      </c>
      <c r="K435" s="59"/>
      <c r="L435" s="60"/>
    </row>
    <row r="436" spans="1:12">
      <c r="A436" s="19" t="s">
        <v>106</v>
      </c>
      <c r="B436" s="30" t="s">
        <v>1571</v>
      </c>
      <c r="C436" s="61" t="s">
        <v>108</v>
      </c>
      <c r="D436" s="61" t="s">
        <v>1572</v>
      </c>
      <c r="E436" s="61" t="s">
        <v>1573</v>
      </c>
      <c r="F436" s="61" t="s">
        <v>40</v>
      </c>
      <c r="G436" s="22">
        <v>44965.490277777775</v>
      </c>
      <c r="H436" s="22">
        <v>44965.530555555553</v>
      </c>
      <c r="I436" s="62" t="s">
        <v>111</v>
      </c>
      <c r="J436" s="63" t="s">
        <v>101</v>
      </c>
      <c r="K436" s="63"/>
      <c r="L436" s="64"/>
    </row>
    <row r="437" spans="1:12">
      <c r="A437" s="1" t="s">
        <v>20</v>
      </c>
      <c r="B437" s="66" t="s">
        <v>1574</v>
      </c>
      <c r="C437" s="53" t="s">
        <v>13</v>
      </c>
      <c r="D437" s="53" t="s">
        <v>1575</v>
      </c>
      <c r="E437" s="53" t="s">
        <v>1576</v>
      </c>
      <c r="F437" s="53" t="s">
        <v>40</v>
      </c>
      <c r="G437" s="16">
        <v>44965.597916666666</v>
      </c>
      <c r="H437" s="16">
        <v>44965.643750000003</v>
      </c>
      <c r="I437" s="58" t="s">
        <v>1577</v>
      </c>
      <c r="J437" s="59" t="s">
        <v>101</v>
      </c>
      <c r="K437" s="59"/>
      <c r="L437" s="60"/>
    </row>
    <row r="438" spans="1:12">
      <c r="A438" s="19" t="s">
        <v>20</v>
      </c>
      <c r="B438" s="30" t="s">
        <v>1578</v>
      </c>
      <c r="C438" s="61" t="s">
        <v>49</v>
      </c>
      <c r="D438" s="61" t="s">
        <v>1579</v>
      </c>
      <c r="E438" s="61" t="s">
        <v>1580</v>
      </c>
      <c r="F438" s="61" t="s">
        <v>40</v>
      </c>
      <c r="G438" s="22" t="s">
        <v>1581</v>
      </c>
      <c r="H438" s="22">
        <v>44965.835416666669</v>
      </c>
      <c r="I438" s="62" t="s">
        <v>1582</v>
      </c>
      <c r="J438" s="63" t="s">
        <v>88</v>
      </c>
      <c r="K438" s="63"/>
      <c r="L438" s="64"/>
    </row>
    <row r="439" spans="1:12">
      <c r="A439" s="1" t="s">
        <v>106</v>
      </c>
      <c r="B439" s="34" t="s">
        <v>1583</v>
      </c>
      <c r="C439" s="53" t="s">
        <v>380</v>
      </c>
      <c r="D439" s="53" t="s">
        <v>651</v>
      </c>
      <c r="E439" s="53" t="s">
        <v>1584</v>
      </c>
      <c r="F439" s="53" t="s">
        <v>40</v>
      </c>
      <c r="G439" s="16" t="s">
        <v>1585</v>
      </c>
      <c r="H439" s="16">
        <v>44993.654861111114</v>
      </c>
      <c r="I439" s="58" t="s">
        <v>383</v>
      </c>
      <c r="J439" s="59" t="s">
        <v>101</v>
      </c>
      <c r="K439" s="59"/>
      <c r="L439" s="60"/>
    </row>
    <row r="440" spans="1:12">
      <c r="A440" s="19" t="s">
        <v>20</v>
      </c>
      <c r="B440" s="30" t="s">
        <v>1586</v>
      </c>
      <c r="C440" s="61" t="s">
        <v>49</v>
      </c>
      <c r="D440" s="61" t="s">
        <v>1587</v>
      </c>
      <c r="E440" s="61" t="s">
        <v>1588</v>
      </c>
      <c r="F440" s="61" t="s">
        <v>40</v>
      </c>
      <c r="G440" s="22" t="s">
        <v>1589</v>
      </c>
      <c r="H440" s="22">
        <v>44993.902777777781</v>
      </c>
      <c r="I440" s="62" t="s">
        <v>1590</v>
      </c>
      <c r="J440" s="63" t="s">
        <v>101</v>
      </c>
      <c r="K440" s="63"/>
      <c r="L440" s="64"/>
    </row>
    <row r="441" spans="1:12">
      <c r="A441" s="1" t="s">
        <v>20</v>
      </c>
      <c r="B441" s="34" t="s">
        <v>1586</v>
      </c>
      <c r="C441" s="53" t="s">
        <v>49</v>
      </c>
      <c r="D441" s="53" t="s">
        <v>1587</v>
      </c>
      <c r="E441" s="53" t="s">
        <v>1588</v>
      </c>
      <c r="F441" s="53" t="s">
        <v>40</v>
      </c>
      <c r="G441" s="16"/>
      <c r="H441" s="16"/>
      <c r="I441" s="58"/>
      <c r="J441" s="59" t="s">
        <v>101</v>
      </c>
      <c r="K441" s="59"/>
      <c r="L441" s="60"/>
    </row>
    <row r="442" spans="1:12">
      <c r="A442" s="19" t="s">
        <v>20</v>
      </c>
      <c r="B442" s="30" t="s">
        <v>1591</v>
      </c>
      <c r="C442" s="61" t="s">
        <v>49</v>
      </c>
      <c r="D442" s="61" t="s">
        <v>1592</v>
      </c>
      <c r="E442" s="61" t="s">
        <v>1593</v>
      </c>
      <c r="F442" s="61" t="s">
        <v>40</v>
      </c>
      <c r="G442" s="22">
        <v>44993.797222222223</v>
      </c>
      <c r="H442" s="22">
        <v>44993.832638888889</v>
      </c>
      <c r="I442" s="62" t="s">
        <v>1582</v>
      </c>
      <c r="J442" s="63" t="s">
        <v>88</v>
      </c>
      <c r="K442" s="63"/>
      <c r="L442" s="64"/>
    </row>
    <row r="443" spans="1:12">
      <c r="A443" s="1" t="s">
        <v>20</v>
      </c>
      <c r="B443" s="34" t="s">
        <v>1594</v>
      </c>
      <c r="C443" s="53" t="s">
        <v>49</v>
      </c>
      <c r="D443" s="53" t="s">
        <v>1595</v>
      </c>
      <c r="E443" s="53" t="s">
        <v>1596</v>
      </c>
      <c r="F443" s="53" t="s">
        <v>40</v>
      </c>
      <c r="G443" s="16">
        <v>44993.981249999997</v>
      </c>
      <c r="H443" s="16">
        <v>44993.020833333336</v>
      </c>
      <c r="I443" s="58" t="s">
        <v>32</v>
      </c>
      <c r="J443" s="59" t="s">
        <v>88</v>
      </c>
      <c r="K443" s="59"/>
      <c r="L443" s="60"/>
    </row>
    <row r="444" spans="1:12">
      <c r="A444" s="19" t="s">
        <v>95</v>
      </c>
      <c r="B444" s="30" t="s">
        <v>1597</v>
      </c>
      <c r="C444" s="61" t="s">
        <v>97</v>
      </c>
      <c r="D444" s="61" t="s">
        <v>1598</v>
      </c>
      <c r="E444" s="61" t="s">
        <v>1599</v>
      </c>
      <c r="F444" s="61" t="s">
        <v>40</v>
      </c>
      <c r="G444" s="22">
        <v>45024.140277777777</v>
      </c>
      <c r="H444" s="22">
        <v>45024.174305555556</v>
      </c>
      <c r="I444" s="62" t="s">
        <v>32</v>
      </c>
      <c r="J444" s="63" t="s">
        <v>88</v>
      </c>
      <c r="K444" s="63"/>
      <c r="L444" s="64"/>
    </row>
    <row r="445" spans="1:12">
      <c r="A445" s="1" t="s">
        <v>20</v>
      </c>
      <c r="B445" s="34" t="s">
        <v>1600</v>
      </c>
      <c r="C445" s="53" t="s">
        <v>49</v>
      </c>
      <c r="D445" s="53" t="s">
        <v>1601</v>
      </c>
      <c r="E445" s="53" t="s">
        <v>1602</v>
      </c>
      <c r="F445" s="53" t="s">
        <v>40</v>
      </c>
      <c r="G445" s="16">
        <v>45024.175694444442</v>
      </c>
      <c r="H445" s="16">
        <v>45024.180555555555</v>
      </c>
      <c r="I445" s="58" t="s">
        <v>1603</v>
      </c>
      <c r="J445" s="59" t="s">
        <v>88</v>
      </c>
      <c r="K445" s="59"/>
      <c r="L445" s="60"/>
    </row>
    <row r="446" spans="1:12">
      <c r="A446" s="19" t="s">
        <v>20</v>
      </c>
      <c r="B446" s="30" t="s">
        <v>1604</v>
      </c>
      <c r="C446" s="61" t="s">
        <v>49</v>
      </c>
      <c r="D446" s="61" t="s">
        <v>1605</v>
      </c>
      <c r="E446" s="61" t="s">
        <v>1606</v>
      </c>
      <c r="F446" s="61" t="s">
        <v>40</v>
      </c>
      <c r="G446" s="22" t="s">
        <v>1607</v>
      </c>
      <c r="H446" s="22">
        <v>45024.375</v>
      </c>
      <c r="I446" s="62" t="s">
        <v>32</v>
      </c>
      <c r="J446" s="63" t="s">
        <v>101</v>
      </c>
      <c r="K446" s="63"/>
      <c r="L446" s="64"/>
    </row>
    <row r="447" spans="1:12">
      <c r="A447" s="1" t="s">
        <v>106</v>
      </c>
      <c r="B447" s="34" t="s">
        <v>1608</v>
      </c>
      <c r="C447" s="53" t="s">
        <v>380</v>
      </c>
      <c r="D447" s="53" t="s">
        <v>651</v>
      </c>
      <c r="E447" s="53" t="s">
        <v>1584</v>
      </c>
      <c r="F447" s="53" t="s">
        <v>40</v>
      </c>
      <c r="G447" s="16" t="s">
        <v>1609</v>
      </c>
      <c r="H447" s="16">
        <v>45024.40625</v>
      </c>
      <c r="I447" s="58" t="s">
        <v>383</v>
      </c>
      <c r="J447" s="59" t="s">
        <v>101</v>
      </c>
      <c r="K447" s="59"/>
      <c r="L447" s="60"/>
    </row>
    <row r="448" spans="1:12" ht="159.5">
      <c r="A448" s="19" t="s">
        <v>95</v>
      </c>
      <c r="B448" s="30" t="s">
        <v>1610</v>
      </c>
      <c r="C448" s="61" t="s">
        <v>118</v>
      </c>
      <c r="D448" s="61" t="s">
        <v>1611</v>
      </c>
      <c r="E448" s="67" t="s">
        <v>1612</v>
      </c>
      <c r="F448" s="61" t="s">
        <v>40</v>
      </c>
      <c r="G448" s="22" t="s">
        <v>1613</v>
      </c>
      <c r="H448" s="22">
        <v>45024.532638888886</v>
      </c>
      <c r="I448" s="62" t="s">
        <v>32</v>
      </c>
      <c r="J448" s="63" t="s">
        <v>101</v>
      </c>
      <c r="K448" s="63"/>
      <c r="L448" s="64"/>
    </row>
    <row r="449" spans="1:12">
      <c r="A449" s="1" t="s">
        <v>106</v>
      </c>
      <c r="B449" s="34" t="s">
        <v>1614</v>
      </c>
      <c r="C449" s="53" t="s">
        <v>313</v>
      </c>
      <c r="D449" s="53" t="s">
        <v>1615</v>
      </c>
      <c r="E449" s="53" t="s">
        <v>1616</v>
      </c>
      <c r="F449" s="53" t="s">
        <v>40</v>
      </c>
      <c r="G449" s="16" t="s">
        <v>1617</v>
      </c>
      <c r="H449" s="16">
        <v>45024.61041666667</v>
      </c>
      <c r="I449" s="58" t="s">
        <v>32</v>
      </c>
      <c r="J449" s="59" t="s">
        <v>101</v>
      </c>
      <c r="K449" s="59"/>
      <c r="L449" s="60"/>
    </row>
    <row r="450" spans="1:12">
      <c r="A450" s="19" t="s">
        <v>20</v>
      </c>
      <c r="B450" s="30" t="s">
        <v>1618</v>
      </c>
      <c r="C450" s="61" t="s">
        <v>49</v>
      </c>
      <c r="D450" s="61" t="s">
        <v>1619</v>
      </c>
      <c r="E450" s="61" t="s">
        <v>1620</v>
      </c>
      <c r="F450" s="61" t="s">
        <v>40</v>
      </c>
      <c r="G450" s="22" t="s">
        <v>1621</v>
      </c>
      <c r="H450" s="22">
        <v>45024.55</v>
      </c>
      <c r="I450" s="62" t="s">
        <v>1590</v>
      </c>
      <c r="J450" s="63" t="s">
        <v>101</v>
      </c>
      <c r="K450" s="63"/>
      <c r="L450" s="64"/>
    </row>
    <row r="451" spans="1:12">
      <c r="A451" s="1" t="s">
        <v>106</v>
      </c>
      <c r="B451" s="34" t="s">
        <v>1622</v>
      </c>
      <c r="C451" s="53" t="s">
        <v>108</v>
      </c>
      <c r="D451" s="53" t="s">
        <v>1623</v>
      </c>
      <c r="E451" s="53" t="s">
        <v>1624</v>
      </c>
      <c r="F451" s="53" t="s">
        <v>40</v>
      </c>
      <c r="G451" s="16">
        <v>45024.441666666666</v>
      </c>
      <c r="H451" s="16">
        <v>45024.463888888888</v>
      </c>
      <c r="I451" s="58"/>
      <c r="J451" s="59" t="s">
        <v>88</v>
      </c>
      <c r="K451" s="59"/>
      <c r="L451" s="60"/>
    </row>
    <row r="452" spans="1:12">
      <c r="A452" s="19" t="s">
        <v>20</v>
      </c>
      <c r="B452" s="30" t="s">
        <v>1625</v>
      </c>
      <c r="C452" s="61" t="s">
        <v>21</v>
      </c>
      <c r="D452" s="61" t="s">
        <v>1626</v>
      </c>
      <c r="E452" s="61" t="s">
        <v>1627</v>
      </c>
      <c r="F452" s="61" t="s">
        <v>40</v>
      </c>
      <c r="G452" s="22">
        <v>45024.942361111112</v>
      </c>
      <c r="H452" s="22">
        <v>45024.963194444441</v>
      </c>
      <c r="I452" s="62" t="s">
        <v>1628</v>
      </c>
      <c r="J452" s="63" t="s">
        <v>88</v>
      </c>
      <c r="K452" s="63"/>
      <c r="L452" s="64"/>
    </row>
    <row r="453" spans="1:12">
      <c r="A453" s="1" t="s">
        <v>20</v>
      </c>
      <c r="B453" s="34" t="s">
        <v>1629</v>
      </c>
      <c r="C453" s="53" t="s">
        <v>21</v>
      </c>
      <c r="D453" s="53" t="s">
        <v>1630</v>
      </c>
      <c r="E453" s="53" t="s">
        <v>1631</v>
      </c>
      <c r="F453" s="53" t="s">
        <v>40</v>
      </c>
      <c r="G453" s="16">
        <v>45024.9375</v>
      </c>
      <c r="H453" s="16">
        <v>45024.962500000001</v>
      </c>
      <c r="I453" s="58" t="s">
        <v>1628</v>
      </c>
      <c r="J453" s="59" t="s">
        <v>88</v>
      </c>
      <c r="K453" s="59"/>
      <c r="L453" s="60"/>
    </row>
    <row r="454" spans="1:12">
      <c r="A454" s="19" t="s">
        <v>20</v>
      </c>
      <c r="B454" s="30" t="s">
        <v>1632</v>
      </c>
      <c r="C454" s="61" t="s">
        <v>21</v>
      </c>
      <c r="D454" s="61" t="s">
        <v>1633</v>
      </c>
      <c r="E454" s="61" t="s">
        <v>1634</v>
      </c>
      <c r="F454" s="61" t="s">
        <v>40</v>
      </c>
      <c r="G454" s="22">
        <v>45024.945138888892</v>
      </c>
      <c r="H454" s="22">
        <v>45024.963194444441</v>
      </c>
      <c r="I454" s="62" t="s">
        <v>1628</v>
      </c>
      <c r="J454" s="63" t="s">
        <v>88</v>
      </c>
      <c r="K454" s="63"/>
      <c r="L454" s="64"/>
    </row>
    <row r="455" spans="1:12">
      <c r="A455" s="1" t="s">
        <v>20</v>
      </c>
      <c r="B455" s="34" t="s">
        <v>1635</v>
      </c>
      <c r="C455" s="53" t="s">
        <v>21</v>
      </c>
      <c r="D455" s="53" t="s">
        <v>1636</v>
      </c>
      <c r="E455" s="53" t="s">
        <v>1637</v>
      </c>
      <c r="F455" s="53" t="s">
        <v>40</v>
      </c>
      <c r="G455" s="16">
        <v>45024.954861111109</v>
      </c>
      <c r="H455" s="16">
        <v>45024.965277777781</v>
      </c>
      <c r="I455" s="58" t="s">
        <v>1628</v>
      </c>
      <c r="J455" s="59" t="s">
        <v>88</v>
      </c>
      <c r="K455" s="59"/>
      <c r="L455" s="60"/>
    </row>
    <row r="456" spans="1:12">
      <c r="A456" s="19" t="s">
        <v>20</v>
      </c>
      <c r="B456" s="30" t="s">
        <v>1638</v>
      </c>
      <c r="C456" s="61" t="s">
        <v>21</v>
      </c>
      <c r="D456" s="61" t="s">
        <v>1639</v>
      </c>
      <c r="E456" s="61" t="s">
        <v>1640</v>
      </c>
      <c r="F456" s="61" t="s">
        <v>40</v>
      </c>
      <c r="G456" s="22">
        <v>45024.979861111111</v>
      </c>
      <c r="H456" s="22">
        <v>45054.111111111109</v>
      </c>
      <c r="I456" s="62" t="s">
        <v>1628</v>
      </c>
      <c r="J456" s="63" t="s">
        <v>88</v>
      </c>
      <c r="K456" s="63"/>
      <c r="L456" s="64"/>
    </row>
    <row r="457" spans="1:12">
      <c r="A457" s="1" t="s">
        <v>20</v>
      </c>
      <c r="B457" s="34" t="s">
        <v>1641</v>
      </c>
      <c r="C457" s="53" t="s">
        <v>21</v>
      </c>
      <c r="D457" s="53" t="s">
        <v>1642</v>
      </c>
      <c r="E457" s="53" t="s">
        <v>1643</v>
      </c>
      <c r="F457" s="53" t="s">
        <v>40</v>
      </c>
      <c r="G457" s="16">
        <v>45054.112500000003</v>
      </c>
      <c r="H457" s="16">
        <v>45054.17291666667</v>
      </c>
      <c r="I457" s="58" t="s">
        <v>1644</v>
      </c>
      <c r="J457" s="59" t="s">
        <v>88</v>
      </c>
      <c r="K457" s="59"/>
      <c r="L457" s="60"/>
    </row>
    <row r="458" spans="1:12">
      <c r="A458" s="19" t="s">
        <v>20</v>
      </c>
      <c r="B458" s="30" t="s">
        <v>1645</v>
      </c>
      <c r="C458" s="61" t="s">
        <v>21</v>
      </c>
      <c r="D458" s="61" t="s">
        <v>1646</v>
      </c>
      <c r="E458" s="61" t="s">
        <v>1647</v>
      </c>
      <c r="F458" s="61" t="s">
        <v>40</v>
      </c>
      <c r="G458" s="22">
        <v>45054.152777777781</v>
      </c>
      <c r="H458" s="22">
        <v>45054.172222222223</v>
      </c>
      <c r="I458" s="62" t="s">
        <v>1644</v>
      </c>
      <c r="J458" s="63" t="s">
        <v>88</v>
      </c>
      <c r="K458" s="63"/>
      <c r="L458" s="64"/>
    </row>
    <row r="459" spans="1:12">
      <c r="A459" s="1" t="s">
        <v>106</v>
      </c>
      <c r="B459" s="34" t="s">
        <v>1648</v>
      </c>
      <c r="C459" s="53" t="s">
        <v>108</v>
      </c>
      <c r="D459" s="53" t="s">
        <v>1649</v>
      </c>
      <c r="E459" s="53" t="s">
        <v>1650</v>
      </c>
      <c r="F459" s="53" t="s">
        <v>40</v>
      </c>
      <c r="G459" s="16">
        <v>45054.179166666669</v>
      </c>
      <c r="H459" s="16">
        <v>45054.180555555555</v>
      </c>
      <c r="I459" s="58" t="s">
        <v>1651</v>
      </c>
      <c r="J459" s="59" t="s">
        <v>88</v>
      </c>
      <c r="K459" s="59"/>
      <c r="L459" s="60"/>
    </row>
    <row r="460" spans="1:12">
      <c r="A460" s="41" t="s">
        <v>95</v>
      </c>
      <c r="B460" s="30" t="s">
        <v>1652</v>
      </c>
      <c r="C460" s="61" t="s">
        <v>118</v>
      </c>
      <c r="D460" s="61" t="s">
        <v>1653</v>
      </c>
      <c r="E460" s="61" t="s">
        <v>1654</v>
      </c>
      <c r="F460" s="61" t="s">
        <v>40</v>
      </c>
      <c r="G460" s="22" t="s">
        <v>1655</v>
      </c>
      <c r="H460" s="22">
        <v>45054.604166666664</v>
      </c>
      <c r="I460" s="62" t="s">
        <v>1656</v>
      </c>
      <c r="J460" s="63" t="s">
        <v>101</v>
      </c>
      <c r="K460" s="63"/>
      <c r="L460" s="64"/>
    </row>
    <row r="461" spans="1:12">
      <c r="A461" s="42" t="s">
        <v>106</v>
      </c>
      <c r="B461" s="34" t="s">
        <v>1657</v>
      </c>
      <c r="C461" s="53" t="s">
        <v>333</v>
      </c>
      <c r="D461" s="53" t="s">
        <v>1658</v>
      </c>
      <c r="E461" s="53" t="s">
        <v>1659</v>
      </c>
      <c r="F461" s="53" t="s">
        <v>40</v>
      </c>
      <c r="G461" s="16" t="s">
        <v>1660</v>
      </c>
      <c r="H461" s="16">
        <v>45054.699305555558</v>
      </c>
      <c r="I461" s="58" t="s">
        <v>346</v>
      </c>
      <c r="J461" s="59" t="s">
        <v>101</v>
      </c>
      <c r="K461" s="59"/>
      <c r="L461" s="60"/>
    </row>
    <row r="462" spans="1:12">
      <c r="A462" s="19" t="s">
        <v>20</v>
      </c>
      <c r="B462" s="30" t="s">
        <v>1661</v>
      </c>
      <c r="C462" s="61" t="s">
        <v>49</v>
      </c>
      <c r="D462" s="61" t="s">
        <v>1662</v>
      </c>
      <c r="E462" s="61" t="s">
        <v>1663</v>
      </c>
      <c r="F462" s="61" t="s">
        <v>40</v>
      </c>
      <c r="G462" s="22" t="s">
        <v>1664</v>
      </c>
      <c r="H462" s="22">
        <v>45054.76666666667</v>
      </c>
      <c r="I462" s="62" t="s">
        <v>105</v>
      </c>
      <c r="J462" s="63" t="s">
        <v>101</v>
      </c>
      <c r="K462" s="63"/>
      <c r="L462" s="64"/>
    </row>
    <row r="463" spans="1:12">
      <c r="A463" s="42" t="s">
        <v>106</v>
      </c>
      <c r="B463" s="34" t="s">
        <v>1665</v>
      </c>
      <c r="C463" s="53" t="s">
        <v>380</v>
      </c>
      <c r="D463" s="53" t="s">
        <v>1666</v>
      </c>
      <c r="E463" s="53" t="s">
        <v>1045</v>
      </c>
      <c r="F463" s="53" t="s">
        <v>40</v>
      </c>
      <c r="G463" s="16" t="s">
        <v>1667</v>
      </c>
      <c r="H463" s="16">
        <v>45054.811111111114</v>
      </c>
      <c r="I463" s="58" t="s">
        <v>383</v>
      </c>
      <c r="J463" s="59" t="s">
        <v>101</v>
      </c>
      <c r="K463" s="59"/>
      <c r="L463" s="60"/>
    </row>
    <row r="464" spans="1:12">
      <c r="A464" s="41" t="s">
        <v>106</v>
      </c>
      <c r="B464" s="52" t="s">
        <v>1668</v>
      </c>
      <c r="C464" s="61" t="s">
        <v>108</v>
      </c>
      <c r="D464" s="61" t="s">
        <v>1669</v>
      </c>
      <c r="E464" s="61" t="s">
        <v>1670</v>
      </c>
      <c r="F464" s="61" t="s">
        <v>40</v>
      </c>
      <c r="G464" s="22" t="s">
        <v>1671</v>
      </c>
      <c r="H464" s="22">
        <v>45085.363194444442</v>
      </c>
      <c r="I464" s="62" t="s">
        <v>32</v>
      </c>
      <c r="J464" s="63" t="s">
        <v>101</v>
      </c>
      <c r="K464" s="63"/>
      <c r="L464" s="64"/>
    </row>
    <row r="465" spans="1:12" ht="203">
      <c r="A465" s="42" t="s">
        <v>106</v>
      </c>
      <c r="B465" s="34" t="s">
        <v>1672</v>
      </c>
      <c r="C465" s="53" t="s">
        <v>108</v>
      </c>
      <c r="D465" s="53" t="s">
        <v>1673</v>
      </c>
      <c r="E465" s="65" t="s">
        <v>1674</v>
      </c>
      <c r="F465" s="53" t="s">
        <v>40</v>
      </c>
      <c r="G465" s="16">
        <v>45054.773611111108</v>
      </c>
      <c r="H465" s="16">
        <v>45054.853472222225</v>
      </c>
      <c r="I465" s="58" t="s">
        <v>1651</v>
      </c>
      <c r="J465" s="59" t="s">
        <v>88</v>
      </c>
      <c r="K465" s="59" t="s">
        <v>101</v>
      </c>
      <c r="L465" s="60"/>
    </row>
    <row r="466" spans="1:12">
      <c r="A466" s="41" t="s">
        <v>20</v>
      </c>
      <c r="B466" s="30" t="s">
        <v>1675</v>
      </c>
      <c r="C466" s="61" t="s">
        <v>21</v>
      </c>
      <c r="D466" s="61" t="s">
        <v>1642</v>
      </c>
      <c r="E466" s="61" t="s">
        <v>1676</v>
      </c>
      <c r="F466" s="61" t="s">
        <v>40</v>
      </c>
      <c r="G466" s="22">
        <v>45054.854166666664</v>
      </c>
      <c r="H466" s="22">
        <v>45054.886111111111</v>
      </c>
      <c r="I466" s="62" t="s">
        <v>1644</v>
      </c>
      <c r="J466" s="63" t="s">
        <v>88</v>
      </c>
      <c r="K466" s="63"/>
      <c r="L466" s="64"/>
    </row>
    <row r="467" spans="1:12" ht="203">
      <c r="A467" s="42" t="s">
        <v>106</v>
      </c>
      <c r="B467" s="34" t="s">
        <v>1677</v>
      </c>
      <c r="C467" s="53" t="s">
        <v>108</v>
      </c>
      <c r="D467" s="65" t="s">
        <v>1673</v>
      </c>
      <c r="E467" s="65" t="s">
        <v>1674</v>
      </c>
      <c r="F467" s="53" t="s">
        <v>40</v>
      </c>
      <c r="G467" s="16" t="s">
        <v>1678</v>
      </c>
      <c r="H467" s="16">
        <v>45085.724305555559</v>
      </c>
      <c r="I467" s="58" t="s">
        <v>1651</v>
      </c>
      <c r="J467" s="59" t="s">
        <v>101</v>
      </c>
      <c r="K467" s="59"/>
      <c r="L467" s="60"/>
    </row>
    <row r="468" spans="1:12" ht="43.5">
      <c r="A468" s="41" t="s">
        <v>106</v>
      </c>
      <c r="B468" s="30" t="s">
        <v>1679</v>
      </c>
      <c r="C468" s="61" t="s">
        <v>108</v>
      </c>
      <c r="D468" s="67" t="s">
        <v>1680</v>
      </c>
      <c r="E468" s="61" t="s">
        <v>1681</v>
      </c>
      <c r="F468" s="61" t="s">
        <v>40</v>
      </c>
      <c r="G468" s="22" t="s">
        <v>1682</v>
      </c>
      <c r="H468" s="22">
        <v>45085.42083333333</v>
      </c>
      <c r="I468" s="62" t="s">
        <v>32</v>
      </c>
      <c r="J468" s="63" t="s">
        <v>101</v>
      </c>
      <c r="K468" s="63"/>
      <c r="L468" s="64"/>
    </row>
    <row r="469" spans="1:12">
      <c r="A469" s="42" t="s">
        <v>95</v>
      </c>
      <c r="B469" s="34" t="s">
        <v>1683</v>
      </c>
      <c r="C469" s="53" t="s">
        <v>97</v>
      </c>
      <c r="D469" s="53" t="s">
        <v>1684</v>
      </c>
      <c r="E469" s="53" t="s">
        <v>1685</v>
      </c>
      <c r="F469" s="53" t="s">
        <v>40</v>
      </c>
      <c r="G469" s="16" t="s">
        <v>1686</v>
      </c>
      <c r="H469" s="16">
        <v>45115.567361111112</v>
      </c>
      <c r="I469" s="58" t="s">
        <v>32</v>
      </c>
      <c r="J469" s="59" t="s">
        <v>101</v>
      </c>
      <c r="K469" s="59"/>
      <c r="L469" s="60"/>
    </row>
    <row r="470" spans="1:12" ht="145">
      <c r="A470" s="41" t="s">
        <v>95</v>
      </c>
      <c r="B470" s="30" t="s">
        <v>1687</v>
      </c>
      <c r="C470" s="61" t="s">
        <v>97</v>
      </c>
      <c r="D470" s="61" t="s">
        <v>1688</v>
      </c>
      <c r="E470" s="67" t="s">
        <v>1689</v>
      </c>
      <c r="F470" s="61" t="s">
        <v>40</v>
      </c>
      <c r="G470" s="22" t="s">
        <v>1690</v>
      </c>
      <c r="H470" s="22">
        <v>45085.572222222225</v>
      </c>
      <c r="I470" s="62" t="s">
        <v>1691</v>
      </c>
      <c r="J470" s="63" t="s">
        <v>101</v>
      </c>
      <c r="K470" s="63"/>
      <c r="L470" s="64"/>
    </row>
    <row r="471" spans="1:12">
      <c r="A471" s="42" t="s">
        <v>20</v>
      </c>
      <c r="B471" s="34" t="s">
        <v>1692</v>
      </c>
      <c r="C471" s="53" t="s">
        <v>49</v>
      </c>
      <c r="D471" s="53" t="s">
        <v>1693</v>
      </c>
      <c r="E471" s="53" t="s">
        <v>1694</v>
      </c>
      <c r="F471" s="53" t="s">
        <v>40</v>
      </c>
      <c r="G471" s="16" t="s">
        <v>1695</v>
      </c>
      <c r="H471" s="16">
        <v>45146.436111111114</v>
      </c>
      <c r="I471" s="58" t="s">
        <v>701</v>
      </c>
      <c r="J471" s="59" t="s">
        <v>101</v>
      </c>
      <c r="K471" s="59"/>
      <c r="L471" s="60"/>
    </row>
    <row r="472" spans="1:12">
      <c r="A472" s="41" t="s">
        <v>106</v>
      </c>
      <c r="B472" s="30" t="s">
        <v>1696</v>
      </c>
      <c r="C472" s="61" t="s">
        <v>380</v>
      </c>
      <c r="D472" s="61" t="s">
        <v>1697</v>
      </c>
      <c r="E472" s="61" t="s">
        <v>1698</v>
      </c>
      <c r="F472" s="61" t="s">
        <v>40</v>
      </c>
      <c r="G472" s="22" t="s">
        <v>1699</v>
      </c>
      <c r="H472" s="22">
        <v>45085.871527777781</v>
      </c>
      <c r="I472" s="62" t="s">
        <v>383</v>
      </c>
      <c r="J472" s="63" t="s">
        <v>101</v>
      </c>
      <c r="K472" s="63"/>
      <c r="L472" s="64"/>
    </row>
    <row r="473" spans="1:12">
      <c r="A473" s="42" t="s">
        <v>20</v>
      </c>
      <c r="B473" s="34" t="s">
        <v>1700</v>
      </c>
      <c r="C473" s="53" t="s">
        <v>21</v>
      </c>
      <c r="D473" s="53" t="s">
        <v>1701</v>
      </c>
      <c r="E473" s="53" t="s">
        <v>1702</v>
      </c>
      <c r="F473" s="53" t="s">
        <v>40</v>
      </c>
      <c r="G473" s="16">
        <v>45115.07916666667</v>
      </c>
      <c r="H473" s="16"/>
      <c r="I473" s="58"/>
      <c r="J473" s="59" t="s">
        <v>88</v>
      </c>
      <c r="K473" s="59"/>
      <c r="L473" s="60"/>
    </row>
    <row r="474" spans="1:12">
      <c r="A474" s="41" t="s">
        <v>20</v>
      </c>
      <c r="B474" s="30" t="s">
        <v>1703</v>
      </c>
      <c r="C474" s="61" t="s">
        <v>13</v>
      </c>
      <c r="D474" s="61" t="s">
        <v>1704</v>
      </c>
      <c r="E474" s="61" t="s">
        <v>1705</v>
      </c>
      <c r="F474" s="61" t="s">
        <v>40</v>
      </c>
      <c r="G474" s="22">
        <v>45085.862500000003</v>
      </c>
      <c r="H474" s="22">
        <v>45085.207638888889</v>
      </c>
      <c r="I474" s="62" t="s">
        <v>187</v>
      </c>
      <c r="J474" s="63" t="s">
        <v>88</v>
      </c>
      <c r="K474" s="63"/>
      <c r="L474" s="64"/>
    </row>
    <row r="475" spans="1:12">
      <c r="A475" s="42" t="s">
        <v>20</v>
      </c>
      <c r="B475" s="34" t="s">
        <v>1706</v>
      </c>
      <c r="C475" s="53" t="s">
        <v>21</v>
      </c>
      <c r="D475" s="53" t="s">
        <v>1707</v>
      </c>
      <c r="E475" s="53" t="s">
        <v>1708</v>
      </c>
      <c r="F475" s="53" t="s">
        <v>40</v>
      </c>
      <c r="G475" s="16">
        <v>45085.905555555553</v>
      </c>
      <c r="H475" s="16">
        <v>45085.996527777781</v>
      </c>
      <c r="I475" s="58" t="s">
        <v>1644</v>
      </c>
      <c r="J475" s="59" t="s">
        <v>88</v>
      </c>
      <c r="K475" s="59"/>
      <c r="L475" s="60"/>
    </row>
    <row r="476" spans="1:12">
      <c r="A476" s="41" t="s">
        <v>95</v>
      </c>
      <c r="B476" s="30" t="s">
        <v>1709</v>
      </c>
      <c r="C476" s="61" t="s">
        <v>118</v>
      </c>
      <c r="D476" s="61" t="s">
        <v>1710</v>
      </c>
      <c r="E476" s="61"/>
      <c r="F476" s="61" t="s">
        <v>214</v>
      </c>
      <c r="G476" s="22">
        <v>45085.997916666667</v>
      </c>
      <c r="H476" s="22"/>
      <c r="I476" s="62" t="s">
        <v>1711</v>
      </c>
      <c r="J476" s="63" t="s">
        <v>88</v>
      </c>
      <c r="K476" s="63" t="s">
        <v>101</v>
      </c>
      <c r="L476" s="64"/>
    </row>
    <row r="477" spans="1:12">
      <c r="A477" s="42" t="s">
        <v>95</v>
      </c>
      <c r="B477" s="66" t="s">
        <v>1709</v>
      </c>
      <c r="C477" s="53" t="s">
        <v>118</v>
      </c>
      <c r="D477" s="53" t="s">
        <v>1710</v>
      </c>
      <c r="E477" s="53" t="s">
        <v>1712</v>
      </c>
      <c r="F477" s="53" t="s">
        <v>40</v>
      </c>
      <c r="G477" s="16" t="s">
        <v>1713</v>
      </c>
      <c r="H477" s="16">
        <v>45085.392361111109</v>
      </c>
      <c r="I477" s="68" t="s">
        <v>1711</v>
      </c>
      <c r="J477" s="59" t="s">
        <v>101</v>
      </c>
      <c r="K477" s="59"/>
      <c r="L477" s="60"/>
    </row>
    <row r="478" spans="1:12">
      <c r="A478" s="41" t="s">
        <v>106</v>
      </c>
      <c r="B478" s="30" t="s">
        <v>1714</v>
      </c>
      <c r="C478" s="61" t="s">
        <v>108</v>
      </c>
      <c r="D478" s="61" t="s">
        <v>1715</v>
      </c>
      <c r="E478" s="61" t="s">
        <v>1716</v>
      </c>
      <c r="F478" s="61" t="s">
        <v>40</v>
      </c>
      <c r="G478" s="22">
        <v>45115.175694444442</v>
      </c>
      <c r="H478" s="22">
        <v>45115.201388888891</v>
      </c>
      <c r="I478" s="62" t="s">
        <v>1651</v>
      </c>
      <c r="J478" s="63" t="s">
        <v>88</v>
      </c>
      <c r="K478" s="63"/>
      <c r="L478" s="64"/>
    </row>
    <row r="479" spans="1:12" ht="116">
      <c r="A479" s="42" t="s">
        <v>20</v>
      </c>
      <c r="B479" s="34" t="s">
        <v>1717</v>
      </c>
      <c r="C479" s="53" t="s">
        <v>13</v>
      </c>
      <c r="D479" s="65" t="s">
        <v>1718</v>
      </c>
      <c r="E479" s="53" t="s">
        <v>1719</v>
      </c>
      <c r="F479" s="53" t="s">
        <v>214</v>
      </c>
      <c r="G479" s="16" t="s">
        <v>1720</v>
      </c>
      <c r="H479" s="16">
        <v>45177.072916666664</v>
      </c>
      <c r="I479" s="58" t="s">
        <v>17</v>
      </c>
      <c r="J479" s="59" t="s">
        <v>101</v>
      </c>
      <c r="K479" s="59" t="s">
        <v>61</v>
      </c>
      <c r="L479" s="60">
        <v>45146</v>
      </c>
    </row>
    <row r="480" spans="1:12">
      <c r="A480" s="41" t="s">
        <v>20</v>
      </c>
      <c r="B480" s="30" t="s">
        <v>1721</v>
      </c>
      <c r="C480" s="61" t="s">
        <v>13</v>
      </c>
      <c r="D480" s="61" t="s">
        <v>1722</v>
      </c>
      <c r="E480" s="61" t="s">
        <v>1723</v>
      </c>
      <c r="F480" s="61" t="s">
        <v>40</v>
      </c>
      <c r="G480" s="22" t="s">
        <v>1724</v>
      </c>
      <c r="H480" s="22">
        <v>45146.431944444441</v>
      </c>
      <c r="I480" s="62" t="s">
        <v>17</v>
      </c>
      <c r="J480" s="63" t="s">
        <v>101</v>
      </c>
      <c r="K480" s="63"/>
      <c r="L480" s="64"/>
    </row>
    <row r="481" spans="1:12">
      <c r="A481" s="42" t="s">
        <v>106</v>
      </c>
      <c r="B481" s="34" t="s">
        <v>1725</v>
      </c>
      <c r="C481" s="53" t="s">
        <v>380</v>
      </c>
      <c r="D481" s="53" t="s">
        <v>1726</v>
      </c>
      <c r="E481" s="53" t="s">
        <v>1045</v>
      </c>
      <c r="F481" s="53" t="s">
        <v>40</v>
      </c>
      <c r="G481" s="16" t="s">
        <v>1727</v>
      </c>
      <c r="H481" s="16">
        <v>45115.525000000001</v>
      </c>
      <c r="I481" s="58" t="s">
        <v>383</v>
      </c>
      <c r="J481" s="59" t="s">
        <v>101</v>
      </c>
      <c r="K481" s="59"/>
      <c r="L481" s="60"/>
    </row>
    <row r="482" spans="1:12">
      <c r="A482" s="41" t="s">
        <v>106</v>
      </c>
      <c r="B482" s="30" t="s">
        <v>1728</v>
      </c>
      <c r="C482" s="61" t="s">
        <v>78</v>
      </c>
      <c r="D482" s="61" t="s">
        <v>1729</v>
      </c>
      <c r="E482" s="61" t="s">
        <v>1730</v>
      </c>
      <c r="F482" s="61" t="s">
        <v>40</v>
      </c>
      <c r="G482" s="22" t="s">
        <v>1731</v>
      </c>
      <c r="H482" s="22">
        <v>45115.665277777778</v>
      </c>
      <c r="I482" s="62" t="s">
        <v>258</v>
      </c>
      <c r="J482" s="63" t="s">
        <v>101</v>
      </c>
      <c r="K482" s="63"/>
      <c r="L482" s="64"/>
    </row>
    <row r="483" spans="1:12">
      <c r="A483" s="42" t="s">
        <v>20</v>
      </c>
      <c r="B483" s="34" t="s">
        <v>1732</v>
      </c>
      <c r="C483" s="53" t="s">
        <v>13</v>
      </c>
      <c r="D483" s="53" t="s">
        <v>1733</v>
      </c>
      <c r="E483" s="53" t="s">
        <v>1734</v>
      </c>
      <c r="F483" s="53" t="s">
        <v>40</v>
      </c>
      <c r="G483" s="16" t="s">
        <v>1735</v>
      </c>
      <c r="H483" s="16">
        <v>45115.840277777781</v>
      </c>
      <c r="I483" s="58" t="s">
        <v>1736</v>
      </c>
      <c r="J483" s="59" t="s">
        <v>101</v>
      </c>
      <c r="K483" s="59"/>
      <c r="L483" s="60"/>
    </row>
    <row r="484" spans="1:12">
      <c r="A484" s="41" t="s">
        <v>20</v>
      </c>
      <c r="B484" s="30" t="s">
        <v>1737</v>
      </c>
      <c r="C484" s="61" t="s">
        <v>21</v>
      </c>
      <c r="D484" s="61" t="s">
        <v>1738</v>
      </c>
      <c r="E484" s="61" t="s">
        <v>1739</v>
      </c>
      <c r="F484" s="61" t="s">
        <v>40</v>
      </c>
      <c r="G484" s="22">
        <v>45115.755555555559</v>
      </c>
      <c r="H484" s="22">
        <v>45115.913888888892</v>
      </c>
      <c r="I484" s="62" t="s">
        <v>1644</v>
      </c>
      <c r="J484" s="63" t="s">
        <v>88</v>
      </c>
      <c r="K484" s="63"/>
      <c r="L484" s="64"/>
    </row>
    <row r="485" spans="1:12">
      <c r="A485" s="42" t="s">
        <v>20</v>
      </c>
      <c r="B485" s="34" t="s">
        <v>1740</v>
      </c>
      <c r="C485" s="53" t="s">
        <v>21</v>
      </c>
      <c r="D485" s="53" t="s">
        <v>1741</v>
      </c>
      <c r="E485" s="53" t="s">
        <v>1742</v>
      </c>
      <c r="F485" s="53" t="s">
        <v>40</v>
      </c>
      <c r="G485" s="16">
        <v>45115.78402777778</v>
      </c>
      <c r="H485" s="16">
        <v>45115.913888888892</v>
      </c>
      <c r="I485" s="58" t="s">
        <v>1743</v>
      </c>
      <c r="J485" s="59" t="s">
        <v>88</v>
      </c>
      <c r="K485" s="59"/>
      <c r="L485" s="60"/>
    </row>
    <row r="486" spans="1:12" ht="377">
      <c r="A486" s="41" t="s">
        <v>95</v>
      </c>
      <c r="B486" s="30" t="s">
        <v>1744</v>
      </c>
      <c r="C486" s="61" t="s">
        <v>97</v>
      </c>
      <c r="D486" s="61" t="s">
        <v>1745</v>
      </c>
      <c r="E486" s="67" t="s">
        <v>1746</v>
      </c>
      <c r="F486" s="61" t="s">
        <v>40</v>
      </c>
      <c r="G486" s="22">
        <v>45115.915277777778</v>
      </c>
      <c r="H486" s="22">
        <v>45115.178472222222</v>
      </c>
      <c r="I486" s="62" t="s">
        <v>1747</v>
      </c>
      <c r="J486" s="63" t="s">
        <v>88</v>
      </c>
      <c r="K486" s="63"/>
      <c r="L486" s="64"/>
    </row>
    <row r="487" spans="1:12">
      <c r="A487" s="42" t="s">
        <v>106</v>
      </c>
      <c r="B487" s="34" t="s">
        <v>1748</v>
      </c>
      <c r="C487" s="53" t="s">
        <v>108</v>
      </c>
      <c r="D487" s="53" t="s">
        <v>1749</v>
      </c>
      <c r="E487" s="53" t="s">
        <v>1750</v>
      </c>
      <c r="F487" s="53" t="s">
        <v>40</v>
      </c>
      <c r="G487" s="16">
        <v>45115.186111111114</v>
      </c>
      <c r="H487" s="16">
        <v>45115.1875</v>
      </c>
      <c r="I487" s="58" t="s">
        <v>1651</v>
      </c>
      <c r="J487" s="59" t="s">
        <v>88</v>
      </c>
      <c r="K487" s="59"/>
      <c r="L487" s="60"/>
    </row>
    <row r="488" spans="1:12" ht="43.5">
      <c r="A488" s="41" t="s">
        <v>106</v>
      </c>
      <c r="B488" s="30" t="s">
        <v>1751</v>
      </c>
      <c r="C488" s="61" t="s">
        <v>380</v>
      </c>
      <c r="D488" s="67" t="s">
        <v>414</v>
      </c>
      <c r="E488" s="61" t="s">
        <v>1045</v>
      </c>
      <c r="F488" s="61" t="s">
        <v>40</v>
      </c>
      <c r="G488" s="22" t="s">
        <v>1752</v>
      </c>
      <c r="H488" s="22">
        <v>45146.463888888888</v>
      </c>
      <c r="I488" s="62" t="s">
        <v>383</v>
      </c>
      <c r="J488" s="63" t="s">
        <v>101</v>
      </c>
      <c r="K488" s="63"/>
      <c r="L488" s="64"/>
    </row>
    <row r="489" spans="1:12">
      <c r="A489" s="42" t="s">
        <v>20</v>
      </c>
      <c r="B489" s="34" t="s">
        <v>1753</v>
      </c>
      <c r="C489" s="53" t="s">
        <v>49</v>
      </c>
      <c r="D489" s="53" t="s">
        <v>1754</v>
      </c>
      <c r="E489" s="53" t="s">
        <v>1755</v>
      </c>
      <c r="F489" s="53" t="s">
        <v>40</v>
      </c>
      <c r="G489" s="16" t="s">
        <v>1756</v>
      </c>
      <c r="H489" s="16">
        <v>45146.839583333334</v>
      </c>
      <c r="I489" s="58" t="s">
        <v>1757</v>
      </c>
      <c r="J489" s="59" t="s">
        <v>101</v>
      </c>
      <c r="K489" s="59"/>
      <c r="L489" s="60"/>
    </row>
    <row r="490" spans="1:12" ht="72.5">
      <c r="A490" s="41" t="s">
        <v>106</v>
      </c>
      <c r="B490" s="30" t="s">
        <v>1758</v>
      </c>
      <c r="C490" s="61" t="s">
        <v>78</v>
      </c>
      <c r="D490" s="61" t="s">
        <v>1759</v>
      </c>
      <c r="E490" s="67" t="s">
        <v>1760</v>
      </c>
      <c r="F490" s="61" t="s">
        <v>40</v>
      </c>
      <c r="G490" s="22" t="s">
        <v>1761</v>
      </c>
      <c r="H490" s="22">
        <v>45146.75277777778</v>
      </c>
      <c r="I490" s="62" t="s">
        <v>258</v>
      </c>
      <c r="J490" s="63" t="s">
        <v>101</v>
      </c>
      <c r="K490" s="63"/>
      <c r="L490" s="64"/>
    </row>
    <row r="491" spans="1:12" ht="43.5">
      <c r="A491" s="42" t="s">
        <v>95</v>
      </c>
      <c r="B491" s="34" t="s">
        <v>1762</v>
      </c>
      <c r="C491" s="53" t="s">
        <v>1763</v>
      </c>
      <c r="D491" s="65" t="s">
        <v>1764</v>
      </c>
      <c r="E491" s="53" t="s">
        <v>1760</v>
      </c>
      <c r="F491" s="53" t="s">
        <v>40</v>
      </c>
      <c r="G491" s="16" t="s">
        <v>1765</v>
      </c>
      <c r="H491" s="16">
        <v>45146.897916666669</v>
      </c>
      <c r="I491" s="58"/>
      <c r="J491" s="59" t="s">
        <v>101</v>
      </c>
      <c r="K491" s="59"/>
      <c r="L491" s="60"/>
    </row>
    <row r="492" spans="1:12">
      <c r="A492" s="41" t="s">
        <v>106</v>
      </c>
      <c r="B492" s="30" t="s">
        <v>1766</v>
      </c>
      <c r="C492" s="61" t="s">
        <v>108</v>
      </c>
      <c r="D492" s="61" t="s">
        <v>1767</v>
      </c>
      <c r="E492" s="61" t="s">
        <v>1768</v>
      </c>
      <c r="F492" s="61" t="s">
        <v>308</v>
      </c>
      <c r="G492" s="22">
        <v>45177.833333333336</v>
      </c>
      <c r="H492" s="22"/>
      <c r="I492" s="62" t="s">
        <v>1651</v>
      </c>
      <c r="J492" s="63" t="s">
        <v>88</v>
      </c>
      <c r="K492" s="63"/>
      <c r="L492" s="64"/>
    </row>
    <row r="493" spans="1:12">
      <c r="A493" s="42" t="s">
        <v>20</v>
      </c>
      <c r="B493" s="34" t="s">
        <v>1769</v>
      </c>
      <c r="C493" s="53" t="s">
        <v>13</v>
      </c>
      <c r="D493" s="53" t="s">
        <v>1770</v>
      </c>
      <c r="E493" s="53" t="s">
        <v>1771</v>
      </c>
      <c r="F493" s="53" t="s">
        <v>40</v>
      </c>
      <c r="G493" s="16">
        <v>45146.875694444447</v>
      </c>
      <c r="H493" s="16">
        <v>45146.024305555555</v>
      </c>
      <c r="I493" s="58" t="s">
        <v>17</v>
      </c>
      <c r="J493" s="59" t="s">
        <v>88</v>
      </c>
      <c r="K493" s="59"/>
      <c r="L493" s="60"/>
    </row>
    <row r="494" spans="1:12">
      <c r="A494" s="41" t="s">
        <v>106</v>
      </c>
      <c r="B494" s="30" t="s">
        <v>1772</v>
      </c>
      <c r="C494" s="61" t="s">
        <v>108</v>
      </c>
      <c r="D494" s="21" t="s">
        <v>1673</v>
      </c>
      <c r="E494" s="61" t="s">
        <v>1773</v>
      </c>
      <c r="F494" s="61" t="s">
        <v>40</v>
      </c>
      <c r="G494" s="22">
        <v>45177.037499999999</v>
      </c>
      <c r="H494" s="22">
        <v>45177.053472222222</v>
      </c>
      <c r="I494" s="62" t="s">
        <v>1651</v>
      </c>
      <c r="J494" s="63" t="s">
        <v>88</v>
      </c>
      <c r="K494" s="69"/>
      <c r="L494" s="64"/>
    </row>
    <row r="495" spans="1:12">
      <c r="A495" s="42" t="s">
        <v>20</v>
      </c>
      <c r="B495" s="34" t="s">
        <v>1774</v>
      </c>
      <c r="C495" s="53" t="s">
        <v>49</v>
      </c>
      <c r="D495" s="70" t="s">
        <v>1775</v>
      </c>
      <c r="E495" s="53" t="s">
        <v>1776</v>
      </c>
      <c r="F495" s="53" t="s">
        <v>40</v>
      </c>
      <c r="G495" s="16">
        <v>45146.068749999999</v>
      </c>
      <c r="H495" s="16">
        <v>45147.125</v>
      </c>
      <c r="I495" s="58" t="s">
        <v>1777</v>
      </c>
      <c r="J495" s="59" t="s">
        <v>88</v>
      </c>
      <c r="K495" s="71"/>
      <c r="L495" s="60"/>
    </row>
    <row r="496" spans="1:12">
      <c r="A496" s="19" t="s">
        <v>20</v>
      </c>
      <c r="B496" s="30" t="s">
        <v>1778</v>
      </c>
      <c r="C496" s="61" t="s">
        <v>49</v>
      </c>
      <c r="D496" s="72" t="s">
        <v>1779</v>
      </c>
      <c r="E496" s="61" t="s">
        <v>1780</v>
      </c>
      <c r="F496" s="61" t="s">
        <v>40</v>
      </c>
      <c r="G496" s="22">
        <v>45146.10833333333</v>
      </c>
      <c r="H496" s="22">
        <v>45146.125</v>
      </c>
      <c r="I496" s="62"/>
      <c r="J496" s="63" t="s">
        <v>88</v>
      </c>
      <c r="K496" s="69"/>
      <c r="L496" s="64"/>
    </row>
    <row r="497" spans="1:12">
      <c r="A497" s="42" t="s">
        <v>20</v>
      </c>
      <c r="B497" s="34" t="s">
        <v>1781</v>
      </c>
      <c r="C497" s="53" t="s">
        <v>21</v>
      </c>
      <c r="D497" s="53" t="s">
        <v>1782</v>
      </c>
      <c r="E497" s="53" t="s">
        <v>1783</v>
      </c>
      <c r="F497" s="53" t="s">
        <v>40</v>
      </c>
      <c r="G497" s="16">
        <v>45146.1875</v>
      </c>
      <c r="H497" s="16">
        <v>45177.208333333336</v>
      </c>
      <c r="I497" s="58" t="s">
        <v>1644</v>
      </c>
      <c r="J497" s="59" t="s">
        <v>88</v>
      </c>
      <c r="K497" s="59"/>
      <c r="L497" s="60"/>
    </row>
    <row r="498" spans="1:12">
      <c r="A498" s="41" t="s">
        <v>106</v>
      </c>
      <c r="B498" s="30" t="s">
        <v>1784</v>
      </c>
      <c r="C498" s="61" t="s">
        <v>108</v>
      </c>
      <c r="D498" s="61" t="s">
        <v>1785</v>
      </c>
      <c r="E498" s="61" t="s">
        <v>1786</v>
      </c>
      <c r="F498" s="61" t="s">
        <v>40</v>
      </c>
      <c r="G498" s="22">
        <v>45147.367361111108</v>
      </c>
      <c r="H498" s="22">
        <v>45147.40902777778</v>
      </c>
      <c r="I498" s="62" t="s">
        <v>111</v>
      </c>
      <c r="J498" s="63" t="s">
        <v>61</v>
      </c>
      <c r="K498" s="63"/>
      <c r="L498" s="64"/>
    </row>
    <row r="499" spans="1:12">
      <c r="A499" s="42" t="s">
        <v>95</v>
      </c>
      <c r="B499" s="34" t="s">
        <v>1787</v>
      </c>
      <c r="C499" s="53" t="s">
        <v>97</v>
      </c>
      <c r="D499" s="53" t="s">
        <v>1788</v>
      </c>
      <c r="E499" s="53" t="s">
        <v>1789</v>
      </c>
      <c r="F499" s="53" t="s">
        <v>40</v>
      </c>
      <c r="G499" s="16">
        <v>45147.491666666669</v>
      </c>
      <c r="H499" s="16">
        <v>45147.520833333336</v>
      </c>
      <c r="I499" s="58" t="s">
        <v>1343</v>
      </c>
      <c r="J499" s="59" t="s">
        <v>61</v>
      </c>
      <c r="K499" s="59"/>
      <c r="L499" s="60"/>
    </row>
    <row r="500" spans="1:12">
      <c r="A500" s="41" t="s">
        <v>106</v>
      </c>
      <c r="B500" s="30" t="s">
        <v>1790</v>
      </c>
      <c r="C500" s="61" t="s">
        <v>108</v>
      </c>
      <c r="D500" s="61" t="s">
        <v>1791</v>
      </c>
      <c r="E500" s="61" t="s">
        <v>1792</v>
      </c>
      <c r="F500" s="61" t="s">
        <v>214</v>
      </c>
      <c r="G500" s="22">
        <v>45147.331944444442</v>
      </c>
      <c r="H500" s="22"/>
      <c r="I500" s="62" t="s">
        <v>318</v>
      </c>
      <c r="J500" s="63" t="s">
        <v>72</v>
      </c>
      <c r="K500" s="63"/>
      <c r="L500" s="64"/>
    </row>
    <row r="501" spans="1:12">
      <c r="A501" s="42" t="s">
        <v>95</v>
      </c>
      <c r="B501" s="34" t="s">
        <v>1793</v>
      </c>
      <c r="C501" s="53" t="s">
        <v>97</v>
      </c>
      <c r="D501" s="53" t="s">
        <v>1794</v>
      </c>
      <c r="E501" s="53" t="s">
        <v>1795</v>
      </c>
      <c r="F501" s="53" t="s">
        <v>214</v>
      </c>
      <c r="G501" s="16">
        <v>45147.970833333333</v>
      </c>
      <c r="H501" s="16"/>
      <c r="I501" s="58" t="s">
        <v>1796</v>
      </c>
      <c r="J501" s="59" t="s">
        <v>72</v>
      </c>
      <c r="K501" s="59"/>
      <c r="L501" s="60"/>
    </row>
    <row r="502" spans="1:12">
      <c r="A502" s="41" t="s">
        <v>20</v>
      </c>
      <c r="B502" s="30" t="s">
        <v>1797</v>
      </c>
      <c r="C502" s="61" t="s">
        <v>21</v>
      </c>
      <c r="D502" s="61" t="s">
        <v>1798</v>
      </c>
      <c r="E502" s="61" t="s">
        <v>1799</v>
      </c>
      <c r="F502" s="61" t="s">
        <v>40</v>
      </c>
      <c r="G502" s="22">
        <v>45147.960416666669</v>
      </c>
      <c r="H502" s="22">
        <v>45147.988194444442</v>
      </c>
      <c r="I502" s="62" t="s">
        <v>52</v>
      </c>
      <c r="J502" s="63" t="s">
        <v>72</v>
      </c>
      <c r="K502" s="63"/>
      <c r="L502" s="64"/>
    </row>
    <row r="503" spans="1:12">
      <c r="A503" s="42" t="s">
        <v>95</v>
      </c>
      <c r="B503" s="34" t="s">
        <v>1800</v>
      </c>
      <c r="C503" s="53" t="s">
        <v>97</v>
      </c>
      <c r="D503" s="53" t="s">
        <v>1801</v>
      </c>
      <c r="E503" s="53" t="s">
        <v>1802</v>
      </c>
      <c r="F503" s="53" t="s">
        <v>40</v>
      </c>
      <c r="G503" s="16">
        <v>45148.161111111112</v>
      </c>
      <c r="H503" s="16">
        <v>45148.198611111111</v>
      </c>
      <c r="I503" s="58" t="s">
        <v>1796</v>
      </c>
      <c r="J503" s="59" t="s">
        <v>72</v>
      </c>
      <c r="K503" s="59"/>
      <c r="L503" s="60"/>
    </row>
    <row r="504" spans="1:12">
      <c r="A504" s="41" t="s">
        <v>106</v>
      </c>
      <c r="B504" s="30" t="s">
        <v>1803</v>
      </c>
      <c r="C504" s="61" t="s">
        <v>108</v>
      </c>
      <c r="D504" s="61" t="s">
        <v>1804</v>
      </c>
      <c r="E504" s="61" t="s">
        <v>1805</v>
      </c>
      <c r="F504" s="61" t="s">
        <v>40</v>
      </c>
      <c r="G504" s="22">
        <v>45148.870833333334</v>
      </c>
      <c r="H504" s="22">
        <v>45148.892361111109</v>
      </c>
      <c r="I504" s="62" t="s">
        <v>946</v>
      </c>
      <c r="J504" s="63" t="s">
        <v>72</v>
      </c>
      <c r="K504" s="63"/>
      <c r="L504" s="64"/>
    </row>
    <row r="505" spans="1:12">
      <c r="A505" s="1" t="s">
        <v>20</v>
      </c>
      <c r="B505" s="34" t="s">
        <v>1806</v>
      </c>
      <c r="C505" s="53" t="s">
        <v>21</v>
      </c>
      <c r="D505" s="15" t="s">
        <v>1807</v>
      </c>
      <c r="E505" s="15" t="s">
        <v>1808</v>
      </c>
      <c r="F505" s="53" t="s">
        <v>40</v>
      </c>
      <c r="G505" s="16">
        <v>45148.895833333336</v>
      </c>
      <c r="H505" s="16">
        <v>45148.909722222219</v>
      </c>
      <c r="I505" s="58" t="s">
        <v>52</v>
      </c>
      <c r="J505" s="59" t="s">
        <v>72</v>
      </c>
      <c r="K505" s="59"/>
      <c r="L505" s="60"/>
    </row>
    <row r="506" spans="1:12">
      <c r="A506" s="41" t="s">
        <v>20</v>
      </c>
      <c r="B506" s="30" t="s">
        <v>1809</v>
      </c>
      <c r="C506" s="61" t="s">
        <v>21</v>
      </c>
      <c r="D506" s="61" t="s">
        <v>1810</v>
      </c>
      <c r="E506" s="61" t="s">
        <v>1811</v>
      </c>
      <c r="F506" s="61" t="s">
        <v>40</v>
      </c>
      <c r="G506" s="22">
        <v>45148.925694444442</v>
      </c>
      <c r="H506" s="22">
        <v>45148.951388888891</v>
      </c>
      <c r="I506" s="62" t="s">
        <v>52</v>
      </c>
      <c r="J506" s="63" t="s">
        <v>72</v>
      </c>
      <c r="K506" s="63"/>
      <c r="L506" s="64"/>
    </row>
    <row r="507" spans="1:12">
      <c r="A507" s="42" t="s">
        <v>20</v>
      </c>
      <c r="B507" s="34" t="s">
        <v>1812</v>
      </c>
      <c r="C507" s="53" t="s">
        <v>21</v>
      </c>
      <c r="D507" s="53" t="s">
        <v>1813</v>
      </c>
      <c r="E507" s="53" t="s">
        <v>1814</v>
      </c>
      <c r="F507" s="53" t="s">
        <v>40</v>
      </c>
      <c r="G507" s="16">
        <v>45148.942361111112</v>
      </c>
      <c r="H507" s="16">
        <v>45148.950694444444</v>
      </c>
      <c r="I507" s="58" t="s">
        <v>52</v>
      </c>
      <c r="J507" s="59" t="s">
        <v>72</v>
      </c>
      <c r="K507" s="59"/>
      <c r="L507" s="60"/>
    </row>
    <row r="508" spans="1:12">
      <c r="A508" s="41" t="s">
        <v>20</v>
      </c>
      <c r="B508" s="30" t="s">
        <v>1815</v>
      </c>
      <c r="C508" s="61" t="s">
        <v>21</v>
      </c>
      <c r="D508" s="61" t="s">
        <v>1816</v>
      </c>
      <c r="E508" s="61" t="s">
        <v>1817</v>
      </c>
      <c r="F508" s="61" t="s">
        <v>40</v>
      </c>
      <c r="G508" s="22">
        <v>45148.996527777781</v>
      </c>
      <c r="H508" s="22">
        <v>45149.013888888891</v>
      </c>
      <c r="I508" s="62" t="s">
        <v>52</v>
      </c>
      <c r="J508" s="63" t="s">
        <v>72</v>
      </c>
      <c r="K508" s="63"/>
      <c r="L508" s="64"/>
    </row>
    <row r="509" spans="1:12">
      <c r="A509" s="42" t="s">
        <v>20</v>
      </c>
      <c r="B509" s="34" t="s">
        <v>1818</v>
      </c>
      <c r="C509" s="53" t="s">
        <v>21</v>
      </c>
      <c r="D509" s="53" t="s">
        <v>1819</v>
      </c>
      <c r="E509" s="53" t="s">
        <v>1814</v>
      </c>
      <c r="F509" s="53" t="s">
        <v>40</v>
      </c>
      <c r="G509" s="16">
        <v>45149.045138888891</v>
      </c>
      <c r="H509" s="16">
        <v>45149.063888888886</v>
      </c>
      <c r="I509" s="58" t="s">
        <v>52</v>
      </c>
      <c r="J509" s="59" t="s">
        <v>72</v>
      </c>
      <c r="K509" s="59"/>
      <c r="L509" s="60"/>
    </row>
    <row r="510" spans="1:12">
      <c r="A510" s="19" t="s">
        <v>20</v>
      </c>
      <c r="B510" s="30" t="s">
        <v>1820</v>
      </c>
      <c r="C510" s="61" t="s">
        <v>21</v>
      </c>
      <c r="D510" s="61" t="s">
        <v>1821</v>
      </c>
      <c r="E510" s="61" t="s">
        <v>1822</v>
      </c>
      <c r="F510" s="61" t="s">
        <v>40</v>
      </c>
      <c r="G510" s="22">
        <v>45149.229166666664</v>
      </c>
      <c r="H510" s="22">
        <v>45149.265972222223</v>
      </c>
      <c r="I510" s="62" t="s">
        <v>52</v>
      </c>
      <c r="J510" s="63" t="s">
        <v>72</v>
      </c>
      <c r="K510" s="63"/>
      <c r="L510" s="64"/>
    </row>
    <row r="511" spans="1:12">
      <c r="A511" s="1" t="s">
        <v>20</v>
      </c>
      <c r="B511" s="34" t="s">
        <v>1823</v>
      </c>
      <c r="C511" s="53" t="s">
        <v>21</v>
      </c>
      <c r="D511" s="15" t="s">
        <v>1824</v>
      </c>
      <c r="E511" s="53" t="s">
        <v>1825</v>
      </c>
      <c r="F511" s="53" t="s">
        <v>40</v>
      </c>
      <c r="G511" s="16">
        <v>45149.272222222222</v>
      </c>
      <c r="H511" s="16">
        <v>45149.284722222219</v>
      </c>
      <c r="I511" s="58" t="s">
        <v>52</v>
      </c>
      <c r="J511" s="59" t="s">
        <v>72</v>
      </c>
      <c r="K511" s="59"/>
      <c r="L511" s="60"/>
    </row>
    <row r="512" spans="1:12">
      <c r="A512" s="41" t="s">
        <v>20</v>
      </c>
      <c r="B512" s="30" t="s">
        <v>1826</v>
      </c>
      <c r="C512" s="61" t="s">
        <v>13</v>
      </c>
      <c r="D512" s="61" t="s">
        <v>1827</v>
      </c>
      <c r="E512" s="61" t="s">
        <v>1828</v>
      </c>
      <c r="F512" s="61" t="s">
        <v>40</v>
      </c>
      <c r="G512" s="22">
        <v>45180.739583333336</v>
      </c>
      <c r="H512" s="22">
        <v>45180.824305555558</v>
      </c>
      <c r="I512" s="62" t="s">
        <v>1829</v>
      </c>
      <c r="J512" s="63" t="s">
        <v>61</v>
      </c>
      <c r="K512" s="63"/>
      <c r="L512" s="64"/>
    </row>
    <row r="513" spans="1:12">
      <c r="A513" s="42" t="s">
        <v>106</v>
      </c>
      <c r="B513" s="34" t="s">
        <v>1830</v>
      </c>
      <c r="C513" s="53" t="s">
        <v>108</v>
      </c>
      <c r="D513" s="53" t="s">
        <v>1428</v>
      </c>
      <c r="E513" s="53" t="s">
        <v>1831</v>
      </c>
      <c r="F513" s="53" t="s">
        <v>40</v>
      </c>
      <c r="G513" s="16">
        <v>45149.911111111112</v>
      </c>
      <c r="H513" s="16">
        <v>45149.9375</v>
      </c>
      <c r="I513" s="58" t="s">
        <v>32</v>
      </c>
      <c r="J513" s="59" t="s">
        <v>72</v>
      </c>
      <c r="K513" s="59"/>
      <c r="L513" s="60"/>
    </row>
    <row r="514" spans="1:12">
      <c r="A514" s="41" t="s">
        <v>95</v>
      </c>
      <c r="B514" s="30" t="s">
        <v>1832</v>
      </c>
      <c r="C514" s="61" t="s">
        <v>118</v>
      </c>
      <c r="D514" s="21" t="s">
        <v>1833</v>
      </c>
      <c r="E514" s="21" t="s">
        <v>1834</v>
      </c>
      <c r="F514" s="61" t="s">
        <v>40</v>
      </c>
      <c r="G514" s="22">
        <v>45150.050694444442</v>
      </c>
      <c r="H514" s="22">
        <v>45150.070833333331</v>
      </c>
      <c r="I514" s="62" t="s">
        <v>1102</v>
      </c>
      <c r="J514" s="63" t="s">
        <v>72</v>
      </c>
      <c r="K514" s="63"/>
      <c r="L514" s="64"/>
    </row>
    <row r="515" spans="1:12">
      <c r="A515" s="42" t="s">
        <v>95</v>
      </c>
      <c r="B515" s="34" t="s">
        <v>1835</v>
      </c>
      <c r="C515" s="53" t="s">
        <v>118</v>
      </c>
      <c r="D515" s="15" t="s">
        <v>1836</v>
      </c>
      <c r="E515" s="15" t="s">
        <v>1837</v>
      </c>
      <c r="F515" s="53" t="s">
        <v>40</v>
      </c>
      <c r="G515" s="16">
        <v>45150.087500000001</v>
      </c>
      <c r="H515" s="16">
        <v>45150.102777777778</v>
      </c>
      <c r="I515" s="58" t="s">
        <v>1102</v>
      </c>
      <c r="J515" s="59" t="s">
        <v>72</v>
      </c>
      <c r="K515" s="59"/>
      <c r="L515" s="60"/>
    </row>
    <row r="516" spans="1:12">
      <c r="A516" s="41" t="s">
        <v>20</v>
      </c>
      <c r="B516" s="30" t="s">
        <v>1838</v>
      </c>
      <c r="C516" s="61" t="s">
        <v>21</v>
      </c>
      <c r="D516" s="21" t="s">
        <v>1839</v>
      </c>
      <c r="E516" s="21" t="s">
        <v>1840</v>
      </c>
      <c r="F516" s="61" t="s">
        <v>40</v>
      </c>
      <c r="G516" s="22">
        <v>45150.109027777777</v>
      </c>
      <c r="H516" s="22">
        <v>45150.123611111114</v>
      </c>
      <c r="I516" s="62" t="s">
        <v>52</v>
      </c>
      <c r="J516" s="63" t="s">
        <v>72</v>
      </c>
      <c r="K516" s="63"/>
      <c r="L516" s="64"/>
    </row>
    <row r="517" spans="1:12">
      <c r="A517" s="1" t="s">
        <v>106</v>
      </c>
      <c r="B517" s="34" t="s">
        <v>1841</v>
      </c>
      <c r="C517" s="53" t="s">
        <v>108</v>
      </c>
      <c r="D517" s="15" t="s">
        <v>1842</v>
      </c>
      <c r="E517" s="15" t="s">
        <v>1843</v>
      </c>
      <c r="F517" s="53" t="s">
        <v>40</v>
      </c>
      <c r="G517" s="16">
        <v>45150.13958333333</v>
      </c>
      <c r="H517" s="16">
        <v>45150.15625</v>
      </c>
      <c r="I517" s="58" t="s">
        <v>946</v>
      </c>
      <c r="J517" s="59" t="s">
        <v>72</v>
      </c>
      <c r="K517" s="59"/>
      <c r="L517" s="60"/>
    </row>
    <row r="518" spans="1:12">
      <c r="A518" s="41" t="s">
        <v>106</v>
      </c>
      <c r="B518" s="30" t="s">
        <v>1844</v>
      </c>
      <c r="C518" s="61" t="s">
        <v>333</v>
      </c>
      <c r="D518" s="61" t="s">
        <v>1845</v>
      </c>
      <c r="E518" s="61" t="s">
        <v>1846</v>
      </c>
      <c r="F518" s="61" t="s">
        <v>40</v>
      </c>
      <c r="G518" s="22">
        <v>45150.625</v>
      </c>
      <c r="H518" s="22">
        <v>45150.765277777777</v>
      </c>
      <c r="I518" s="62" t="s">
        <v>1847</v>
      </c>
      <c r="J518" s="63" t="s">
        <v>61</v>
      </c>
      <c r="K518" s="63"/>
      <c r="L518" s="64"/>
    </row>
    <row r="519" spans="1:12">
      <c r="A519" s="42" t="s">
        <v>20</v>
      </c>
      <c r="B519" s="34" t="s">
        <v>1848</v>
      </c>
      <c r="C519" s="53" t="s">
        <v>13</v>
      </c>
      <c r="D519" s="53" t="s">
        <v>1849</v>
      </c>
      <c r="E519" s="53" t="s">
        <v>1850</v>
      </c>
      <c r="F519" s="53" t="s">
        <v>40</v>
      </c>
      <c r="G519" s="16">
        <v>45150.638194444444</v>
      </c>
      <c r="H519" s="16">
        <v>45151.370833333334</v>
      </c>
      <c r="I519" s="58" t="s">
        <v>1851</v>
      </c>
      <c r="J519" s="59" t="s">
        <v>61</v>
      </c>
      <c r="K519" s="59"/>
      <c r="L519" s="60"/>
    </row>
    <row r="520" spans="1:12">
      <c r="A520" s="41" t="s">
        <v>20</v>
      </c>
      <c r="B520" s="30" t="s">
        <v>1852</v>
      </c>
      <c r="C520" s="61" t="s">
        <v>21</v>
      </c>
      <c r="D520" s="61" t="s">
        <v>1853</v>
      </c>
      <c r="E520" s="61" t="s">
        <v>1854</v>
      </c>
      <c r="F520" s="61" t="s">
        <v>40</v>
      </c>
      <c r="G520" s="22">
        <v>45150.895138888889</v>
      </c>
      <c r="H520" s="22">
        <v>45150.906944444447</v>
      </c>
      <c r="I520" s="62" t="s">
        <v>52</v>
      </c>
      <c r="J520" s="63" t="s">
        <v>72</v>
      </c>
      <c r="K520" s="63"/>
      <c r="L520" s="64"/>
    </row>
    <row r="521" spans="1:12">
      <c r="A521" s="42" t="s">
        <v>95</v>
      </c>
      <c r="B521" s="34" t="s">
        <v>1855</v>
      </c>
      <c r="C521" s="53" t="s">
        <v>118</v>
      </c>
      <c r="D521" s="53" t="s">
        <v>1856</v>
      </c>
      <c r="E521" s="53" t="s">
        <v>1857</v>
      </c>
      <c r="F521" s="53" t="s">
        <v>40</v>
      </c>
      <c r="G521" s="16">
        <v>45151.190972222219</v>
      </c>
      <c r="H521" s="16">
        <v>45151.209027777775</v>
      </c>
      <c r="I521" s="62" t="s">
        <v>1102</v>
      </c>
      <c r="J521" s="59" t="s">
        <v>72</v>
      </c>
      <c r="K521" s="59"/>
      <c r="L521" s="60"/>
    </row>
    <row r="522" spans="1:12">
      <c r="A522" s="19" t="s">
        <v>95</v>
      </c>
      <c r="B522" s="30" t="s">
        <v>1858</v>
      </c>
      <c r="C522" s="61" t="s">
        <v>97</v>
      </c>
      <c r="D522" s="21" t="s">
        <v>1859</v>
      </c>
      <c r="E522" s="21" t="s">
        <v>1860</v>
      </c>
      <c r="F522" s="61" t="s">
        <v>40</v>
      </c>
      <c r="G522" s="22">
        <v>45151.472222222219</v>
      </c>
      <c r="H522" s="22">
        <v>45151.479166666664</v>
      </c>
      <c r="I522" s="62" t="s">
        <v>61</v>
      </c>
      <c r="J522" s="63" t="s">
        <v>61</v>
      </c>
      <c r="K522" s="63"/>
      <c r="L522" s="64"/>
    </row>
    <row r="523" spans="1:12">
      <c r="A523" s="42" t="s">
        <v>106</v>
      </c>
      <c r="B523" s="34" t="s">
        <v>1861</v>
      </c>
      <c r="C523" s="53" t="s">
        <v>108</v>
      </c>
      <c r="D523" s="53" t="s">
        <v>1862</v>
      </c>
      <c r="E523" s="53" t="s">
        <v>1863</v>
      </c>
      <c r="F523" s="53" t="s">
        <v>40</v>
      </c>
      <c r="G523" s="16">
        <v>45151.474305555559</v>
      </c>
      <c r="H523" s="16">
        <v>45151.496527777781</v>
      </c>
      <c r="I523" s="58" t="s">
        <v>1864</v>
      </c>
      <c r="J523" s="59" t="s">
        <v>61</v>
      </c>
      <c r="K523" s="59"/>
      <c r="L523" s="60"/>
    </row>
    <row r="524" spans="1:12">
      <c r="A524" s="41" t="s">
        <v>20</v>
      </c>
      <c r="B524" s="30" t="s">
        <v>1865</v>
      </c>
      <c r="C524" s="61" t="s">
        <v>13</v>
      </c>
      <c r="D524" s="61" t="s">
        <v>1827</v>
      </c>
      <c r="E524" s="61" t="s">
        <v>1828</v>
      </c>
      <c r="F524" s="61" t="s">
        <v>40</v>
      </c>
      <c r="G524" s="22">
        <v>45180.740972222222</v>
      </c>
      <c r="H524" s="22">
        <v>45180.670138888891</v>
      </c>
      <c r="I524" s="62" t="s">
        <v>1829</v>
      </c>
      <c r="J524" s="63" t="s">
        <v>61</v>
      </c>
      <c r="K524" s="63"/>
      <c r="L524" s="64"/>
    </row>
    <row r="525" spans="1:12">
      <c r="A525" s="42" t="s">
        <v>95</v>
      </c>
      <c r="B525" s="34" t="s">
        <v>1866</v>
      </c>
      <c r="C525" s="53" t="s">
        <v>118</v>
      </c>
      <c r="D525" s="53" t="s">
        <v>1867</v>
      </c>
      <c r="E525" s="53" t="s">
        <v>1868</v>
      </c>
      <c r="F525" s="53" t="s">
        <v>40</v>
      </c>
      <c r="G525" s="16">
        <v>45152.118750000001</v>
      </c>
      <c r="H525" s="16">
        <v>45152.162499999999</v>
      </c>
      <c r="I525" s="58" t="s">
        <v>1102</v>
      </c>
      <c r="J525" s="59" t="s">
        <v>72</v>
      </c>
      <c r="K525" s="59"/>
      <c r="L525" s="60"/>
    </row>
    <row r="526" spans="1:12">
      <c r="A526" s="41" t="s">
        <v>106</v>
      </c>
      <c r="B526" s="30" t="s">
        <v>1869</v>
      </c>
      <c r="C526" s="61" t="s">
        <v>108</v>
      </c>
      <c r="D526" s="61" t="s">
        <v>1870</v>
      </c>
      <c r="E526" s="61" t="s">
        <v>1871</v>
      </c>
      <c r="F526" s="61" t="s">
        <v>40</v>
      </c>
      <c r="G526" s="22">
        <v>45152.214583333334</v>
      </c>
      <c r="H526" s="22">
        <v>45152.249305555553</v>
      </c>
      <c r="I526" s="62" t="s">
        <v>946</v>
      </c>
      <c r="J526" s="63" t="s">
        <v>72</v>
      </c>
      <c r="K526" s="63"/>
      <c r="L526" s="64"/>
    </row>
    <row r="527" spans="1:12">
      <c r="A527" s="42" t="s">
        <v>20</v>
      </c>
      <c r="B527" s="34" t="s">
        <v>1872</v>
      </c>
      <c r="C527" s="53" t="s">
        <v>13</v>
      </c>
      <c r="D527" s="53" t="s">
        <v>1873</v>
      </c>
      <c r="E527" s="53" t="s">
        <v>1874</v>
      </c>
      <c r="F527" s="53" t="s">
        <v>214</v>
      </c>
      <c r="G527" s="16">
        <v>45152.456944444442</v>
      </c>
      <c r="H527" s="16"/>
      <c r="I527" s="58" t="s">
        <v>17</v>
      </c>
      <c r="J527" s="59" t="s">
        <v>61</v>
      </c>
      <c r="K527" s="59"/>
      <c r="L527" s="60"/>
    </row>
    <row r="528" spans="1:12">
      <c r="A528" s="41" t="s">
        <v>106</v>
      </c>
      <c r="B528" s="30" t="s">
        <v>1875</v>
      </c>
      <c r="C528" s="61" t="s">
        <v>108</v>
      </c>
      <c r="D528" s="21" t="s">
        <v>1428</v>
      </c>
      <c r="E528" s="21" t="s">
        <v>1831</v>
      </c>
      <c r="F528" s="61" t="s">
        <v>40</v>
      </c>
      <c r="G528" s="22">
        <v>45152.254861111112</v>
      </c>
      <c r="H528" s="22">
        <v>45152.277777777781</v>
      </c>
      <c r="I528" s="62" t="s">
        <v>32</v>
      </c>
      <c r="J528" s="63" t="s">
        <v>72</v>
      </c>
      <c r="K528" s="63"/>
      <c r="L528" s="64"/>
    </row>
    <row r="529" spans="1:12">
      <c r="A529" s="42" t="s">
        <v>20</v>
      </c>
      <c r="B529" s="34" t="s">
        <v>1876</v>
      </c>
      <c r="C529" s="53" t="s">
        <v>21</v>
      </c>
      <c r="D529" s="15" t="s">
        <v>1877</v>
      </c>
      <c r="E529" s="15" t="s">
        <v>1878</v>
      </c>
      <c r="F529" s="53" t="s">
        <v>40</v>
      </c>
      <c r="G529" s="16">
        <v>45152.93472222222</v>
      </c>
      <c r="H529" s="16">
        <v>45152.956944444442</v>
      </c>
      <c r="I529" s="58" t="s">
        <v>52</v>
      </c>
      <c r="J529" s="59" t="s">
        <v>72</v>
      </c>
      <c r="K529" s="59"/>
      <c r="L529" s="60"/>
    </row>
    <row r="530" spans="1:12">
      <c r="A530" s="19" t="s">
        <v>95</v>
      </c>
      <c r="B530" s="30" t="s">
        <v>1879</v>
      </c>
      <c r="C530" s="61" t="s">
        <v>118</v>
      </c>
      <c r="D530" s="61" t="s">
        <v>1880</v>
      </c>
      <c r="E530" s="61" t="s">
        <v>1881</v>
      </c>
      <c r="F530" s="61" t="s">
        <v>40</v>
      </c>
      <c r="G530" s="22">
        <v>45153.128472222219</v>
      </c>
      <c r="H530" s="22">
        <v>45153.155555555553</v>
      </c>
      <c r="I530" s="62" t="s">
        <v>1102</v>
      </c>
      <c r="J530" s="63" t="s">
        <v>72</v>
      </c>
      <c r="K530" s="63"/>
      <c r="L530" s="64"/>
    </row>
    <row r="531" spans="1:12">
      <c r="A531" s="1" t="s">
        <v>95</v>
      </c>
      <c r="B531" s="34" t="s">
        <v>1882</v>
      </c>
      <c r="C531" s="53" t="s">
        <v>118</v>
      </c>
      <c r="D531" s="53" t="s">
        <v>1883</v>
      </c>
      <c r="E531" s="53" t="s">
        <v>1884</v>
      </c>
      <c r="F531" s="53" t="s">
        <v>40</v>
      </c>
      <c r="G531" s="16">
        <v>45153.146527777775</v>
      </c>
      <c r="H531" s="16">
        <v>45153.181250000001</v>
      </c>
      <c r="I531" s="58" t="s">
        <v>1102</v>
      </c>
      <c r="J531" s="59" t="s">
        <v>72</v>
      </c>
      <c r="K531" s="59"/>
      <c r="L531" s="60"/>
    </row>
    <row r="532" spans="1:12">
      <c r="A532" s="19" t="s">
        <v>95</v>
      </c>
      <c r="B532" s="30" t="s">
        <v>1885</v>
      </c>
      <c r="C532" s="61" t="s">
        <v>118</v>
      </c>
      <c r="D532" s="61" t="s">
        <v>1886</v>
      </c>
      <c r="E532" s="61" t="s">
        <v>1887</v>
      </c>
      <c r="F532" s="61" t="s">
        <v>40</v>
      </c>
      <c r="G532" s="22">
        <v>45153.19027777778</v>
      </c>
      <c r="H532" s="22">
        <v>45153.215277777781</v>
      </c>
      <c r="I532" s="62" t="s">
        <v>32</v>
      </c>
      <c r="J532" s="63" t="s">
        <v>72</v>
      </c>
      <c r="K532" s="63"/>
      <c r="L532" s="64"/>
    </row>
    <row r="533" spans="1:12">
      <c r="A533" s="1" t="s">
        <v>106</v>
      </c>
      <c r="B533" s="34" t="s">
        <v>1888</v>
      </c>
      <c r="C533" s="53" t="s">
        <v>37</v>
      </c>
      <c r="D533" s="53" t="s">
        <v>1889</v>
      </c>
      <c r="E533" s="53" t="s">
        <v>1890</v>
      </c>
      <c r="F533" s="53" t="s">
        <v>40</v>
      </c>
      <c r="G533" s="16">
        <v>45153.419444444444</v>
      </c>
      <c r="H533" s="16">
        <v>45153.430555555555</v>
      </c>
      <c r="I533" s="58" t="s">
        <v>32</v>
      </c>
      <c r="J533" s="59" t="s">
        <v>61</v>
      </c>
      <c r="K533" s="59"/>
      <c r="L533" s="60"/>
    </row>
    <row r="534" spans="1:12">
      <c r="A534" s="19" t="s">
        <v>106</v>
      </c>
      <c r="B534" s="30" t="s">
        <v>1891</v>
      </c>
      <c r="C534" s="61" t="s">
        <v>333</v>
      </c>
      <c r="D534" s="61" t="s">
        <v>1892</v>
      </c>
      <c r="E534" s="61" t="s">
        <v>1893</v>
      </c>
      <c r="F534" s="61" t="s">
        <v>40</v>
      </c>
      <c r="G534" s="22">
        <v>45153.37777777778</v>
      </c>
      <c r="H534" s="22">
        <v>45153.604166666664</v>
      </c>
      <c r="I534" s="62" t="s">
        <v>1894</v>
      </c>
      <c r="J534" s="63" t="s">
        <v>61</v>
      </c>
      <c r="K534" s="63"/>
      <c r="L534" s="64"/>
    </row>
    <row r="535" spans="1:12">
      <c r="A535" s="42" t="s">
        <v>106</v>
      </c>
      <c r="B535" s="34" t="s">
        <v>1895</v>
      </c>
      <c r="C535" s="53" t="s">
        <v>108</v>
      </c>
      <c r="D535" s="53" t="s">
        <v>1896</v>
      </c>
      <c r="E535" s="53" t="s">
        <v>1897</v>
      </c>
      <c r="F535" s="53" t="s">
        <v>40</v>
      </c>
      <c r="G535" s="16">
        <v>45153.59375</v>
      </c>
      <c r="H535" s="16">
        <v>45153.606249999997</v>
      </c>
      <c r="I535" s="58" t="s">
        <v>1898</v>
      </c>
      <c r="J535" s="59" t="s">
        <v>61</v>
      </c>
      <c r="K535" s="59"/>
      <c r="L535" s="60"/>
    </row>
    <row r="536" spans="1:12">
      <c r="A536" s="41" t="s">
        <v>106</v>
      </c>
      <c r="B536" s="30" t="s">
        <v>1899</v>
      </c>
      <c r="C536" s="61" t="s">
        <v>108</v>
      </c>
      <c r="D536" s="61" t="s">
        <v>1900</v>
      </c>
      <c r="E536" s="61" t="s">
        <v>1901</v>
      </c>
      <c r="F536" s="61" t="s">
        <v>40</v>
      </c>
      <c r="G536" s="22">
        <v>45153.677083333336</v>
      </c>
      <c r="H536" s="22">
        <v>45153.731249999997</v>
      </c>
      <c r="I536" s="62" t="s">
        <v>1470</v>
      </c>
      <c r="J536" s="63" t="s">
        <v>61</v>
      </c>
      <c r="K536" s="63"/>
      <c r="L536" s="64"/>
    </row>
    <row r="537" spans="1:12">
      <c r="A537" s="1" t="s">
        <v>20</v>
      </c>
      <c r="B537" s="34" t="s">
        <v>1902</v>
      </c>
      <c r="C537" s="53" t="s">
        <v>21</v>
      </c>
      <c r="D537" s="53" t="s">
        <v>1903</v>
      </c>
      <c r="E537" s="53" t="s">
        <v>1904</v>
      </c>
      <c r="F537" s="53" t="s">
        <v>40</v>
      </c>
      <c r="G537" s="16">
        <v>45153.829861111109</v>
      </c>
      <c r="H537" s="16">
        <v>45153.847222222219</v>
      </c>
      <c r="I537" s="58" t="s">
        <v>52</v>
      </c>
      <c r="J537" s="59" t="s">
        <v>72</v>
      </c>
      <c r="K537" s="59"/>
      <c r="L537" s="60"/>
    </row>
    <row r="538" spans="1:12">
      <c r="A538" s="19" t="s">
        <v>20</v>
      </c>
      <c r="B538" s="30" t="s">
        <v>1905</v>
      </c>
      <c r="C538" s="61" t="s">
        <v>21</v>
      </c>
      <c r="D538" s="61" t="s">
        <v>1906</v>
      </c>
      <c r="E538" s="61" t="s">
        <v>1907</v>
      </c>
      <c r="F538" s="61" t="s">
        <v>40</v>
      </c>
      <c r="G538" s="22">
        <v>45153.854166666664</v>
      </c>
      <c r="H538" s="22">
        <v>45153.877083333333</v>
      </c>
      <c r="I538" s="62" t="s">
        <v>52</v>
      </c>
      <c r="J538" s="63" t="s">
        <v>72</v>
      </c>
      <c r="K538" s="63"/>
      <c r="L538" s="64"/>
    </row>
    <row r="539" spans="1:12">
      <c r="A539" s="1" t="s">
        <v>20</v>
      </c>
      <c r="B539" s="34" t="s">
        <v>1908</v>
      </c>
      <c r="C539" s="53" t="s">
        <v>21</v>
      </c>
      <c r="D539" s="53" t="s">
        <v>1909</v>
      </c>
      <c r="E539" s="53" t="s">
        <v>1910</v>
      </c>
      <c r="F539" s="53" t="s">
        <v>40</v>
      </c>
      <c r="G539" s="16">
        <v>45153.902083333334</v>
      </c>
      <c r="H539" s="16">
        <v>45153.915277777778</v>
      </c>
      <c r="I539" s="58" t="s">
        <v>52</v>
      </c>
      <c r="J539" s="59" t="s">
        <v>72</v>
      </c>
      <c r="K539" s="59"/>
      <c r="L539" s="60"/>
    </row>
    <row r="540" spans="1:12">
      <c r="A540" s="19" t="s">
        <v>20</v>
      </c>
      <c r="B540" s="30" t="s">
        <v>1911</v>
      </c>
      <c r="C540" s="61" t="s">
        <v>13</v>
      </c>
      <c r="D540" s="61" t="s">
        <v>1912</v>
      </c>
      <c r="E540" s="61" t="s">
        <v>1913</v>
      </c>
      <c r="F540" s="61" t="s">
        <v>40</v>
      </c>
      <c r="G540" s="22">
        <v>45154.015972222223</v>
      </c>
      <c r="H540" s="22">
        <v>45154.040972222225</v>
      </c>
      <c r="I540" s="62" t="s">
        <v>17</v>
      </c>
      <c r="J540" s="63" t="s">
        <v>72</v>
      </c>
      <c r="K540" s="63"/>
      <c r="L540" s="64"/>
    </row>
    <row r="541" spans="1:12">
      <c r="A541" s="42" t="s">
        <v>20</v>
      </c>
      <c r="B541" s="34" t="s">
        <v>1914</v>
      </c>
      <c r="C541" s="53" t="s">
        <v>21</v>
      </c>
      <c r="D541" s="53" t="s">
        <v>1915</v>
      </c>
      <c r="E541" s="53" t="s">
        <v>1907</v>
      </c>
      <c r="F541" s="53" t="s">
        <v>40</v>
      </c>
      <c r="G541" s="16">
        <v>45154.022916666669</v>
      </c>
      <c r="H541" s="16">
        <v>45154.058333333334</v>
      </c>
      <c r="I541" s="58" t="s">
        <v>52</v>
      </c>
      <c r="J541" s="59" t="s">
        <v>72</v>
      </c>
      <c r="K541" s="59"/>
      <c r="L541" s="60"/>
    </row>
    <row r="542" spans="1:12">
      <c r="A542" s="41" t="s">
        <v>20</v>
      </c>
      <c r="B542" s="30" t="s">
        <v>1916</v>
      </c>
      <c r="C542" s="61" t="s">
        <v>21</v>
      </c>
      <c r="D542" s="61" t="s">
        <v>1917</v>
      </c>
      <c r="E542" s="61" t="s">
        <v>1907</v>
      </c>
      <c r="F542" s="61" t="s">
        <v>40</v>
      </c>
      <c r="G542" s="22">
        <v>45154.168749999997</v>
      </c>
      <c r="H542" s="22">
        <v>45154.210416666669</v>
      </c>
      <c r="I542" s="62" t="s">
        <v>52</v>
      </c>
      <c r="J542" s="63" t="s">
        <v>72</v>
      </c>
      <c r="K542" s="63"/>
      <c r="L542" s="64"/>
    </row>
    <row r="543" spans="1:12" ht="29">
      <c r="A543" s="42" t="s">
        <v>20</v>
      </c>
      <c r="B543" s="66" t="s">
        <v>1918</v>
      </c>
      <c r="C543" s="53" t="s">
        <v>13</v>
      </c>
      <c r="D543" s="53" t="s">
        <v>1919</v>
      </c>
      <c r="E543" s="53" t="s">
        <v>1920</v>
      </c>
      <c r="F543" s="53" t="s">
        <v>40</v>
      </c>
      <c r="G543" s="16">
        <v>45154.811805555553</v>
      </c>
      <c r="H543" s="16">
        <v>45154.979166666664</v>
      </c>
      <c r="I543" s="58" t="s">
        <v>17</v>
      </c>
      <c r="J543" s="59" t="s">
        <v>101</v>
      </c>
      <c r="K543" s="59"/>
      <c r="L543" s="60"/>
    </row>
    <row r="544" spans="1:12">
      <c r="A544" s="41" t="s">
        <v>106</v>
      </c>
      <c r="B544" s="52" t="s">
        <v>1921</v>
      </c>
      <c r="C544" s="61" t="s">
        <v>313</v>
      </c>
      <c r="D544" s="61" t="s">
        <v>1922</v>
      </c>
      <c r="E544" s="21" t="s">
        <v>1923</v>
      </c>
      <c r="F544" s="61" t="s">
        <v>40</v>
      </c>
      <c r="G544" s="22">
        <v>45155.081944444442</v>
      </c>
      <c r="H544" s="22">
        <v>45155.125</v>
      </c>
      <c r="I544" s="62" t="s">
        <v>32</v>
      </c>
      <c r="J544" s="63" t="s">
        <v>101</v>
      </c>
      <c r="K544" s="63"/>
      <c r="L544" s="64"/>
    </row>
    <row r="545" spans="1:12" ht="275.5">
      <c r="A545" s="42" t="s">
        <v>106</v>
      </c>
      <c r="B545" s="66" t="s">
        <v>1924</v>
      </c>
      <c r="C545" s="53" t="s">
        <v>49</v>
      </c>
      <c r="D545" s="53" t="s">
        <v>1925</v>
      </c>
      <c r="E545" s="73" t="s">
        <v>1926</v>
      </c>
      <c r="F545" s="53" t="s">
        <v>40</v>
      </c>
      <c r="G545" s="16">
        <v>45155.125</v>
      </c>
      <c r="H545" s="16">
        <v>45155.159722222219</v>
      </c>
      <c r="I545" s="58" t="s">
        <v>105</v>
      </c>
      <c r="J545" s="59" t="s">
        <v>101</v>
      </c>
      <c r="K545" s="59"/>
      <c r="L545" s="60"/>
    </row>
    <row r="546" spans="1:12">
      <c r="A546" s="41" t="s">
        <v>20</v>
      </c>
      <c r="B546" s="52" t="s">
        <v>1927</v>
      </c>
      <c r="C546" s="61" t="s">
        <v>21</v>
      </c>
      <c r="D546" s="61" t="s">
        <v>1928</v>
      </c>
      <c r="E546" s="61" t="s">
        <v>1929</v>
      </c>
      <c r="F546" s="61" t="s">
        <v>40</v>
      </c>
      <c r="G546" s="22">
        <v>45155.15625</v>
      </c>
      <c r="H546" s="22">
        <v>45155.169444444444</v>
      </c>
      <c r="I546" s="62" t="s">
        <v>629</v>
      </c>
      <c r="J546" s="63" t="s">
        <v>101</v>
      </c>
      <c r="K546" s="63"/>
      <c r="L546" s="64"/>
    </row>
    <row r="547" spans="1:12">
      <c r="A547" s="55" t="s">
        <v>20</v>
      </c>
      <c r="B547" s="74" t="s">
        <v>1930</v>
      </c>
      <c r="C547" s="2" t="s">
        <v>49</v>
      </c>
      <c r="D547" s="2" t="s">
        <v>699</v>
      </c>
      <c r="E547" s="2" t="s">
        <v>1931</v>
      </c>
      <c r="F547" s="2" t="s">
        <v>40</v>
      </c>
      <c r="G547" s="16">
        <v>45155.320138888892</v>
      </c>
      <c r="H547" s="16">
        <v>45155.357638888891</v>
      </c>
      <c r="I547" s="4" t="s">
        <v>701</v>
      </c>
      <c r="J547" s="5" t="s">
        <v>101</v>
      </c>
      <c r="K547" s="5"/>
      <c r="L547" s="75"/>
    </row>
    <row r="548" spans="1:12">
      <c r="A548" s="56" t="s">
        <v>95</v>
      </c>
      <c r="B548" s="8" t="s">
        <v>1932</v>
      </c>
      <c r="C548" s="7" t="s">
        <v>97</v>
      </c>
      <c r="D548" s="7" t="s">
        <v>1933</v>
      </c>
      <c r="E548" s="7" t="s">
        <v>1934</v>
      </c>
      <c r="F548" s="7" t="s">
        <v>40</v>
      </c>
      <c r="G548" s="22">
        <v>45161.368055555555</v>
      </c>
      <c r="H548" s="22">
        <v>45161.397222222222</v>
      </c>
      <c r="I548" s="11" t="s">
        <v>32</v>
      </c>
      <c r="J548" s="12" t="s">
        <v>72</v>
      </c>
      <c r="K548" s="12"/>
      <c r="L548" s="76"/>
    </row>
    <row r="549" spans="1:12">
      <c r="A549" s="55" t="s">
        <v>20</v>
      </c>
      <c r="B549" s="3" t="s">
        <v>1935</v>
      </c>
      <c r="C549" s="2" t="s">
        <v>13</v>
      </c>
      <c r="D549" s="2" t="s">
        <v>1936</v>
      </c>
      <c r="E549" s="2" t="s">
        <v>1937</v>
      </c>
      <c r="F549" s="2" t="s">
        <v>308</v>
      </c>
      <c r="G549" s="16">
        <v>45161.481944444444</v>
      </c>
      <c r="H549" s="16"/>
      <c r="I549" s="4" t="s">
        <v>17</v>
      </c>
      <c r="J549" s="5" t="s">
        <v>72</v>
      </c>
      <c r="K549" s="5"/>
      <c r="L549" s="75"/>
    </row>
    <row r="550" spans="1:12">
      <c r="A550" s="56" t="s">
        <v>106</v>
      </c>
      <c r="B550" s="8" t="s">
        <v>1938</v>
      </c>
      <c r="C550" s="7" t="s">
        <v>108</v>
      </c>
      <c r="D550" s="7" t="s">
        <v>1939</v>
      </c>
      <c r="E550" s="7" t="s">
        <v>1940</v>
      </c>
      <c r="F550" s="7" t="s">
        <v>40</v>
      </c>
      <c r="G550" s="22">
        <v>45161.669444444444</v>
      </c>
      <c r="H550" s="22">
        <v>45161.688888888886</v>
      </c>
      <c r="I550" s="11" t="s">
        <v>318</v>
      </c>
      <c r="J550" s="12" t="s">
        <v>72</v>
      </c>
      <c r="K550" s="12"/>
      <c r="L550" s="76"/>
    </row>
    <row r="551" spans="1:12">
      <c r="A551" s="55" t="s">
        <v>95</v>
      </c>
      <c r="B551" s="3" t="s">
        <v>1941</v>
      </c>
      <c r="C551" s="2" t="s">
        <v>118</v>
      </c>
      <c r="D551" s="2" t="s">
        <v>1942</v>
      </c>
      <c r="E551" s="2" t="s">
        <v>1943</v>
      </c>
      <c r="F551" s="2" t="s">
        <v>40</v>
      </c>
      <c r="G551" s="16">
        <v>45161.919444444444</v>
      </c>
      <c r="H551" s="16">
        <v>45161.961111111108</v>
      </c>
      <c r="I551" s="4" t="s">
        <v>325</v>
      </c>
      <c r="J551" s="5" t="s">
        <v>61</v>
      </c>
      <c r="K551" s="5"/>
      <c r="L551" s="75"/>
    </row>
    <row r="552" spans="1:12">
      <c r="A552" s="56" t="s">
        <v>20</v>
      </c>
      <c r="B552" s="8" t="s">
        <v>1944</v>
      </c>
      <c r="C552" s="7" t="s">
        <v>21</v>
      </c>
      <c r="D552" s="7" t="s">
        <v>1945</v>
      </c>
      <c r="E552" s="7" t="s">
        <v>1946</v>
      </c>
      <c r="F552" s="7" t="s">
        <v>40</v>
      </c>
      <c r="G552" s="22">
        <v>45161.919444444444</v>
      </c>
      <c r="H552" s="22">
        <v>45162.00277777778</v>
      </c>
      <c r="I552" s="11" t="s">
        <v>1947</v>
      </c>
      <c r="J552" s="12" t="s">
        <v>61</v>
      </c>
      <c r="K552" s="12"/>
      <c r="L552" s="76"/>
    </row>
    <row r="553" spans="1:12">
      <c r="A553" s="55" t="s">
        <v>106</v>
      </c>
      <c r="B553" s="3" t="s">
        <v>1948</v>
      </c>
      <c r="C553" s="2" t="s">
        <v>37</v>
      </c>
      <c r="D553" s="2" t="s">
        <v>1949</v>
      </c>
      <c r="E553" s="2" t="s">
        <v>1950</v>
      </c>
      <c r="F553" s="2" t="s">
        <v>214</v>
      </c>
      <c r="G553" s="16">
        <v>45162.919444444444</v>
      </c>
      <c r="H553" s="16"/>
      <c r="I553" s="4" t="s">
        <v>32</v>
      </c>
      <c r="J553" s="5" t="s">
        <v>61</v>
      </c>
      <c r="K553" s="5"/>
      <c r="L553" s="75"/>
    </row>
    <row r="554" spans="1:12">
      <c r="A554" s="56" t="s">
        <v>95</v>
      </c>
      <c r="B554" s="8" t="s">
        <v>1951</v>
      </c>
      <c r="C554" s="7" t="s">
        <v>118</v>
      </c>
      <c r="D554" s="7" t="s">
        <v>1952</v>
      </c>
      <c r="E554" s="7" t="s">
        <v>1953</v>
      </c>
      <c r="F554" s="7" t="s">
        <v>214</v>
      </c>
      <c r="G554" s="22">
        <v>45162.122916666667</v>
      </c>
      <c r="H554" s="22">
        <v>45162.581250000003</v>
      </c>
      <c r="I554" s="11" t="s">
        <v>325</v>
      </c>
      <c r="J554" s="12" t="s">
        <v>61</v>
      </c>
      <c r="K554" s="12"/>
      <c r="L554" s="76"/>
    </row>
    <row r="555" spans="1:12">
      <c r="A555" s="55" t="s">
        <v>20</v>
      </c>
      <c r="B555" s="3" t="s">
        <v>1954</v>
      </c>
      <c r="C555" s="2" t="s">
        <v>21</v>
      </c>
      <c r="D555" s="2" t="s">
        <v>1955</v>
      </c>
      <c r="E555" s="2" t="s">
        <v>1946</v>
      </c>
      <c r="F555" s="2" t="s">
        <v>40</v>
      </c>
      <c r="G555" s="16">
        <v>45162.164583333331</v>
      </c>
      <c r="H555" s="16">
        <v>45162.206250000003</v>
      </c>
      <c r="I555" s="4" t="s">
        <v>1947</v>
      </c>
      <c r="J555" s="5" t="s">
        <v>61</v>
      </c>
      <c r="K555" s="5"/>
      <c r="L555" s="75"/>
    </row>
    <row r="556" spans="1:12">
      <c r="A556" s="56" t="s">
        <v>106</v>
      </c>
      <c r="B556" s="8" t="s">
        <v>1956</v>
      </c>
      <c r="C556" s="7" t="s">
        <v>108</v>
      </c>
      <c r="D556" s="7" t="s">
        <v>1957</v>
      </c>
      <c r="E556" s="7"/>
      <c r="F556" s="7" t="s">
        <v>214</v>
      </c>
      <c r="G556" s="22">
        <v>45162.397222222222</v>
      </c>
      <c r="H556" s="22"/>
      <c r="I556" s="11" t="s">
        <v>1173</v>
      </c>
      <c r="J556" s="12" t="s">
        <v>72</v>
      </c>
      <c r="K556" s="12"/>
      <c r="L556" s="76"/>
    </row>
    <row r="557" spans="1:12">
      <c r="A557" s="55" t="s">
        <v>106</v>
      </c>
      <c r="B557" s="3" t="s">
        <v>1958</v>
      </c>
      <c r="C557" s="2" t="s">
        <v>108</v>
      </c>
      <c r="D557" s="2" t="s">
        <v>1959</v>
      </c>
      <c r="E557" s="2" t="s">
        <v>1960</v>
      </c>
      <c r="F557" s="2" t="s">
        <v>40</v>
      </c>
      <c r="G557" s="16">
        <v>45162.486111111109</v>
      </c>
      <c r="H557" s="16">
        <v>45162.523611111108</v>
      </c>
      <c r="I557" s="4" t="s">
        <v>111</v>
      </c>
      <c r="J557" s="5" t="s">
        <v>72</v>
      </c>
      <c r="K557" s="5"/>
      <c r="L557" s="75"/>
    </row>
    <row r="558" spans="1:12">
      <c r="A558" s="56" t="s">
        <v>106</v>
      </c>
      <c r="B558" s="8" t="s">
        <v>1961</v>
      </c>
      <c r="C558" s="7" t="s">
        <v>333</v>
      </c>
      <c r="D558" s="7" t="s">
        <v>1962</v>
      </c>
      <c r="E558" s="7" t="s">
        <v>1963</v>
      </c>
      <c r="F558" s="7" t="s">
        <v>40</v>
      </c>
      <c r="G558" s="22">
        <v>45162.822222222225</v>
      </c>
      <c r="H558" s="22">
        <v>45163.00277777778</v>
      </c>
      <c r="I558" s="11" t="s">
        <v>1964</v>
      </c>
      <c r="J558" s="12" t="s">
        <v>61</v>
      </c>
      <c r="K558" s="12"/>
      <c r="L558" s="76"/>
    </row>
    <row r="559" spans="1:12">
      <c r="A559" s="55" t="s">
        <v>95</v>
      </c>
      <c r="B559" s="3" t="s">
        <v>1965</v>
      </c>
      <c r="C559" s="2" t="s">
        <v>97</v>
      </c>
      <c r="D559" s="2" t="s">
        <v>1966</v>
      </c>
      <c r="E559" s="2" t="s">
        <v>1967</v>
      </c>
      <c r="F559" s="2" t="s">
        <v>40</v>
      </c>
      <c r="G559" s="16">
        <v>45162.736111111109</v>
      </c>
      <c r="H559" s="16">
        <v>45162.770833333336</v>
      </c>
      <c r="I559" s="4" t="s">
        <v>1343</v>
      </c>
      <c r="J559" s="5" t="s">
        <v>72</v>
      </c>
      <c r="K559" s="5"/>
      <c r="L559" s="75"/>
    </row>
    <row r="560" spans="1:12">
      <c r="A560" s="56" t="s">
        <v>106</v>
      </c>
      <c r="B560" s="8" t="s">
        <v>1968</v>
      </c>
      <c r="C560" s="7" t="s">
        <v>108</v>
      </c>
      <c r="D560" s="7" t="s">
        <v>1969</v>
      </c>
      <c r="E560" s="7" t="s">
        <v>1970</v>
      </c>
      <c r="F560" s="7" t="s">
        <v>40</v>
      </c>
      <c r="G560" s="22">
        <v>45162.739583333336</v>
      </c>
      <c r="H560" s="22">
        <v>45162.786111111112</v>
      </c>
      <c r="I560" s="11" t="s">
        <v>1971</v>
      </c>
      <c r="J560" s="12" t="s">
        <v>72</v>
      </c>
      <c r="K560" s="12"/>
      <c r="L560" s="76"/>
    </row>
    <row r="561" spans="1:12">
      <c r="A561" s="55" t="s">
        <v>20</v>
      </c>
      <c r="B561" s="3" t="s">
        <v>1972</v>
      </c>
      <c r="C561" s="2" t="s">
        <v>21</v>
      </c>
      <c r="D561" s="2" t="s">
        <v>1973</v>
      </c>
      <c r="E561" s="2" t="s">
        <v>1974</v>
      </c>
      <c r="F561" s="2" t="s">
        <v>40</v>
      </c>
      <c r="G561" s="16">
        <v>45162.831944444442</v>
      </c>
      <c r="H561" s="16">
        <v>45162.859722222223</v>
      </c>
      <c r="I561" s="4" t="s">
        <v>52</v>
      </c>
      <c r="J561" s="5" t="s">
        <v>61</v>
      </c>
      <c r="K561" s="5"/>
      <c r="L561" s="75"/>
    </row>
    <row r="562" spans="1:12">
      <c r="A562" s="56" t="s">
        <v>106</v>
      </c>
      <c r="B562" s="8" t="s">
        <v>1975</v>
      </c>
      <c r="C562" s="7" t="s">
        <v>108</v>
      </c>
      <c r="D562" s="7" t="s">
        <v>1976</v>
      </c>
      <c r="E562" s="7" t="s">
        <v>1977</v>
      </c>
      <c r="F562" s="7" t="s">
        <v>308</v>
      </c>
      <c r="G562" s="22">
        <v>45162.873611111114</v>
      </c>
      <c r="H562" s="22">
        <v>45163.040277777778</v>
      </c>
      <c r="I562" s="11" t="s">
        <v>111</v>
      </c>
      <c r="J562" s="12" t="s">
        <v>61</v>
      </c>
      <c r="K562" s="12"/>
      <c r="L562" s="76"/>
    </row>
    <row r="563" spans="1:12">
      <c r="A563" s="55" t="s">
        <v>95</v>
      </c>
      <c r="B563" s="3" t="s">
        <v>1978</v>
      </c>
      <c r="C563" s="2" t="s">
        <v>118</v>
      </c>
      <c r="D563" s="2" t="s">
        <v>1979</v>
      </c>
      <c r="E563" s="2" t="s">
        <v>1980</v>
      </c>
      <c r="F563" s="2" t="s">
        <v>40</v>
      </c>
      <c r="G563" s="16">
        <v>45163.029861111114</v>
      </c>
      <c r="H563" s="16">
        <v>45163.06527777778</v>
      </c>
      <c r="I563" s="4" t="s">
        <v>325</v>
      </c>
      <c r="J563" s="5" t="s">
        <v>61</v>
      </c>
      <c r="K563" s="5"/>
      <c r="L563" s="75"/>
    </row>
    <row r="564" spans="1:12">
      <c r="A564" s="56" t="s">
        <v>20</v>
      </c>
      <c r="B564" s="8" t="s">
        <v>1981</v>
      </c>
      <c r="C564" s="7" t="s">
        <v>21</v>
      </c>
      <c r="D564" s="7" t="s">
        <v>1982</v>
      </c>
      <c r="E564" s="7" t="s">
        <v>1983</v>
      </c>
      <c r="F564" s="7" t="s">
        <v>40</v>
      </c>
      <c r="G564" s="22">
        <v>45163.280555555553</v>
      </c>
      <c r="H564" s="22">
        <v>45163.364583333336</v>
      </c>
      <c r="I564" s="11" t="s">
        <v>64</v>
      </c>
      <c r="J564" s="12" t="s">
        <v>61</v>
      </c>
      <c r="K564" s="12"/>
      <c r="L564" s="76"/>
    </row>
    <row r="565" spans="1:12">
      <c r="A565" s="55" t="s">
        <v>20</v>
      </c>
      <c r="B565" s="3" t="s">
        <v>1984</v>
      </c>
      <c r="C565" s="2" t="s">
        <v>49</v>
      </c>
      <c r="D565" s="2" t="s">
        <v>1985</v>
      </c>
      <c r="E565" s="2" t="s">
        <v>1986</v>
      </c>
      <c r="F565" s="2" t="s">
        <v>40</v>
      </c>
      <c r="G565" s="16">
        <v>45163.341666666667</v>
      </c>
      <c r="H565" s="16">
        <v>45163.375694444447</v>
      </c>
      <c r="I565" s="4" t="s">
        <v>1987</v>
      </c>
      <c r="J565" s="5" t="s">
        <v>72</v>
      </c>
      <c r="K565" s="5"/>
      <c r="L565" s="75"/>
    </row>
    <row r="566" spans="1:12">
      <c r="A566" s="56" t="s">
        <v>106</v>
      </c>
      <c r="B566" s="8" t="s">
        <v>1988</v>
      </c>
      <c r="C566" s="7" t="s">
        <v>108</v>
      </c>
      <c r="D566" s="7" t="s">
        <v>1989</v>
      </c>
      <c r="E566" s="7" t="s">
        <v>1990</v>
      </c>
      <c r="F566" s="7" t="s">
        <v>40</v>
      </c>
      <c r="G566" s="22">
        <v>45163.509722222225</v>
      </c>
      <c r="H566" s="22">
        <v>45163.542361111111</v>
      </c>
      <c r="I566" s="11" t="s">
        <v>946</v>
      </c>
      <c r="J566" s="12" t="s">
        <v>72</v>
      </c>
      <c r="K566" s="12"/>
      <c r="L566" s="76"/>
    </row>
    <row r="567" spans="1:12">
      <c r="A567" s="55" t="s">
        <v>20</v>
      </c>
      <c r="B567" s="3" t="s">
        <v>1991</v>
      </c>
      <c r="C567" s="2" t="s">
        <v>13</v>
      </c>
      <c r="D567" s="2" t="s">
        <v>1992</v>
      </c>
      <c r="E567" s="2" t="s">
        <v>1993</v>
      </c>
      <c r="F567" s="2" t="s">
        <v>40</v>
      </c>
      <c r="G567" s="16">
        <v>45163.520138888889</v>
      </c>
      <c r="H567" s="16">
        <v>45163.551388888889</v>
      </c>
      <c r="I567" s="4" t="s">
        <v>17</v>
      </c>
      <c r="J567" s="5" t="s">
        <v>72</v>
      </c>
      <c r="K567" s="5"/>
      <c r="L567" s="75"/>
    </row>
    <row r="568" spans="1:12">
      <c r="A568" s="56" t="s">
        <v>106</v>
      </c>
      <c r="B568" s="8" t="s">
        <v>1994</v>
      </c>
      <c r="C568" s="7" t="s">
        <v>108</v>
      </c>
      <c r="D568" s="7" t="s">
        <v>1995</v>
      </c>
      <c r="E568" s="7" t="s">
        <v>1996</v>
      </c>
      <c r="F568" s="7" t="s">
        <v>40</v>
      </c>
      <c r="G568" s="22">
        <v>45163.667361111111</v>
      </c>
      <c r="H568" s="22">
        <v>45163.7</v>
      </c>
      <c r="I568" s="11" t="s">
        <v>946</v>
      </c>
      <c r="J568" s="12" t="s">
        <v>72</v>
      </c>
      <c r="K568" s="12"/>
      <c r="L568" s="76"/>
    </row>
    <row r="569" spans="1:12">
      <c r="A569" s="55" t="s">
        <v>95</v>
      </c>
      <c r="B569" s="3" t="s">
        <v>1997</v>
      </c>
      <c r="C569" s="2" t="s">
        <v>118</v>
      </c>
      <c r="D569" s="2" t="s">
        <v>1998</v>
      </c>
      <c r="E569" s="2" t="s">
        <v>1907</v>
      </c>
      <c r="F569" s="2" t="s">
        <v>40</v>
      </c>
      <c r="G569" s="16">
        <v>45163.772222222222</v>
      </c>
      <c r="H569" s="16">
        <v>45163.784722222219</v>
      </c>
      <c r="I569" s="4" t="s">
        <v>1999</v>
      </c>
      <c r="J569" s="5" t="s">
        <v>72</v>
      </c>
      <c r="K569" s="5"/>
      <c r="L569" s="75"/>
    </row>
    <row r="570" spans="1:12">
      <c r="A570" s="54" t="s">
        <v>20</v>
      </c>
      <c r="B570" s="20" t="s">
        <v>2000</v>
      </c>
      <c r="C570" s="77" t="s">
        <v>21</v>
      </c>
      <c r="D570" s="77" t="s">
        <v>2001</v>
      </c>
      <c r="E570" s="77" t="s">
        <v>2002</v>
      </c>
      <c r="F570" s="77" t="s">
        <v>40</v>
      </c>
      <c r="G570" s="22">
        <v>45163.841666666667</v>
      </c>
      <c r="H570" s="22">
        <v>45163.883333333331</v>
      </c>
      <c r="I570" s="78" t="s">
        <v>2003</v>
      </c>
      <c r="J570" s="79" t="s">
        <v>61</v>
      </c>
      <c r="K570" s="79"/>
      <c r="L570" s="80"/>
    </row>
    <row r="571" spans="1:12">
      <c r="A571" s="1" t="s">
        <v>20</v>
      </c>
      <c r="B571" s="14" t="s">
        <v>2004</v>
      </c>
      <c r="C571" s="81" t="s">
        <v>21</v>
      </c>
      <c r="D571" s="81" t="s">
        <v>2005</v>
      </c>
      <c r="E571" s="81" t="s">
        <v>2006</v>
      </c>
      <c r="F571" s="81" t="s">
        <v>40</v>
      </c>
      <c r="G571" s="16">
        <v>45163.892361111109</v>
      </c>
      <c r="H571" s="16">
        <v>45163.934027777781</v>
      </c>
      <c r="I571" s="82" t="s">
        <v>1052</v>
      </c>
      <c r="J571" s="83" t="s">
        <v>61</v>
      </c>
      <c r="K571" s="83"/>
      <c r="L571" s="84"/>
    </row>
    <row r="572" spans="1:12">
      <c r="A572" s="19" t="s">
        <v>20</v>
      </c>
      <c r="B572" s="20" t="s">
        <v>2007</v>
      </c>
      <c r="C572" s="77" t="s">
        <v>21</v>
      </c>
      <c r="D572" s="77" t="s">
        <v>2008</v>
      </c>
      <c r="E572" s="77" t="s">
        <v>2009</v>
      </c>
      <c r="F572" s="77" t="s">
        <v>40</v>
      </c>
      <c r="G572" s="22">
        <v>45163.965277777781</v>
      </c>
      <c r="H572" s="22">
        <v>45163.976388888892</v>
      </c>
      <c r="I572" s="78" t="s">
        <v>64</v>
      </c>
      <c r="J572" s="79" t="s">
        <v>61</v>
      </c>
      <c r="K572" s="79"/>
      <c r="L572" s="80"/>
    </row>
    <row r="573" spans="1:12">
      <c r="A573" s="1" t="s">
        <v>20</v>
      </c>
      <c r="B573" s="14" t="s">
        <v>2010</v>
      </c>
      <c r="C573" s="81" t="s">
        <v>21</v>
      </c>
      <c r="D573" s="81" t="s">
        <v>2011</v>
      </c>
      <c r="E573" s="15" t="s">
        <v>2002</v>
      </c>
      <c r="F573" s="81" t="s">
        <v>40</v>
      </c>
      <c r="G573" s="16">
        <v>45163.970833333333</v>
      </c>
      <c r="H573" s="16">
        <v>45164.012499999997</v>
      </c>
      <c r="I573" s="82" t="s">
        <v>1947</v>
      </c>
      <c r="J573" s="83" t="s">
        <v>61</v>
      </c>
      <c r="K573" s="83"/>
      <c r="L573" s="84"/>
    </row>
    <row r="574" spans="1:12">
      <c r="A574" s="41" t="s">
        <v>20</v>
      </c>
      <c r="B574" s="30" t="s">
        <v>2012</v>
      </c>
      <c r="C574" s="61" t="s">
        <v>13</v>
      </c>
      <c r="D574" s="77" t="s">
        <v>2013</v>
      </c>
      <c r="E574" s="21" t="s">
        <v>2014</v>
      </c>
      <c r="F574" s="77" t="s">
        <v>308</v>
      </c>
      <c r="G574" s="22">
        <v>45164.040277777778</v>
      </c>
      <c r="H574" s="22">
        <v>45164.081944444442</v>
      </c>
      <c r="I574" s="78" t="s">
        <v>2015</v>
      </c>
      <c r="J574" s="79" t="s">
        <v>61</v>
      </c>
      <c r="K574" s="79"/>
      <c r="L574" s="80"/>
    </row>
    <row r="575" spans="1:12">
      <c r="A575" s="42" t="s">
        <v>20</v>
      </c>
      <c r="B575" s="34" t="s">
        <v>2016</v>
      </c>
      <c r="C575" s="53" t="s">
        <v>13</v>
      </c>
      <c r="D575" s="15" t="s">
        <v>2017</v>
      </c>
      <c r="E575" s="15" t="s">
        <v>2018</v>
      </c>
      <c r="F575" s="53" t="s">
        <v>40</v>
      </c>
      <c r="G575" s="16">
        <v>45164.077777777777</v>
      </c>
      <c r="H575" s="16">
        <v>45164.091666666667</v>
      </c>
      <c r="I575" s="58" t="s">
        <v>2015</v>
      </c>
      <c r="J575" s="59" t="s">
        <v>61</v>
      </c>
      <c r="K575" s="59"/>
      <c r="L575" s="60"/>
    </row>
    <row r="576" spans="1:12">
      <c r="A576" s="41" t="s">
        <v>20</v>
      </c>
      <c r="B576" s="30" t="s">
        <v>2019</v>
      </c>
      <c r="C576" s="61" t="s">
        <v>21</v>
      </c>
      <c r="D576" s="61" t="s">
        <v>2020</v>
      </c>
      <c r="E576" s="21" t="s">
        <v>2021</v>
      </c>
      <c r="F576" s="61" t="s">
        <v>40</v>
      </c>
      <c r="G576" s="22">
        <v>45164.07916666667</v>
      </c>
      <c r="H576" s="22">
        <v>45164.092361111114</v>
      </c>
      <c r="I576" s="62" t="s">
        <v>2022</v>
      </c>
      <c r="J576" s="63" t="s">
        <v>61</v>
      </c>
      <c r="K576" s="63"/>
      <c r="L576" s="64"/>
    </row>
    <row r="577" spans="1:12">
      <c r="A577" s="42" t="s">
        <v>106</v>
      </c>
      <c r="B577" s="34" t="s">
        <v>2023</v>
      </c>
      <c r="C577" s="53" t="s">
        <v>37</v>
      </c>
      <c r="D577" s="53" t="s">
        <v>1391</v>
      </c>
      <c r="E577" s="2" t="s">
        <v>1392</v>
      </c>
      <c r="F577" s="53" t="s">
        <v>40</v>
      </c>
      <c r="G577" s="16">
        <v>45164.506944444445</v>
      </c>
      <c r="H577" s="16">
        <v>45164.534722222219</v>
      </c>
      <c r="I577" s="58" t="s">
        <v>32</v>
      </c>
      <c r="J577" s="59" t="s">
        <v>72</v>
      </c>
      <c r="K577" s="59"/>
      <c r="L577" s="60"/>
    </row>
    <row r="578" spans="1:12">
      <c r="A578" s="41" t="s">
        <v>106</v>
      </c>
      <c r="B578" s="30" t="s">
        <v>2024</v>
      </c>
      <c r="C578" s="61" t="s">
        <v>108</v>
      </c>
      <c r="D578" s="21" t="s">
        <v>2025</v>
      </c>
      <c r="E578" s="21" t="s">
        <v>2026</v>
      </c>
      <c r="F578" s="61" t="s">
        <v>40</v>
      </c>
      <c r="G578" s="22">
        <v>45164.669444444444</v>
      </c>
      <c r="H578" s="22">
        <v>45164.697222222225</v>
      </c>
      <c r="I578" s="62" t="s">
        <v>2027</v>
      </c>
      <c r="J578" s="63" t="s">
        <v>72</v>
      </c>
      <c r="K578" s="63"/>
      <c r="L578" s="64"/>
    </row>
    <row r="579" spans="1:12">
      <c r="A579" s="55" t="s">
        <v>106</v>
      </c>
      <c r="B579" s="3" t="s">
        <v>2028</v>
      </c>
      <c r="C579" s="2" t="s">
        <v>108</v>
      </c>
      <c r="D579" s="2" t="s">
        <v>2029</v>
      </c>
      <c r="E579" s="2"/>
      <c r="F579" s="2" t="s">
        <v>214</v>
      </c>
      <c r="G579" s="16">
        <v>45164.800000000003</v>
      </c>
      <c r="H579" s="16"/>
      <c r="I579" s="4"/>
      <c r="J579" s="5" t="s">
        <v>72</v>
      </c>
      <c r="K579" s="5"/>
      <c r="L579" s="75"/>
    </row>
    <row r="580" spans="1:12">
      <c r="A580" s="41" t="s">
        <v>20</v>
      </c>
      <c r="B580" s="30" t="s">
        <v>2030</v>
      </c>
      <c r="C580" s="61" t="s">
        <v>21</v>
      </c>
      <c r="D580" s="61" t="s">
        <v>2031</v>
      </c>
      <c r="E580" s="61" t="s">
        <v>2032</v>
      </c>
      <c r="F580" s="61" t="s">
        <v>40</v>
      </c>
      <c r="G580" s="22">
        <v>45164.833333333336</v>
      </c>
      <c r="H580" s="22">
        <v>45164.875</v>
      </c>
      <c r="I580" s="62" t="s">
        <v>2033</v>
      </c>
      <c r="J580" s="63" t="s">
        <v>61</v>
      </c>
      <c r="K580" s="63"/>
      <c r="L580" s="64"/>
    </row>
    <row r="581" spans="1:12">
      <c r="A581" s="42" t="s">
        <v>106</v>
      </c>
      <c r="B581" s="34" t="s">
        <v>2034</v>
      </c>
      <c r="C581" s="53" t="s">
        <v>2035</v>
      </c>
      <c r="D581" s="53" t="s">
        <v>2036</v>
      </c>
      <c r="E581" s="53" t="s">
        <v>2037</v>
      </c>
      <c r="F581" s="53" t="s">
        <v>40</v>
      </c>
      <c r="G581" s="16">
        <v>45164.886111111111</v>
      </c>
      <c r="H581" s="16">
        <v>45164.927777777775</v>
      </c>
      <c r="I581" s="58" t="s">
        <v>2038</v>
      </c>
      <c r="J581" s="59" t="s">
        <v>61</v>
      </c>
      <c r="K581" s="59"/>
      <c r="L581" s="60"/>
    </row>
    <row r="582" spans="1:12">
      <c r="A582" s="41" t="s">
        <v>20</v>
      </c>
      <c r="B582" s="30" t="s">
        <v>2039</v>
      </c>
      <c r="C582" s="61" t="s">
        <v>13</v>
      </c>
      <c r="D582" s="21" t="s">
        <v>2040</v>
      </c>
      <c r="E582" s="21" t="s">
        <v>2041</v>
      </c>
      <c r="F582" s="61" t="s">
        <v>40</v>
      </c>
      <c r="G582" s="22">
        <v>45164.915277777778</v>
      </c>
      <c r="H582" s="22">
        <v>45164.947222222225</v>
      </c>
      <c r="I582" s="62" t="s">
        <v>2042</v>
      </c>
      <c r="J582" s="63" t="s">
        <v>61</v>
      </c>
      <c r="K582" s="63"/>
      <c r="L582" s="64"/>
    </row>
    <row r="583" spans="1:12">
      <c r="A583" s="42" t="s">
        <v>20</v>
      </c>
      <c r="B583" s="34" t="s">
        <v>2043</v>
      </c>
      <c r="C583" s="53" t="s">
        <v>13</v>
      </c>
      <c r="D583" s="53" t="s">
        <v>2044</v>
      </c>
      <c r="E583" s="15" t="s">
        <v>2002</v>
      </c>
      <c r="F583" s="53" t="s">
        <v>40</v>
      </c>
      <c r="G583" s="16">
        <v>45165.252083333333</v>
      </c>
      <c r="H583" s="16">
        <v>45165.272916666669</v>
      </c>
      <c r="I583" s="58" t="s">
        <v>2045</v>
      </c>
      <c r="J583" s="59" t="s">
        <v>61</v>
      </c>
      <c r="K583" s="59"/>
      <c r="L583" s="60"/>
    </row>
    <row r="584" spans="1:12">
      <c r="A584" s="41" t="s">
        <v>106</v>
      </c>
      <c r="B584" s="30" t="s">
        <v>2046</v>
      </c>
      <c r="C584" s="61" t="s">
        <v>108</v>
      </c>
      <c r="D584" s="61" t="s">
        <v>2047</v>
      </c>
      <c r="E584" s="21" t="s">
        <v>2048</v>
      </c>
      <c r="F584" s="61" t="s">
        <v>40</v>
      </c>
      <c r="G584" s="22">
        <v>45165.938194444447</v>
      </c>
      <c r="H584" s="22">
        <v>45165.979861111111</v>
      </c>
      <c r="I584" s="62" t="s">
        <v>2049</v>
      </c>
      <c r="J584" s="63" t="s">
        <v>61</v>
      </c>
      <c r="K584" s="63"/>
      <c r="L584" s="64"/>
    </row>
    <row r="585" spans="1:12">
      <c r="A585" s="42" t="s">
        <v>20</v>
      </c>
      <c r="B585" s="34" t="s">
        <v>2050</v>
      </c>
      <c r="C585" s="53" t="s">
        <v>21</v>
      </c>
      <c r="D585" s="53" t="s">
        <v>2051</v>
      </c>
      <c r="E585" s="53" t="s">
        <v>2052</v>
      </c>
      <c r="F585" s="53" t="s">
        <v>40</v>
      </c>
      <c r="G585" s="16">
        <v>45165.947222222225</v>
      </c>
      <c r="H585" s="16">
        <v>45165.989583333336</v>
      </c>
      <c r="I585" s="58" t="s">
        <v>64</v>
      </c>
      <c r="J585" s="59" t="s">
        <v>61</v>
      </c>
      <c r="K585" s="59"/>
      <c r="L585" s="60"/>
    </row>
    <row r="586" spans="1:12">
      <c r="A586" s="41" t="s">
        <v>20</v>
      </c>
      <c r="B586" s="30" t="s">
        <v>2053</v>
      </c>
      <c r="C586" s="61" t="s">
        <v>21</v>
      </c>
      <c r="D586" s="61" t="s">
        <v>2001</v>
      </c>
      <c r="E586" s="61" t="s">
        <v>2054</v>
      </c>
      <c r="F586" s="61" t="s">
        <v>40</v>
      </c>
      <c r="G586" s="22">
        <v>45165.947222222225</v>
      </c>
      <c r="H586" s="22">
        <v>45165.989583333336</v>
      </c>
      <c r="I586" s="62" t="s">
        <v>64</v>
      </c>
      <c r="J586" s="63" t="s">
        <v>61</v>
      </c>
      <c r="K586" s="63"/>
      <c r="L586" s="64"/>
    </row>
    <row r="587" spans="1:12">
      <c r="A587" s="42" t="s">
        <v>20</v>
      </c>
      <c r="B587" s="34" t="s">
        <v>2055</v>
      </c>
      <c r="C587" s="53" t="s">
        <v>21</v>
      </c>
      <c r="D587" s="53" t="s">
        <v>2056</v>
      </c>
      <c r="E587" s="53" t="s">
        <v>2057</v>
      </c>
      <c r="F587" s="53" t="s">
        <v>40</v>
      </c>
      <c r="G587" s="16">
        <v>45166.272222222222</v>
      </c>
      <c r="H587" s="16">
        <v>45166.305555555555</v>
      </c>
      <c r="I587" s="58" t="s">
        <v>64</v>
      </c>
      <c r="J587" s="59" t="s">
        <v>61</v>
      </c>
      <c r="K587" s="59"/>
      <c r="L587" s="60"/>
    </row>
    <row r="588" spans="1:12">
      <c r="A588" s="41" t="s">
        <v>106</v>
      </c>
      <c r="B588" s="30" t="s">
        <v>2058</v>
      </c>
      <c r="C588" s="61" t="s">
        <v>333</v>
      </c>
      <c r="D588" s="61" t="s">
        <v>2059</v>
      </c>
      <c r="E588" s="61" t="s">
        <v>2060</v>
      </c>
      <c r="F588" s="61" t="s">
        <v>40</v>
      </c>
      <c r="G588" s="22">
        <v>45166.840277777781</v>
      </c>
      <c r="H588" s="22">
        <v>45166.881944444445</v>
      </c>
      <c r="I588" s="62" t="s">
        <v>1894</v>
      </c>
      <c r="J588" s="63" t="s">
        <v>61</v>
      </c>
      <c r="K588" s="63"/>
      <c r="L588" s="64"/>
    </row>
    <row r="589" spans="1:12">
      <c r="A589" s="42" t="s">
        <v>20</v>
      </c>
      <c r="B589" s="34" t="s">
        <v>2061</v>
      </c>
      <c r="C589" s="53" t="s">
        <v>13</v>
      </c>
      <c r="D589" s="53" t="s">
        <v>2062</v>
      </c>
      <c r="E589" s="53" t="s">
        <v>2063</v>
      </c>
      <c r="F589" s="53" t="s">
        <v>40</v>
      </c>
      <c r="G589" s="16">
        <v>45166.964583333334</v>
      </c>
      <c r="H589" s="16">
        <v>45166.97152777778</v>
      </c>
      <c r="I589" s="58" t="s">
        <v>2064</v>
      </c>
      <c r="J589" s="59" t="s">
        <v>61</v>
      </c>
      <c r="K589" s="59"/>
      <c r="L589" s="60"/>
    </row>
    <row r="590" spans="1:12">
      <c r="A590" s="41" t="s">
        <v>20</v>
      </c>
      <c r="B590" s="30" t="s">
        <v>2065</v>
      </c>
      <c r="C590" s="61" t="s">
        <v>13</v>
      </c>
      <c r="D590" s="61" t="s">
        <v>2066</v>
      </c>
      <c r="E590" s="21" t="s">
        <v>2067</v>
      </c>
      <c r="F590" s="61" t="s">
        <v>40</v>
      </c>
      <c r="G590" s="22">
        <v>45166.969444444447</v>
      </c>
      <c r="H590" s="22">
        <v>45166.995833333334</v>
      </c>
      <c r="I590" s="62" t="s">
        <v>17</v>
      </c>
      <c r="J590" s="63" t="s">
        <v>61</v>
      </c>
      <c r="K590" s="63"/>
      <c r="L590" s="64"/>
    </row>
    <row r="591" spans="1:12">
      <c r="A591" s="42" t="s">
        <v>20</v>
      </c>
      <c r="B591" s="34" t="s">
        <v>2068</v>
      </c>
      <c r="C591" s="53" t="s">
        <v>21</v>
      </c>
      <c r="D591" s="15" t="s">
        <v>2069</v>
      </c>
      <c r="E591" s="15" t="s">
        <v>2070</v>
      </c>
      <c r="F591" s="53" t="s">
        <v>40</v>
      </c>
      <c r="G591" s="16">
        <v>45166.972222222219</v>
      </c>
      <c r="H591" s="16">
        <v>45167.013888888891</v>
      </c>
      <c r="I591" s="58" t="s">
        <v>2071</v>
      </c>
      <c r="J591" s="59" t="s">
        <v>61</v>
      </c>
      <c r="K591" s="59"/>
      <c r="L591" s="60"/>
    </row>
    <row r="592" spans="1:12">
      <c r="A592" s="41" t="s">
        <v>106</v>
      </c>
      <c r="B592" s="30" t="s">
        <v>2072</v>
      </c>
      <c r="C592" s="61" t="s">
        <v>108</v>
      </c>
      <c r="D592" s="21" t="s">
        <v>2073</v>
      </c>
      <c r="E592" s="21" t="s">
        <v>2074</v>
      </c>
      <c r="F592" s="61" t="s">
        <v>40</v>
      </c>
      <c r="G592" s="22">
        <v>45167.041666666664</v>
      </c>
      <c r="H592" s="22">
        <v>45167.14166666667</v>
      </c>
      <c r="I592" s="62" t="s">
        <v>2075</v>
      </c>
      <c r="J592" s="63" t="s">
        <v>61</v>
      </c>
      <c r="K592" s="63"/>
      <c r="L592" s="64"/>
    </row>
    <row r="593" spans="1:12">
      <c r="A593" s="42" t="s">
        <v>95</v>
      </c>
      <c r="B593" s="34" t="s">
        <v>2076</v>
      </c>
      <c r="C593" s="53" t="s">
        <v>97</v>
      </c>
      <c r="D593" s="53" t="s">
        <v>2077</v>
      </c>
      <c r="E593" s="53" t="s">
        <v>2078</v>
      </c>
      <c r="F593" s="53" t="s">
        <v>40</v>
      </c>
      <c r="G593" s="16">
        <v>45167.376388888886</v>
      </c>
      <c r="H593" s="16">
        <v>45167.576388888891</v>
      </c>
      <c r="I593" s="58" t="s">
        <v>1343</v>
      </c>
      <c r="J593" s="59" t="s">
        <v>72</v>
      </c>
      <c r="K593" s="59"/>
      <c r="L593" s="60"/>
    </row>
    <row r="594" spans="1:12">
      <c r="A594" s="41" t="s">
        <v>106</v>
      </c>
      <c r="B594" s="30" t="s">
        <v>2079</v>
      </c>
      <c r="C594" s="61" t="s">
        <v>333</v>
      </c>
      <c r="D594" s="61" t="s">
        <v>2080</v>
      </c>
      <c r="E594" s="61" t="s">
        <v>2081</v>
      </c>
      <c r="F594" s="61" t="s">
        <v>40</v>
      </c>
      <c r="G594" s="22">
        <v>45167.615277777775</v>
      </c>
      <c r="H594" s="22">
        <v>45167.645833333336</v>
      </c>
      <c r="I594" s="62" t="s">
        <v>346</v>
      </c>
      <c r="J594" s="63" t="s">
        <v>72</v>
      </c>
      <c r="K594" s="63"/>
      <c r="L594" s="64"/>
    </row>
    <row r="595" spans="1:12">
      <c r="A595" s="42" t="s">
        <v>106</v>
      </c>
      <c r="B595" s="34" t="s">
        <v>2082</v>
      </c>
      <c r="C595" s="53" t="s">
        <v>49</v>
      </c>
      <c r="D595" s="53" t="s">
        <v>1985</v>
      </c>
      <c r="E595" s="53" t="s">
        <v>1986</v>
      </c>
      <c r="F595" s="53" t="s">
        <v>40</v>
      </c>
      <c r="G595" s="16">
        <v>45167.630555555559</v>
      </c>
      <c r="H595" s="16">
        <v>45167.635416666664</v>
      </c>
      <c r="I595" s="58" t="s">
        <v>1987</v>
      </c>
      <c r="J595" s="59" t="s">
        <v>72</v>
      </c>
      <c r="K595" s="59"/>
      <c r="L595" s="60"/>
    </row>
    <row r="596" spans="1:12">
      <c r="A596" s="41" t="s">
        <v>95</v>
      </c>
      <c r="B596" s="30" t="s">
        <v>2083</v>
      </c>
      <c r="C596" s="61" t="s">
        <v>97</v>
      </c>
      <c r="D596" s="61" t="s">
        <v>2084</v>
      </c>
      <c r="E596" s="61" t="s">
        <v>2085</v>
      </c>
      <c r="F596" s="61" t="s">
        <v>40</v>
      </c>
      <c r="G596" s="22">
        <v>45167.859027777777</v>
      </c>
      <c r="H596" s="22">
        <v>45167.878472222219</v>
      </c>
      <c r="I596" s="62" t="s">
        <v>2086</v>
      </c>
      <c r="J596" s="63" t="s">
        <v>61</v>
      </c>
      <c r="K596" s="63"/>
      <c r="L596" s="64"/>
    </row>
    <row r="597" spans="1:12">
      <c r="A597" s="42" t="s">
        <v>20</v>
      </c>
      <c r="B597" s="34" t="s">
        <v>2087</v>
      </c>
      <c r="C597" s="53" t="s">
        <v>21</v>
      </c>
      <c r="D597" s="53" t="s">
        <v>2088</v>
      </c>
      <c r="E597" s="15" t="s">
        <v>2089</v>
      </c>
      <c r="F597" s="53" t="s">
        <v>40</v>
      </c>
      <c r="G597" s="16">
        <v>45167.912499999999</v>
      </c>
      <c r="H597" s="16">
        <v>45167.95416666667</v>
      </c>
      <c r="I597" s="58" t="s">
        <v>64</v>
      </c>
      <c r="J597" s="59" t="s">
        <v>61</v>
      </c>
      <c r="K597" s="59"/>
      <c r="L597" s="60"/>
    </row>
    <row r="598" spans="1:12">
      <c r="A598" s="41" t="s">
        <v>20</v>
      </c>
      <c r="B598" s="30" t="s">
        <v>2090</v>
      </c>
      <c r="C598" s="61" t="s">
        <v>21</v>
      </c>
      <c r="D598" s="61" t="s">
        <v>2091</v>
      </c>
      <c r="E598" s="61" t="s">
        <v>2092</v>
      </c>
      <c r="F598" s="61" t="s">
        <v>40</v>
      </c>
      <c r="G598" s="22">
        <v>45167.931250000001</v>
      </c>
      <c r="H598" s="22">
        <v>45168.055555555555</v>
      </c>
      <c r="I598" s="62"/>
      <c r="J598" s="63"/>
      <c r="K598" s="63"/>
      <c r="L598" s="64"/>
    </row>
    <row r="599" spans="1:12">
      <c r="A599" s="42" t="s">
        <v>20</v>
      </c>
      <c r="B599" s="34" t="s">
        <v>2093</v>
      </c>
      <c r="C599" s="53" t="s">
        <v>13</v>
      </c>
      <c r="D599" s="53" t="s">
        <v>2094</v>
      </c>
      <c r="E599" s="53" t="s">
        <v>2095</v>
      </c>
      <c r="F599" s="53" t="s">
        <v>40</v>
      </c>
      <c r="G599" s="16">
        <v>45168.375</v>
      </c>
      <c r="H599" s="16">
        <v>45168.407638888886</v>
      </c>
      <c r="I599" s="58" t="s">
        <v>17</v>
      </c>
      <c r="J599" s="59" t="s">
        <v>88</v>
      </c>
      <c r="K599" s="59"/>
      <c r="L599" s="60"/>
    </row>
    <row r="600" spans="1:12">
      <c r="A600" s="41" t="s">
        <v>106</v>
      </c>
      <c r="B600" s="30" t="s">
        <v>2096</v>
      </c>
      <c r="C600" s="61" t="s">
        <v>313</v>
      </c>
      <c r="D600" s="61" t="s">
        <v>2097</v>
      </c>
      <c r="E600" s="61" t="s">
        <v>2098</v>
      </c>
      <c r="F600" s="61" t="s">
        <v>40</v>
      </c>
      <c r="G600" s="22">
        <v>45168.680555555555</v>
      </c>
      <c r="H600" s="22">
        <v>45168.708333333336</v>
      </c>
      <c r="I600" s="62" t="s">
        <v>440</v>
      </c>
      <c r="J600" s="63" t="s">
        <v>88</v>
      </c>
      <c r="K600" s="63"/>
      <c r="L600" s="64"/>
    </row>
    <row r="601" spans="1:12">
      <c r="A601" s="42" t="s">
        <v>20</v>
      </c>
      <c r="B601" s="34" t="s">
        <v>2099</v>
      </c>
      <c r="C601" s="53" t="s">
        <v>13</v>
      </c>
      <c r="D601" s="53" t="s">
        <v>2100</v>
      </c>
      <c r="E601" s="53" t="s">
        <v>2101</v>
      </c>
      <c r="F601" s="53" t="s">
        <v>40</v>
      </c>
      <c r="G601" s="16">
        <v>45169.320833333331</v>
      </c>
      <c r="H601" s="16">
        <v>45169.374305555553</v>
      </c>
      <c r="I601" s="58" t="s">
        <v>17</v>
      </c>
      <c r="J601" s="59" t="s">
        <v>88</v>
      </c>
      <c r="K601" s="59"/>
      <c r="L601" s="60"/>
    </row>
    <row r="602" spans="1:12">
      <c r="A602" s="56" t="s">
        <v>106</v>
      </c>
      <c r="B602" s="8" t="s">
        <v>2102</v>
      </c>
      <c r="C602" s="7" t="s">
        <v>313</v>
      </c>
      <c r="D602" s="7" t="s">
        <v>2103</v>
      </c>
      <c r="E602" s="7"/>
      <c r="F602" s="7" t="s">
        <v>308</v>
      </c>
      <c r="G602" s="22">
        <v>45169.542361111111</v>
      </c>
      <c r="H602" s="22"/>
      <c r="I602" s="11" t="s">
        <v>440</v>
      </c>
      <c r="J602" s="12" t="s">
        <v>88</v>
      </c>
      <c r="K602" s="12"/>
      <c r="L602" s="76"/>
    </row>
    <row r="603" spans="1:12">
      <c r="A603" s="85" t="s">
        <v>95</v>
      </c>
      <c r="B603" s="14" t="s">
        <v>2104</v>
      </c>
      <c r="C603" s="81" t="s">
        <v>97</v>
      </c>
      <c r="D603" s="81" t="s">
        <v>2105</v>
      </c>
      <c r="E603" s="81" t="s">
        <v>2106</v>
      </c>
      <c r="F603" s="81" t="s">
        <v>40</v>
      </c>
      <c r="G603" s="16">
        <v>45169.636805555558</v>
      </c>
      <c r="H603" s="16">
        <v>45169.700694444444</v>
      </c>
      <c r="I603" s="82" t="s">
        <v>2107</v>
      </c>
      <c r="J603" s="83" t="s">
        <v>88</v>
      </c>
      <c r="K603" s="83"/>
      <c r="L603" s="84"/>
    </row>
    <row r="604" spans="1:12">
      <c r="A604" s="41" t="s">
        <v>20</v>
      </c>
      <c r="B604" s="30" t="s">
        <v>2108</v>
      </c>
      <c r="C604" s="61" t="s">
        <v>13</v>
      </c>
      <c r="D604" s="61" t="s">
        <v>2109</v>
      </c>
      <c r="E604" s="61" t="s">
        <v>2110</v>
      </c>
      <c r="F604" s="61" t="s">
        <v>40</v>
      </c>
      <c r="G604" s="22">
        <v>45169.702777777777</v>
      </c>
      <c r="H604" s="22">
        <v>45169.711111111108</v>
      </c>
      <c r="I604" s="62" t="s">
        <v>2111</v>
      </c>
      <c r="J604" s="63" t="s">
        <v>88</v>
      </c>
      <c r="K604" s="63"/>
      <c r="L604" s="64"/>
    </row>
    <row r="605" spans="1:12">
      <c r="A605" s="42" t="s">
        <v>20</v>
      </c>
      <c r="B605" s="34" t="s">
        <v>2112</v>
      </c>
      <c r="C605" s="53" t="s">
        <v>13</v>
      </c>
      <c r="D605" s="53" t="s">
        <v>2113</v>
      </c>
      <c r="E605" s="53" t="s">
        <v>2114</v>
      </c>
      <c r="F605" s="53" t="s">
        <v>40</v>
      </c>
      <c r="G605" s="16">
        <v>45170.277777777781</v>
      </c>
      <c r="H605" s="16">
        <v>45170.324999999997</v>
      </c>
      <c r="I605" s="58" t="s">
        <v>2115</v>
      </c>
      <c r="J605" s="59" t="s">
        <v>88</v>
      </c>
      <c r="K605" s="59"/>
      <c r="L605" s="60"/>
    </row>
    <row r="606" spans="1:12">
      <c r="A606" s="56" t="s">
        <v>106</v>
      </c>
      <c r="B606" s="8" t="s">
        <v>2116</v>
      </c>
      <c r="C606" s="7" t="s">
        <v>108</v>
      </c>
      <c r="D606" s="7" t="s">
        <v>2117</v>
      </c>
      <c r="E606" s="7" t="s">
        <v>2118</v>
      </c>
      <c r="F606" s="7" t="s">
        <v>40</v>
      </c>
      <c r="G606" s="22">
        <v>45170.326388888891</v>
      </c>
      <c r="H606" s="22">
        <v>45170.329861111109</v>
      </c>
      <c r="I606" s="11" t="s">
        <v>2119</v>
      </c>
      <c r="J606" s="12" t="s">
        <v>88</v>
      </c>
      <c r="K606" s="12"/>
      <c r="L606" s="76"/>
    </row>
    <row r="607" spans="1:12">
      <c r="A607" s="85" t="s">
        <v>95</v>
      </c>
      <c r="B607" s="14" t="s">
        <v>2120</v>
      </c>
      <c r="C607" s="81" t="s">
        <v>97</v>
      </c>
      <c r="D607" s="81" t="s">
        <v>2121</v>
      </c>
      <c r="E607" s="81" t="s">
        <v>2122</v>
      </c>
      <c r="F607" s="81" t="s">
        <v>40</v>
      </c>
      <c r="G607" s="16">
        <v>45170.328472222223</v>
      </c>
      <c r="H607" s="16">
        <v>45170.354861111111</v>
      </c>
      <c r="I607" s="82" t="s">
        <v>991</v>
      </c>
      <c r="J607" s="83" t="s">
        <v>88</v>
      </c>
      <c r="K607" s="83"/>
      <c r="L607" s="84"/>
    </row>
    <row r="608" spans="1:12">
      <c r="A608" s="41" t="s">
        <v>20</v>
      </c>
      <c r="B608" s="30" t="s">
        <v>2123</v>
      </c>
      <c r="C608" s="61" t="s">
        <v>13</v>
      </c>
      <c r="D608" s="61" t="s">
        <v>2124</v>
      </c>
      <c r="E608" s="61" t="s">
        <v>2125</v>
      </c>
      <c r="F608" s="61" t="s">
        <v>40</v>
      </c>
      <c r="G608" s="22">
        <v>45170.537499999999</v>
      </c>
      <c r="H608" s="22">
        <v>45170.70208333333</v>
      </c>
      <c r="I608" s="62" t="s">
        <v>2115</v>
      </c>
      <c r="J608" s="63" t="s">
        <v>88</v>
      </c>
      <c r="K608" s="63"/>
      <c r="L608" s="64"/>
    </row>
    <row r="609" spans="1:12">
      <c r="A609" s="42" t="s">
        <v>20</v>
      </c>
      <c r="B609" s="34" t="s">
        <v>2126</v>
      </c>
      <c r="C609" s="53" t="s">
        <v>21</v>
      </c>
      <c r="D609" s="53" t="s">
        <v>2127</v>
      </c>
      <c r="E609" s="53" t="s">
        <v>2128</v>
      </c>
      <c r="F609" s="53" t="s">
        <v>40</v>
      </c>
      <c r="G609" s="16">
        <v>45170.540277777778</v>
      </c>
      <c r="H609" s="16">
        <v>45170.708333333336</v>
      </c>
      <c r="I609" s="58" t="s">
        <v>2129</v>
      </c>
      <c r="J609" s="59" t="s">
        <v>88</v>
      </c>
      <c r="K609" s="59"/>
      <c r="L609" s="60"/>
    </row>
    <row r="610" spans="1:12">
      <c r="A610" s="41" t="s">
        <v>20</v>
      </c>
      <c r="B610" s="30" t="s">
        <v>2130</v>
      </c>
      <c r="C610" s="61" t="s">
        <v>13</v>
      </c>
      <c r="D610" s="61" t="s">
        <v>2094</v>
      </c>
      <c r="E610" s="61" t="s">
        <v>2131</v>
      </c>
      <c r="F610" s="61" t="s">
        <v>40</v>
      </c>
      <c r="G610" s="22">
        <v>45170.552083333336</v>
      </c>
      <c r="H610" s="22">
        <v>45170.55972222222</v>
      </c>
      <c r="I610" s="62" t="s">
        <v>2115</v>
      </c>
      <c r="J610" s="63" t="s">
        <v>88</v>
      </c>
      <c r="K610" s="63"/>
      <c r="L610" s="64"/>
    </row>
    <row r="611" spans="1:12">
      <c r="A611" s="42" t="s">
        <v>95</v>
      </c>
      <c r="B611" s="34" t="s">
        <v>2132</v>
      </c>
      <c r="C611" s="53" t="s">
        <v>97</v>
      </c>
      <c r="D611" s="53" t="s">
        <v>2133</v>
      </c>
      <c r="E611" s="53" t="s">
        <v>2134</v>
      </c>
      <c r="F611" s="53" t="s">
        <v>40</v>
      </c>
      <c r="G611" s="16">
        <v>45170.560416666667</v>
      </c>
      <c r="H611" s="16">
        <v>45170.701388888891</v>
      </c>
      <c r="I611" s="58" t="s">
        <v>991</v>
      </c>
      <c r="J611" s="59" t="s">
        <v>88</v>
      </c>
      <c r="K611" s="59"/>
      <c r="L611" s="60"/>
    </row>
    <row r="612" spans="1:12">
      <c r="A612" s="41" t="s">
        <v>95</v>
      </c>
      <c r="B612" s="30" t="s">
        <v>2135</v>
      </c>
      <c r="C612" s="61" t="s">
        <v>97</v>
      </c>
      <c r="D612" s="61" t="s">
        <v>2136</v>
      </c>
      <c r="E612" s="61" t="s">
        <v>2137</v>
      </c>
      <c r="F612" s="61" t="s">
        <v>40</v>
      </c>
      <c r="G612" s="22">
        <v>45171.7</v>
      </c>
      <c r="H612" s="22">
        <v>45171.708333333336</v>
      </c>
      <c r="I612" s="62" t="s">
        <v>991</v>
      </c>
      <c r="J612" s="63" t="s">
        <v>88</v>
      </c>
      <c r="K612" s="63"/>
      <c r="L612" s="64"/>
    </row>
    <row r="613" spans="1:12">
      <c r="A613" s="1" t="s">
        <v>20</v>
      </c>
      <c r="B613" s="34" t="s">
        <v>2138</v>
      </c>
      <c r="C613" s="53" t="s">
        <v>21</v>
      </c>
      <c r="D613" s="53" t="s">
        <v>2139</v>
      </c>
      <c r="E613" s="53" t="s">
        <v>2140</v>
      </c>
      <c r="F613" s="53" t="s">
        <v>40</v>
      </c>
      <c r="G613" s="16">
        <v>44994.855555555558</v>
      </c>
      <c r="H613" s="16">
        <v>45055.168749999997</v>
      </c>
      <c r="I613" s="58" t="s">
        <v>1644</v>
      </c>
      <c r="J613" s="59" t="s">
        <v>94</v>
      </c>
      <c r="K613" s="59" t="s">
        <v>88</v>
      </c>
      <c r="L613" s="60"/>
    </row>
    <row r="614" spans="1:12">
      <c r="A614" s="41" t="s">
        <v>106</v>
      </c>
      <c r="B614" s="30" t="s">
        <v>2141</v>
      </c>
      <c r="C614" s="61" t="s">
        <v>78</v>
      </c>
      <c r="D614" s="61" t="s">
        <v>2142</v>
      </c>
      <c r="E614" s="61" t="s">
        <v>2143</v>
      </c>
      <c r="F614" s="61" t="s">
        <v>40</v>
      </c>
      <c r="G614" s="22">
        <v>44994.861805555556</v>
      </c>
      <c r="H614" s="22">
        <v>45025.011111111111</v>
      </c>
      <c r="I614" s="62" t="s">
        <v>2144</v>
      </c>
      <c r="J614" s="63" t="s">
        <v>94</v>
      </c>
      <c r="K614" s="63"/>
      <c r="L614" s="64"/>
    </row>
    <row r="615" spans="1:12">
      <c r="A615" s="42" t="s">
        <v>20</v>
      </c>
      <c r="B615" s="34" t="s">
        <v>2145</v>
      </c>
      <c r="C615" s="53" t="s">
        <v>21</v>
      </c>
      <c r="D615" s="53" t="s">
        <v>2146</v>
      </c>
      <c r="E615" s="15" t="s">
        <v>2147</v>
      </c>
      <c r="F615" s="53" t="s">
        <v>40</v>
      </c>
      <c r="G615" s="16">
        <v>44994.88958333333</v>
      </c>
      <c r="H615" s="16">
        <v>45025.010416666664</v>
      </c>
      <c r="I615" s="58" t="s">
        <v>2148</v>
      </c>
      <c r="J615" s="59" t="s">
        <v>94</v>
      </c>
      <c r="K615" s="59"/>
      <c r="L615" s="60"/>
    </row>
    <row r="616" spans="1:12">
      <c r="A616" s="41" t="s">
        <v>20</v>
      </c>
      <c r="B616" s="30" t="s">
        <v>2149</v>
      </c>
      <c r="C616" s="61" t="s">
        <v>21</v>
      </c>
      <c r="D616" s="61" t="s">
        <v>2150</v>
      </c>
      <c r="E616" s="61" t="s">
        <v>2151</v>
      </c>
      <c r="F616" s="61" t="s">
        <v>2152</v>
      </c>
      <c r="G616" s="22">
        <v>44994.911805555559</v>
      </c>
      <c r="H616" s="22">
        <v>45055.918749999997</v>
      </c>
      <c r="I616" s="62" t="s">
        <v>2148</v>
      </c>
      <c r="J616" s="63" t="s">
        <v>94</v>
      </c>
      <c r="K616" s="63"/>
      <c r="L616" s="64"/>
    </row>
    <row r="617" spans="1:12">
      <c r="A617" s="42" t="s">
        <v>106</v>
      </c>
      <c r="B617" s="34" t="s">
        <v>2153</v>
      </c>
      <c r="C617" s="53" t="s">
        <v>108</v>
      </c>
      <c r="D617" s="53" t="s">
        <v>2154</v>
      </c>
      <c r="E617" s="53" t="s">
        <v>2155</v>
      </c>
      <c r="F617" s="53" t="s">
        <v>40</v>
      </c>
      <c r="G617" s="16">
        <v>44994.926388888889</v>
      </c>
      <c r="H617" s="16">
        <v>45025.01666666667</v>
      </c>
      <c r="I617" s="58" t="s">
        <v>111</v>
      </c>
      <c r="J617" s="59" t="s">
        <v>94</v>
      </c>
      <c r="K617" s="59"/>
      <c r="L617" s="60"/>
    </row>
    <row r="618" spans="1:12">
      <c r="A618" s="41" t="s">
        <v>20</v>
      </c>
      <c r="B618" s="30" t="s">
        <v>2156</v>
      </c>
      <c r="C618" s="61" t="s">
        <v>21</v>
      </c>
      <c r="D618" s="61" t="s">
        <v>2157</v>
      </c>
      <c r="E618" s="61" t="s">
        <v>2158</v>
      </c>
      <c r="F618" s="61" t="s">
        <v>40</v>
      </c>
      <c r="G618" s="22">
        <v>45025.117361111108</v>
      </c>
      <c r="H618" s="22">
        <v>45025.117361111108</v>
      </c>
      <c r="I618" s="62" t="s">
        <v>2148</v>
      </c>
      <c r="J618" s="63" t="s">
        <v>94</v>
      </c>
      <c r="K618" s="63"/>
      <c r="L618" s="64"/>
    </row>
    <row r="619" spans="1:12">
      <c r="A619" s="42" t="s">
        <v>20</v>
      </c>
      <c r="B619" s="34" t="s">
        <v>2159</v>
      </c>
      <c r="C619" s="53" t="s">
        <v>13</v>
      </c>
      <c r="D619" s="53" t="s">
        <v>2160</v>
      </c>
      <c r="E619" s="53" t="s">
        <v>2161</v>
      </c>
      <c r="F619" s="53" t="s">
        <v>40</v>
      </c>
      <c r="G619" s="16">
        <v>45025.682638888888</v>
      </c>
      <c r="H619" s="16">
        <v>45025.6875</v>
      </c>
      <c r="I619" s="58" t="s">
        <v>17</v>
      </c>
      <c r="J619" s="59" t="s">
        <v>88</v>
      </c>
      <c r="K619" s="59"/>
      <c r="L619" s="60"/>
    </row>
    <row r="620" spans="1:12">
      <c r="A620" s="41" t="s">
        <v>106</v>
      </c>
      <c r="B620" s="30" t="s">
        <v>2162</v>
      </c>
      <c r="C620" s="61" t="s">
        <v>108</v>
      </c>
      <c r="D620" s="61" t="s">
        <v>2163</v>
      </c>
      <c r="E620" s="61" t="s">
        <v>2164</v>
      </c>
      <c r="F620" s="61" t="s">
        <v>40</v>
      </c>
      <c r="G620" s="22">
        <v>45025.351388888892</v>
      </c>
      <c r="H620" s="22">
        <v>45025.597916666666</v>
      </c>
      <c r="I620" s="62" t="s">
        <v>111</v>
      </c>
      <c r="J620" s="63" t="s">
        <v>88</v>
      </c>
      <c r="K620" s="63"/>
      <c r="L620" s="64"/>
    </row>
    <row r="621" spans="1:12">
      <c r="A621" s="42" t="s">
        <v>106</v>
      </c>
      <c r="B621" s="34" t="s">
        <v>2165</v>
      </c>
      <c r="C621" s="53" t="s">
        <v>108</v>
      </c>
      <c r="D621" s="53" t="s">
        <v>2166</v>
      </c>
      <c r="E621" s="53" t="s">
        <v>2167</v>
      </c>
      <c r="F621" s="53" t="s">
        <v>40</v>
      </c>
      <c r="G621" s="16">
        <v>45025.454861111109</v>
      </c>
      <c r="H621" s="16">
        <v>45025.454861111109</v>
      </c>
      <c r="I621" s="86" t="s">
        <v>2168</v>
      </c>
      <c r="J621" s="59" t="s">
        <v>88</v>
      </c>
      <c r="K621" s="59"/>
      <c r="L621" s="60"/>
    </row>
    <row r="622" spans="1:12">
      <c r="A622" s="41" t="s">
        <v>20</v>
      </c>
      <c r="B622" s="30" t="s">
        <v>2169</v>
      </c>
      <c r="C622" s="61" t="s">
        <v>13</v>
      </c>
      <c r="D622" s="61" t="s">
        <v>2170</v>
      </c>
      <c r="E622" s="61" t="s">
        <v>2171</v>
      </c>
      <c r="F622" s="61" t="s">
        <v>40</v>
      </c>
      <c r="G622" s="22">
        <v>45025.60833333333</v>
      </c>
      <c r="H622" s="22">
        <v>45025.625694444447</v>
      </c>
      <c r="I622" s="62" t="s">
        <v>2172</v>
      </c>
      <c r="J622" s="63" t="s">
        <v>88</v>
      </c>
      <c r="K622" s="63"/>
      <c r="L622" s="64"/>
    </row>
    <row r="623" spans="1:12">
      <c r="A623" s="42" t="s">
        <v>20</v>
      </c>
      <c r="B623" s="34" t="s">
        <v>2173</v>
      </c>
      <c r="C623" s="53" t="s">
        <v>21</v>
      </c>
      <c r="D623" s="15" t="s">
        <v>2174</v>
      </c>
      <c r="E623" s="15" t="s">
        <v>2175</v>
      </c>
      <c r="F623" s="53" t="s">
        <v>40</v>
      </c>
      <c r="G623" s="16">
        <v>45055.081250000003</v>
      </c>
      <c r="H623" s="16">
        <v>45055.084722222222</v>
      </c>
      <c r="I623" s="58" t="s">
        <v>2176</v>
      </c>
      <c r="J623" s="59" t="s">
        <v>94</v>
      </c>
      <c r="K623" s="59"/>
      <c r="L623" s="60"/>
    </row>
    <row r="624" spans="1:12">
      <c r="A624" s="41" t="s">
        <v>106</v>
      </c>
      <c r="B624" s="30" t="s">
        <v>2177</v>
      </c>
      <c r="C624" s="61" t="s">
        <v>333</v>
      </c>
      <c r="D624" s="21" t="s">
        <v>2178</v>
      </c>
      <c r="E624" s="21"/>
      <c r="F624" s="61" t="s">
        <v>214</v>
      </c>
      <c r="G624" s="22">
        <v>45055.23541666667</v>
      </c>
      <c r="H624" s="22"/>
      <c r="I624" s="62" t="s">
        <v>2179</v>
      </c>
      <c r="J624" s="63" t="s">
        <v>88</v>
      </c>
      <c r="K624" s="63"/>
      <c r="L624" s="64"/>
    </row>
    <row r="625" spans="1:12">
      <c r="A625" s="42" t="s">
        <v>20</v>
      </c>
      <c r="B625" s="34" t="s">
        <v>2180</v>
      </c>
      <c r="C625" s="53" t="s">
        <v>49</v>
      </c>
      <c r="D625" s="53" t="s">
        <v>2181</v>
      </c>
      <c r="E625" s="53" t="s">
        <v>2182</v>
      </c>
      <c r="F625" s="53" t="s">
        <v>40</v>
      </c>
      <c r="G625" s="16">
        <v>45055.328472222223</v>
      </c>
      <c r="H625" s="16">
        <v>45055.336805555555</v>
      </c>
      <c r="I625" s="58" t="s">
        <v>32</v>
      </c>
      <c r="J625" s="59" t="s">
        <v>88</v>
      </c>
      <c r="K625" s="59"/>
      <c r="L625" s="60"/>
    </row>
    <row r="626" spans="1:12">
      <c r="A626" s="41" t="s">
        <v>106</v>
      </c>
      <c r="B626" s="30" t="s">
        <v>2183</v>
      </c>
      <c r="C626" s="61" t="s">
        <v>108</v>
      </c>
      <c r="D626" s="61" t="s">
        <v>2184</v>
      </c>
      <c r="E626" s="61" t="s">
        <v>2185</v>
      </c>
      <c r="F626" s="61" t="s">
        <v>40</v>
      </c>
      <c r="G626" s="22">
        <v>45055.351388888892</v>
      </c>
      <c r="H626" s="22">
        <v>45055.357638888891</v>
      </c>
      <c r="I626" s="62" t="s">
        <v>111</v>
      </c>
      <c r="J626" s="63" t="s">
        <v>88</v>
      </c>
      <c r="K626" s="63"/>
      <c r="L626" s="64"/>
    </row>
    <row r="627" spans="1:12">
      <c r="A627" s="42" t="s">
        <v>106</v>
      </c>
      <c r="B627" s="34" t="s">
        <v>2186</v>
      </c>
      <c r="C627" s="53" t="s">
        <v>78</v>
      </c>
      <c r="D627" s="53" t="s">
        <v>1280</v>
      </c>
      <c r="E627" s="53" t="s">
        <v>2187</v>
      </c>
      <c r="F627" s="53" t="s">
        <v>40</v>
      </c>
      <c r="G627" s="16">
        <v>45055.568749999999</v>
      </c>
      <c r="H627" s="16">
        <v>45055.60833333333</v>
      </c>
      <c r="I627" s="58" t="s">
        <v>258</v>
      </c>
      <c r="J627" s="59" t="s">
        <v>88</v>
      </c>
      <c r="K627" s="59"/>
      <c r="L627" s="60"/>
    </row>
    <row r="628" spans="1:12">
      <c r="A628" s="41" t="s">
        <v>20</v>
      </c>
      <c r="B628" s="30" t="s">
        <v>2188</v>
      </c>
      <c r="C628" s="61" t="s">
        <v>13</v>
      </c>
      <c r="D628" s="61" t="s">
        <v>65</v>
      </c>
      <c r="E628" s="61" t="s">
        <v>66</v>
      </c>
      <c r="F628" s="61" t="s">
        <v>40</v>
      </c>
      <c r="G628" s="22">
        <v>45175.333333333336</v>
      </c>
      <c r="H628" s="22">
        <v>45175.395833333336</v>
      </c>
      <c r="I628" s="62" t="s">
        <v>67</v>
      </c>
      <c r="J628" s="63" t="s">
        <v>61</v>
      </c>
      <c r="K628" s="63"/>
      <c r="L628" s="64"/>
    </row>
    <row r="629" spans="1:12">
      <c r="A629" s="42" t="s">
        <v>106</v>
      </c>
      <c r="B629" s="34" t="s">
        <v>2189</v>
      </c>
      <c r="C629" s="53" t="s">
        <v>380</v>
      </c>
      <c r="D629" s="53" t="s">
        <v>2190</v>
      </c>
      <c r="E629" s="53" t="s">
        <v>2191</v>
      </c>
      <c r="F629" s="53" t="s">
        <v>40</v>
      </c>
      <c r="G629" s="16">
        <v>45175.416666666664</v>
      </c>
      <c r="H629" s="16">
        <v>45175.479166666664</v>
      </c>
      <c r="I629" s="58" t="s">
        <v>32</v>
      </c>
      <c r="J629" s="59" t="s">
        <v>61</v>
      </c>
      <c r="K629" s="59"/>
      <c r="L629" s="60"/>
    </row>
    <row r="630" spans="1:12">
      <c r="A630" s="56" t="s">
        <v>20</v>
      </c>
      <c r="B630" s="8" t="s">
        <v>2192</v>
      </c>
      <c r="C630" s="7" t="s">
        <v>13</v>
      </c>
      <c r="D630" s="7" t="s">
        <v>68</v>
      </c>
      <c r="E630" s="7" t="s">
        <v>69</v>
      </c>
      <c r="F630" s="7" t="s">
        <v>40</v>
      </c>
      <c r="G630" s="22">
        <v>45175.486111111109</v>
      </c>
      <c r="H630" s="22">
        <v>45175.527777777781</v>
      </c>
      <c r="I630" s="11" t="s">
        <v>17</v>
      </c>
      <c r="J630" s="12" t="s">
        <v>61</v>
      </c>
      <c r="K630" s="12"/>
      <c r="L630" s="76"/>
    </row>
    <row r="631" spans="1:12">
      <c r="A631" s="55" t="s">
        <v>106</v>
      </c>
      <c r="B631" s="3" t="s">
        <v>2193</v>
      </c>
      <c r="C631" s="2" t="s">
        <v>313</v>
      </c>
      <c r="D631" s="2" t="s">
        <v>2194</v>
      </c>
      <c r="E631" s="2"/>
      <c r="F631" s="2" t="s">
        <v>214</v>
      </c>
      <c r="G631" s="16">
        <v>45175.720138888886</v>
      </c>
      <c r="H631" s="16"/>
      <c r="I631" s="4" t="s">
        <v>440</v>
      </c>
      <c r="J631" s="5" t="s">
        <v>61</v>
      </c>
      <c r="K631" s="5"/>
      <c r="L631" s="75"/>
    </row>
    <row r="632" spans="1:12">
      <c r="A632" s="56" t="s">
        <v>106</v>
      </c>
      <c r="B632" s="8" t="s">
        <v>2195</v>
      </c>
      <c r="C632" s="7" t="s">
        <v>108</v>
      </c>
      <c r="D632" s="7" t="s">
        <v>2196</v>
      </c>
      <c r="E632" s="7" t="s">
        <v>2197</v>
      </c>
      <c r="F632" s="7" t="s">
        <v>40</v>
      </c>
      <c r="G632" s="22">
        <v>45175.836805555555</v>
      </c>
      <c r="H632" s="22">
        <v>45175.871527777781</v>
      </c>
      <c r="I632" s="11" t="s">
        <v>32</v>
      </c>
      <c r="J632" s="12" t="s">
        <v>72</v>
      </c>
      <c r="K632" s="12"/>
      <c r="L632" s="76"/>
    </row>
    <row r="633" spans="1:12">
      <c r="A633" s="55" t="s">
        <v>106</v>
      </c>
      <c r="B633" s="3" t="s">
        <v>2198</v>
      </c>
      <c r="C633" s="2" t="s">
        <v>108</v>
      </c>
      <c r="D633" s="2" t="s">
        <v>2199</v>
      </c>
      <c r="E633" s="2" t="s">
        <v>2200</v>
      </c>
      <c r="F633" s="2" t="s">
        <v>40</v>
      </c>
      <c r="G633" s="16">
        <v>45175.885416666664</v>
      </c>
      <c r="H633" s="16">
        <v>45175.921527777777</v>
      </c>
      <c r="I633" s="4" t="s">
        <v>946</v>
      </c>
      <c r="J633" s="5" t="s">
        <v>72</v>
      </c>
      <c r="K633" s="5"/>
      <c r="L633" s="75"/>
    </row>
    <row r="634" spans="1:12">
      <c r="A634" s="56" t="s">
        <v>20</v>
      </c>
      <c r="B634" s="8" t="s">
        <v>2201</v>
      </c>
      <c r="C634" s="7" t="s">
        <v>21</v>
      </c>
      <c r="D634" s="7" t="s">
        <v>70</v>
      </c>
      <c r="E634" s="7" t="s">
        <v>71</v>
      </c>
      <c r="F634" s="7" t="s">
        <v>40</v>
      </c>
      <c r="G634" s="22">
        <v>45176.09375</v>
      </c>
      <c r="H634" s="22">
        <v>45176.109027777777</v>
      </c>
      <c r="I634" s="11" t="s">
        <v>52</v>
      </c>
      <c r="J634" s="12" t="s">
        <v>72</v>
      </c>
      <c r="K634" s="12"/>
      <c r="L634" s="76"/>
    </row>
    <row r="635" spans="1:12">
      <c r="A635" s="55" t="s">
        <v>20</v>
      </c>
      <c r="B635" s="34" t="s">
        <v>2202</v>
      </c>
      <c r="C635" s="2" t="s">
        <v>13</v>
      </c>
      <c r="D635" s="53" t="s">
        <v>73</v>
      </c>
      <c r="E635" s="53" t="s">
        <v>71</v>
      </c>
      <c r="F635" s="53" t="s">
        <v>40</v>
      </c>
      <c r="G635" s="16">
        <v>45176.220138888886</v>
      </c>
      <c r="H635" s="16">
        <v>45176.237500000003</v>
      </c>
      <c r="I635" s="58" t="s">
        <v>74</v>
      </c>
      <c r="J635" s="59" t="s">
        <v>72</v>
      </c>
      <c r="K635" s="59"/>
      <c r="L635" s="60"/>
    </row>
    <row r="636" spans="1:12">
      <c r="A636" s="57" t="s">
        <v>106</v>
      </c>
      <c r="B636" s="30" t="s">
        <v>2203</v>
      </c>
      <c r="C636" s="87" t="s">
        <v>108</v>
      </c>
      <c r="D636" s="61" t="s">
        <v>2204</v>
      </c>
      <c r="E636" s="61" t="s">
        <v>2205</v>
      </c>
      <c r="F636" s="61" t="s">
        <v>40</v>
      </c>
      <c r="G636" s="22">
        <v>45176.332638888889</v>
      </c>
      <c r="H636" s="22">
        <v>45176.350694444445</v>
      </c>
      <c r="I636" s="62" t="s">
        <v>111</v>
      </c>
      <c r="J636" s="63" t="s">
        <v>61</v>
      </c>
      <c r="K636" s="63"/>
      <c r="L636" s="64"/>
    </row>
    <row r="637" spans="1:12">
      <c r="A637" s="55" t="s">
        <v>106</v>
      </c>
      <c r="B637" s="3" t="s">
        <v>2206</v>
      </c>
      <c r="C637" s="2" t="s">
        <v>108</v>
      </c>
      <c r="D637" s="2" t="s">
        <v>1428</v>
      </c>
      <c r="E637" s="2" t="s">
        <v>2197</v>
      </c>
      <c r="F637" s="2" t="s">
        <v>40</v>
      </c>
      <c r="G637" s="16">
        <v>45176.854166666664</v>
      </c>
      <c r="H637" s="16">
        <v>45176.878472222219</v>
      </c>
      <c r="I637" s="4" t="s">
        <v>32</v>
      </c>
      <c r="J637" s="5" t="s">
        <v>72</v>
      </c>
      <c r="K637" s="71"/>
      <c r="L637" s="60"/>
    </row>
    <row r="638" spans="1:12">
      <c r="A638" s="56" t="s">
        <v>106</v>
      </c>
      <c r="B638" s="8" t="s">
        <v>2207</v>
      </c>
      <c r="C638" s="7" t="s">
        <v>108</v>
      </c>
      <c r="D638" s="7" t="s">
        <v>2208</v>
      </c>
      <c r="E638" s="7" t="s">
        <v>2209</v>
      </c>
      <c r="F638" s="7" t="s">
        <v>40</v>
      </c>
      <c r="G638" s="22">
        <v>45176.906944444447</v>
      </c>
      <c r="H638" s="22">
        <v>45176.920138888891</v>
      </c>
      <c r="I638" s="11" t="s">
        <v>946</v>
      </c>
      <c r="J638" s="12" t="s">
        <v>72</v>
      </c>
      <c r="K638" s="69"/>
      <c r="L638" s="64"/>
    </row>
    <row r="639" spans="1:12">
      <c r="A639" s="55" t="s">
        <v>106</v>
      </c>
      <c r="B639" s="3" t="s">
        <v>2210</v>
      </c>
      <c r="C639" s="2" t="s">
        <v>108</v>
      </c>
      <c r="D639" s="2" t="s">
        <v>2211</v>
      </c>
      <c r="E639" s="2" t="s">
        <v>2212</v>
      </c>
      <c r="F639" s="2" t="s">
        <v>40</v>
      </c>
      <c r="G639" s="16">
        <v>45176.959722222222</v>
      </c>
      <c r="H639" s="16">
        <v>45176.995833333334</v>
      </c>
      <c r="I639" s="4" t="s">
        <v>32</v>
      </c>
      <c r="J639" s="5" t="s">
        <v>72</v>
      </c>
      <c r="K639" s="18"/>
      <c r="L639" s="84"/>
    </row>
    <row r="640" spans="1:12">
      <c r="A640" s="56" t="s">
        <v>106</v>
      </c>
      <c r="B640" s="8" t="s">
        <v>2213</v>
      </c>
      <c r="C640" s="7" t="s">
        <v>108</v>
      </c>
      <c r="D640" s="7" t="s">
        <v>2214</v>
      </c>
      <c r="E640" s="7" t="s">
        <v>2215</v>
      </c>
      <c r="F640" s="7" t="s">
        <v>40</v>
      </c>
      <c r="G640" s="22">
        <v>45177.472222222219</v>
      </c>
      <c r="H640" s="22">
        <v>45177.75</v>
      </c>
      <c r="I640" s="11" t="s">
        <v>2216</v>
      </c>
      <c r="J640" s="12" t="s">
        <v>61</v>
      </c>
      <c r="K640" s="24"/>
      <c r="L640" s="80"/>
    </row>
    <row r="641" spans="1:12">
      <c r="A641" s="55" t="s">
        <v>20</v>
      </c>
      <c r="B641" s="3" t="s">
        <v>2217</v>
      </c>
      <c r="C641" s="2" t="s">
        <v>49</v>
      </c>
      <c r="D641" s="2" t="s">
        <v>2218</v>
      </c>
      <c r="E641" s="2" t="s">
        <v>2219</v>
      </c>
      <c r="F641" s="2" t="s">
        <v>40</v>
      </c>
      <c r="G641" s="16">
        <v>45177.629166666666</v>
      </c>
      <c r="H641" s="16">
        <v>45177.67083333333</v>
      </c>
      <c r="I641" s="4" t="s">
        <v>2220</v>
      </c>
      <c r="J641" s="5" t="s">
        <v>61</v>
      </c>
      <c r="K641" s="71"/>
      <c r="L641" s="60"/>
    </row>
    <row r="642" spans="1:12">
      <c r="A642" s="56" t="s">
        <v>106</v>
      </c>
      <c r="B642" s="8" t="s">
        <v>2221</v>
      </c>
      <c r="C642" s="7" t="s">
        <v>108</v>
      </c>
      <c r="D642" s="7" t="s">
        <v>2211</v>
      </c>
      <c r="E642" s="7" t="s">
        <v>2212</v>
      </c>
      <c r="F642" s="7" t="s">
        <v>40</v>
      </c>
      <c r="G642" s="22">
        <v>45177.837500000001</v>
      </c>
      <c r="H642" s="22">
        <v>45177.986111111109</v>
      </c>
      <c r="I642" s="11" t="s">
        <v>32</v>
      </c>
      <c r="J642" s="12" t="s">
        <v>72</v>
      </c>
      <c r="K642" s="69"/>
      <c r="L642" s="76"/>
    </row>
    <row r="643" spans="1:12">
      <c r="A643" s="55" t="s">
        <v>20</v>
      </c>
      <c r="B643" s="3" t="s">
        <v>2222</v>
      </c>
      <c r="C643" s="2" t="s">
        <v>21</v>
      </c>
      <c r="D643" s="2" t="s">
        <v>2223</v>
      </c>
      <c r="E643" s="2" t="s">
        <v>2224</v>
      </c>
      <c r="F643" s="2" t="s">
        <v>40</v>
      </c>
      <c r="G643" s="16">
        <v>45177.90625</v>
      </c>
      <c r="H643" s="16">
        <v>45177.938888888886</v>
      </c>
      <c r="I643" s="4" t="s">
        <v>52</v>
      </c>
      <c r="J643" s="5" t="s">
        <v>72</v>
      </c>
      <c r="K643" s="71"/>
      <c r="L643" s="60"/>
    </row>
    <row r="644" spans="1:12">
      <c r="A644" s="56" t="s">
        <v>95</v>
      </c>
      <c r="B644" s="8" t="s">
        <v>2225</v>
      </c>
      <c r="C644" s="7" t="s">
        <v>118</v>
      </c>
      <c r="D644" s="7" t="s">
        <v>2226</v>
      </c>
      <c r="E644" s="7" t="s">
        <v>2227</v>
      </c>
      <c r="F644" s="7" t="s">
        <v>214</v>
      </c>
      <c r="G644" s="22">
        <v>45177.982638888891</v>
      </c>
      <c r="H644" s="22">
        <v>45177.938888888886</v>
      </c>
      <c r="I644" s="11" t="s">
        <v>502</v>
      </c>
      <c r="J644" s="12" t="s">
        <v>72</v>
      </c>
      <c r="K644" s="69" t="s">
        <v>61</v>
      </c>
      <c r="L644" s="88">
        <v>45178.333333333336</v>
      </c>
    </row>
    <row r="645" spans="1:12">
      <c r="A645" s="55" t="s">
        <v>20</v>
      </c>
      <c r="B645" s="3" t="s">
        <v>2228</v>
      </c>
      <c r="C645" s="2" t="s">
        <v>13</v>
      </c>
      <c r="D645" s="2" t="s">
        <v>2229</v>
      </c>
      <c r="E645" s="2" t="s">
        <v>2230</v>
      </c>
      <c r="F645" s="2" t="s">
        <v>40</v>
      </c>
      <c r="G645" s="16">
        <v>45178.022222222222</v>
      </c>
      <c r="H645" s="16">
        <v>45178.197916666664</v>
      </c>
      <c r="I645" s="4" t="s">
        <v>74</v>
      </c>
      <c r="J645" s="5" t="s">
        <v>72</v>
      </c>
      <c r="K645" s="71"/>
      <c r="L645" s="60"/>
    </row>
    <row r="646" spans="1:12">
      <c r="A646" s="41" t="s">
        <v>20</v>
      </c>
      <c r="B646" s="30" t="s">
        <v>2231</v>
      </c>
      <c r="C646" s="61" t="s">
        <v>21</v>
      </c>
      <c r="D646" s="61" t="s">
        <v>2232</v>
      </c>
      <c r="E646" s="61" t="s">
        <v>2233</v>
      </c>
      <c r="F646" s="61" t="s">
        <v>40</v>
      </c>
      <c r="G646" s="22">
        <v>45178.05972222222</v>
      </c>
      <c r="H646" s="22">
        <v>45178.07916666667</v>
      </c>
      <c r="I646" s="62" t="s">
        <v>52</v>
      </c>
      <c r="J646" s="63" t="s">
        <v>72</v>
      </c>
      <c r="K646" s="63"/>
      <c r="L646" s="64"/>
    </row>
    <row r="647" spans="1:12">
      <c r="A647" s="42" t="s">
        <v>20</v>
      </c>
      <c r="B647" s="34" t="s">
        <v>2234</v>
      </c>
      <c r="C647" s="53" t="s">
        <v>21</v>
      </c>
      <c r="D647" s="15" t="s">
        <v>2235</v>
      </c>
      <c r="E647" s="15" t="s">
        <v>2233</v>
      </c>
      <c r="F647" s="53" t="s">
        <v>40</v>
      </c>
      <c r="G647" s="16">
        <v>45178.225694444445</v>
      </c>
      <c r="H647" s="16">
        <v>45178.252083333333</v>
      </c>
      <c r="I647" s="58" t="s">
        <v>52</v>
      </c>
      <c r="J647" s="59" t="s">
        <v>72</v>
      </c>
      <c r="K647" s="59"/>
      <c r="L647" s="60"/>
    </row>
    <row r="648" spans="1:12">
      <c r="A648" s="41" t="s">
        <v>106</v>
      </c>
      <c r="B648" s="30" t="s">
        <v>2236</v>
      </c>
      <c r="C648" s="61" t="s">
        <v>49</v>
      </c>
      <c r="D648" s="21" t="s">
        <v>2237</v>
      </c>
      <c r="E648" s="21" t="s">
        <v>2238</v>
      </c>
      <c r="F648" s="61" t="s">
        <v>214</v>
      </c>
      <c r="G648" s="22">
        <v>45178.254861111112</v>
      </c>
      <c r="H648" s="22"/>
      <c r="I648" s="62" t="s">
        <v>1987</v>
      </c>
      <c r="J648" s="63"/>
      <c r="K648" s="63"/>
      <c r="L648" s="64"/>
    </row>
    <row r="649" spans="1:12">
      <c r="A649" s="42" t="s">
        <v>20</v>
      </c>
      <c r="B649" s="34" t="s">
        <v>2239</v>
      </c>
      <c r="C649" s="53" t="s">
        <v>13</v>
      </c>
      <c r="D649" s="53" t="s">
        <v>2240</v>
      </c>
      <c r="E649" s="53" t="s">
        <v>2241</v>
      </c>
      <c r="F649" s="53" t="s">
        <v>40</v>
      </c>
      <c r="G649" s="16">
        <v>45178.5</v>
      </c>
      <c r="H649" s="16">
        <v>45178.541666666664</v>
      </c>
      <c r="I649" s="58" t="s">
        <v>2242</v>
      </c>
      <c r="J649" s="59" t="s">
        <v>61</v>
      </c>
      <c r="K649" s="59"/>
      <c r="L649" s="60"/>
    </row>
    <row r="650" spans="1:12">
      <c r="A650" s="41" t="s">
        <v>95</v>
      </c>
      <c r="B650" s="30" t="s">
        <v>2243</v>
      </c>
      <c r="C650" s="61" t="s">
        <v>97</v>
      </c>
      <c r="D650" s="21" t="s">
        <v>2244</v>
      </c>
      <c r="E650" s="61" t="s">
        <v>2245</v>
      </c>
      <c r="F650" s="61" t="s">
        <v>40</v>
      </c>
      <c r="G650" s="22">
        <v>45178.76458333333</v>
      </c>
      <c r="H650" s="22">
        <v>45178.768055555556</v>
      </c>
      <c r="I650" s="62" t="s">
        <v>2246</v>
      </c>
      <c r="J650" s="63" t="s">
        <v>61</v>
      </c>
      <c r="K650" s="63"/>
      <c r="L650" s="64"/>
    </row>
    <row r="651" spans="1:12">
      <c r="A651" s="42" t="s">
        <v>95</v>
      </c>
      <c r="B651" s="34" t="s">
        <v>2247</v>
      </c>
      <c r="C651" s="53" t="s">
        <v>118</v>
      </c>
      <c r="D651" s="53" t="s">
        <v>2248</v>
      </c>
      <c r="E651" s="53" t="s">
        <v>2249</v>
      </c>
      <c r="F651" s="53" t="s">
        <v>40</v>
      </c>
      <c r="G651" s="16">
        <v>45178.868055555555</v>
      </c>
      <c r="H651" s="16">
        <v>45179.152777777781</v>
      </c>
      <c r="I651" s="4" t="s">
        <v>32</v>
      </c>
      <c r="J651" s="59" t="s">
        <v>72</v>
      </c>
      <c r="K651" s="59"/>
      <c r="L651" s="60"/>
    </row>
    <row r="652" spans="1:12">
      <c r="A652" s="41" t="s">
        <v>95</v>
      </c>
      <c r="B652" s="30" t="s">
        <v>2250</v>
      </c>
      <c r="C652" s="61" t="s">
        <v>97</v>
      </c>
      <c r="D652" s="61" t="s">
        <v>2251</v>
      </c>
      <c r="E652" s="61" t="s">
        <v>2252</v>
      </c>
      <c r="F652" s="61" t="s">
        <v>40</v>
      </c>
      <c r="G652" s="22">
        <v>45178.65</v>
      </c>
      <c r="H652" s="22">
        <v>45178.691666666666</v>
      </c>
      <c r="I652" s="11" t="s">
        <v>325</v>
      </c>
      <c r="J652" s="63" t="s">
        <v>61</v>
      </c>
      <c r="K652" s="63"/>
      <c r="L652" s="64"/>
    </row>
    <row r="653" spans="1:12">
      <c r="A653" s="42" t="s">
        <v>20</v>
      </c>
      <c r="B653" s="34" t="s">
        <v>2253</v>
      </c>
      <c r="C653" s="53" t="s">
        <v>13</v>
      </c>
      <c r="D653" s="53" t="s">
        <v>2254</v>
      </c>
      <c r="E653" s="53" t="s">
        <v>2255</v>
      </c>
      <c r="F653" s="53" t="s">
        <v>40</v>
      </c>
      <c r="G653" s="16">
        <v>45179.833333333336</v>
      </c>
      <c r="H653" s="16">
        <v>45180.052083333336</v>
      </c>
      <c r="I653" s="58" t="s">
        <v>74</v>
      </c>
      <c r="J653" s="59" t="s">
        <v>72</v>
      </c>
      <c r="K653" s="59"/>
      <c r="L653" s="60"/>
    </row>
    <row r="654" spans="1:12">
      <c r="A654" s="41" t="s">
        <v>20</v>
      </c>
      <c r="B654" s="30" t="s">
        <v>2256</v>
      </c>
      <c r="C654" s="61" t="s">
        <v>21</v>
      </c>
      <c r="D654" s="61" t="s">
        <v>2257</v>
      </c>
      <c r="E654" s="61" t="s">
        <v>2258</v>
      </c>
      <c r="F654" s="61" t="s">
        <v>40</v>
      </c>
      <c r="G654" s="22">
        <v>45179.875694444447</v>
      </c>
      <c r="H654" s="22">
        <v>45179.912499999999</v>
      </c>
      <c r="I654" s="11" t="s">
        <v>52</v>
      </c>
      <c r="J654" s="63" t="s">
        <v>72</v>
      </c>
      <c r="K654" s="63"/>
      <c r="L654" s="64"/>
    </row>
    <row r="655" spans="1:12">
      <c r="A655" s="42" t="s">
        <v>106</v>
      </c>
      <c r="B655" s="34" t="s">
        <v>2259</v>
      </c>
      <c r="C655" s="53" t="s">
        <v>108</v>
      </c>
      <c r="D655" s="53" t="s">
        <v>2260</v>
      </c>
      <c r="E655" s="53" t="s">
        <v>2261</v>
      </c>
      <c r="F655" s="53" t="s">
        <v>40</v>
      </c>
      <c r="G655" s="16">
        <v>45179.9</v>
      </c>
      <c r="H655" s="16">
        <v>45179.915277777778</v>
      </c>
      <c r="I655" s="4" t="s">
        <v>616</v>
      </c>
      <c r="J655" s="59" t="s">
        <v>72</v>
      </c>
      <c r="K655" s="59"/>
      <c r="L655" s="60"/>
    </row>
    <row r="656" spans="1:12">
      <c r="A656" s="41" t="s">
        <v>20</v>
      </c>
      <c r="B656" s="30" t="s">
        <v>2262</v>
      </c>
      <c r="C656" s="61" t="s">
        <v>21</v>
      </c>
      <c r="D656" s="61" t="s">
        <v>2263</v>
      </c>
      <c r="E656" s="7" t="s">
        <v>1907</v>
      </c>
      <c r="F656" s="61" t="s">
        <v>40</v>
      </c>
      <c r="G656" s="22">
        <v>45179.958333333336</v>
      </c>
      <c r="H656" s="22">
        <v>45179.972222222219</v>
      </c>
      <c r="I656" s="62" t="s">
        <v>52</v>
      </c>
      <c r="J656" s="63" t="s">
        <v>72</v>
      </c>
      <c r="K656" s="63"/>
      <c r="L656" s="64"/>
    </row>
    <row r="657" spans="1:12">
      <c r="A657" s="42" t="s">
        <v>20</v>
      </c>
      <c r="B657" s="34" t="s">
        <v>2264</v>
      </c>
      <c r="C657" s="53" t="s">
        <v>21</v>
      </c>
      <c r="D657" s="53" t="s">
        <v>2265</v>
      </c>
      <c r="E657" s="53" t="s">
        <v>2266</v>
      </c>
      <c r="F657" s="53" t="s">
        <v>40</v>
      </c>
      <c r="G657" s="16">
        <v>45180.033333333333</v>
      </c>
      <c r="H657" s="16">
        <v>45180.06527777778</v>
      </c>
      <c r="I657" s="58" t="s">
        <v>52</v>
      </c>
      <c r="J657" s="59" t="s">
        <v>72</v>
      </c>
      <c r="K657" s="59"/>
      <c r="L657" s="60"/>
    </row>
    <row r="658" spans="1:12">
      <c r="A658" s="41" t="s">
        <v>106</v>
      </c>
      <c r="B658" s="30" t="s">
        <v>2267</v>
      </c>
      <c r="C658" s="61" t="s">
        <v>108</v>
      </c>
      <c r="D658" s="21" t="s">
        <v>2211</v>
      </c>
      <c r="E658" s="21" t="s">
        <v>2212</v>
      </c>
      <c r="F658" s="61" t="s">
        <v>40</v>
      </c>
      <c r="G658" s="22">
        <v>45180.041666666664</v>
      </c>
      <c r="H658" s="22">
        <v>45180.055555555555</v>
      </c>
      <c r="I658" s="62" t="s">
        <v>32</v>
      </c>
      <c r="J658" s="63" t="s">
        <v>72</v>
      </c>
      <c r="K658" s="63"/>
      <c r="L658" s="64"/>
    </row>
    <row r="659" spans="1:12">
      <c r="A659" s="42" t="s">
        <v>106</v>
      </c>
      <c r="B659" s="34" t="s">
        <v>2268</v>
      </c>
      <c r="C659" s="53" t="s">
        <v>333</v>
      </c>
      <c r="D659" s="15" t="s">
        <v>2269</v>
      </c>
      <c r="E659" s="15"/>
      <c r="F659" s="53" t="s">
        <v>214</v>
      </c>
      <c r="G659" s="16">
        <v>45180.37222222222</v>
      </c>
      <c r="H659" s="16"/>
      <c r="I659" s="58" t="s">
        <v>346</v>
      </c>
      <c r="J659" s="59" t="s">
        <v>61</v>
      </c>
      <c r="K659" s="59"/>
      <c r="L659" s="60"/>
    </row>
    <row r="660" spans="1:12">
      <c r="A660" s="41" t="s">
        <v>20</v>
      </c>
      <c r="B660" s="30" t="s">
        <v>2270</v>
      </c>
      <c r="C660" s="61" t="s">
        <v>13</v>
      </c>
      <c r="D660" s="21" t="s">
        <v>2271</v>
      </c>
      <c r="E660" s="21" t="s">
        <v>2272</v>
      </c>
      <c r="F660" s="61" t="s">
        <v>40</v>
      </c>
      <c r="G660" s="22">
        <v>45180.495833333334</v>
      </c>
      <c r="H660" s="22">
        <v>45180.666666666664</v>
      </c>
      <c r="I660" s="62" t="s">
        <v>17</v>
      </c>
      <c r="J660" s="63" t="s">
        <v>61</v>
      </c>
      <c r="K660" s="63"/>
      <c r="L660" s="64"/>
    </row>
    <row r="661" spans="1:12">
      <c r="A661" s="42" t="s">
        <v>106</v>
      </c>
      <c r="B661" s="34" t="s">
        <v>2273</v>
      </c>
      <c r="C661" s="53" t="s">
        <v>108</v>
      </c>
      <c r="D661" s="15" t="s">
        <v>2274</v>
      </c>
      <c r="E661" s="15" t="s">
        <v>2275</v>
      </c>
      <c r="F661" s="53" t="s">
        <v>40</v>
      </c>
      <c r="G661" s="16">
        <v>45180.536805555559</v>
      </c>
      <c r="H661" s="16">
        <v>45180.833333333336</v>
      </c>
      <c r="I661" s="58" t="s">
        <v>2276</v>
      </c>
      <c r="J661" s="59" t="s">
        <v>61</v>
      </c>
      <c r="K661" s="59"/>
      <c r="L661" s="60"/>
    </row>
    <row r="662" spans="1:12">
      <c r="A662" s="41" t="s">
        <v>106</v>
      </c>
      <c r="B662" s="30" t="s">
        <v>2277</v>
      </c>
      <c r="C662" s="61" t="s">
        <v>333</v>
      </c>
      <c r="D662" s="21" t="s">
        <v>2278</v>
      </c>
      <c r="E662" s="61" t="s">
        <v>2279</v>
      </c>
      <c r="F662" s="61" t="s">
        <v>40</v>
      </c>
      <c r="G662" s="22">
        <v>45180.592361111114</v>
      </c>
      <c r="H662" s="22">
        <v>45180.759027777778</v>
      </c>
      <c r="I662" s="62" t="s">
        <v>346</v>
      </c>
      <c r="J662" s="63" t="s">
        <v>61</v>
      </c>
      <c r="K662" s="63"/>
      <c r="L662" s="64"/>
    </row>
    <row r="663" spans="1:12">
      <c r="A663" s="42" t="s">
        <v>106</v>
      </c>
      <c r="B663" s="34" t="s">
        <v>2280</v>
      </c>
      <c r="C663" s="53" t="s">
        <v>108</v>
      </c>
      <c r="D663" s="15" t="s">
        <v>2281</v>
      </c>
      <c r="E663" s="15" t="s">
        <v>2282</v>
      </c>
      <c r="F663" s="53" t="s">
        <v>40</v>
      </c>
      <c r="G663" s="16">
        <v>45180.625</v>
      </c>
      <c r="H663" s="16">
        <v>45180.666666666664</v>
      </c>
      <c r="I663" s="58" t="s">
        <v>2283</v>
      </c>
      <c r="J663" s="59" t="s">
        <v>61</v>
      </c>
      <c r="K663" s="59"/>
      <c r="L663" s="60"/>
    </row>
    <row r="664" spans="1:12">
      <c r="A664" s="41" t="s">
        <v>106</v>
      </c>
      <c r="B664" s="30" t="s">
        <v>2284</v>
      </c>
      <c r="C664" s="61" t="s">
        <v>108</v>
      </c>
      <c r="D664" s="61" t="s">
        <v>2285</v>
      </c>
      <c r="E664" s="61" t="s">
        <v>2286</v>
      </c>
      <c r="F664" s="61" t="s">
        <v>40</v>
      </c>
      <c r="G664" s="22">
        <v>45180.645833333336</v>
      </c>
      <c r="H664" s="22">
        <v>45180.729166666664</v>
      </c>
      <c r="I664" s="62" t="s">
        <v>111</v>
      </c>
      <c r="J664" s="63" t="s">
        <v>61</v>
      </c>
      <c r="K664" s="63"/>
      <c r="L664" s="64"/>
    </row>
    <row r="665" spans="1:12">
      <c r="A665" s="42" t="s">
        <v>95</v>
      </c>
      <c r="B665" s="34" t="s">
        <v>2287</v>
      </c>
      <c r="C665" s="53" t="s">
        <v>97</v>
      </c>
      <c r="D665" s="53" t="s">
        <v>2288</v>
      </c>
      <c r="E665" s="53" t="s">
        <v>2289</v>
      </c>
      <c r="F665" s="53" t="s">
        <v>40</v>
      </c>
      <c r="G665" s="16">
        <v>45180.791666666664</v>
      </c>
      <c r="H665" s="16">
        <v>45180.798611111109</v>
      </c>
      <c r="I665" s="58" t="s">
        <v>2290</v>
      </c>
      <c r="J665" s="59" t="s">
        <v>61</v>
      </c>
      <c r="K665" s="59"/>
      <c r="L665" s="60"/>
    </row>
    <row r="666" spans="1:12">
      <c r="A666" s="41" t="s">
        <v>20</v>
      </c>
      <c r="B666" s="30" t="s">
        <v>2291</v>
      </c>
      <c r="C666" s="61" t="s">
        <v>13</v>
      </c>
      <c r="D666" s="61" t="s">
        <v>2292</v>
      </c>
      <c r="E666" s="61" t="s">
        <v>2293</v>
      </c>
      <c r="F666" s="61" t="s">
        <v>40</v>
      </c>
      <c r="G666" s="22">
        <v>45180.84375</v>
      </c>
      <c r="H666" s="22">
        <v>45180.881944444445</v>
      </c>
      <c r="I666" s="62" t="s">
        <v>74</v>
      </c>
      <c r="J666" s="63" t="s">
        <v>72</v>
      </c>
      <c r="K666" s="63"/>
      <c r="L666" s="64"/>
    </row>
    <row r="667" spans="1:12">
      <c r="A667" s="42" t="s">
        <v>20</v>
      </c>
      <c r="B667" s="34" t="s">
        <v>2294</v>
      </c>
      <c r="C667" s="53" t="s">
        <v>21</v>
      </c>
      <c r="D667" s="53" t="s">
        <v>2295</v>
      </c>
      <c r="E667" s="53" t="s">
        <v>2296</v>
      </c>
      <c r="F667" s="53" t="s">
        <v>40</v>
      </c>
      <c r="G667" s="16">
        <v>45180.854861111111</v>
      </c>
      <c r="H667" s="16">
        <v>45180.888194444444</v>
      </c>
      <c r="I667" s="58" t="s">
        <v>52</v>
      </c>
      <c r="J667" s="59" t="s">
        <v>72</v>
      </c>
      <c r="K667" s="59"/>
      <c r="L667" s="60"/>
    </row>
    <row r="668" spans="1:12">
      <c r="A668" s="41" t="s">
        <v>95</v>
      </c>
      <c r="B668" s="30" t="s">
        <v>2297</v>
      </c>
      <c r="C668" s="61" t="s">
        <v>118</v>
      </c>
      <c r="D668" s="61" t="s">
        <v>2298</v>
      </c>
      <c r="E668" s="61" t="s">
        <v>2299</v>
      </c>
      <c r="F668" s="61" t="s">
        <v>40</v>
      </c>
      <c r="G668" s="22">
        <v>45180.913888888892</v>
      </c>
      <c r="H668" s="22">
        <v>45180.942361111112</v>
      </c>
      <c r="I668" s="62" t="s">
        <v>1102</v>
      </c>
      <c r="J668" s="63" t="s">
        <v>72</v>
      </c>
      <c r="K668" s="63"/>
      <c r="L668" s="64"/>
    </row>
    <row r="669" spans="1:12">
      <c r="A669" s="42" t="s">
        <v>106</v>
      </c>
      <c r="B669" s="34" t="s">
        <v>2300</v>
      </c>
      <c r="C669" s="53" t="s">
        <v>333</v>
      </c>
      <c r="D669" s="53" t="s">
        <v>2301</v>
      </c>
      <c r="E669" s="15" t="s">
        <v>2302</v>
      </c>
      <c r="F669" s="53" t="s">
        <v>40</v>
      </c>
      <c r="G669" s="16">
        <v>45180.947916666664</v>
      </c>
      <c r="H669" s="16">
        <v>45181.020833333336</v>
      </c>
      <c r="I669" s="58" t="s">
        <v>346</v>
      </c>
      <c r="J669" s="59" t="s">
        <v>72</v>
      </c>
      <c r="K669" s="59"/>
      <c r="L669" s="60"/>
    </row>
    <row r="670" spans="1:12">
      <c r="A670" s="41" t="s">
        <v>106</v>
      </c>
      <c r="B670" s="30" t="s">
        <v>2303</v>
      </c>
      <c r="C670" s="61" t="s">
        <v>108</v>
      </c>
      <c r="D670" s="21" t="s">
        <v>2304</v>
      </c>
      <c r="E670" s="21" t="s">
        <v>2302</v>
      </c>
      <c r="F670" s="61" t="s">
        <v>40</v>
      </c>
      <c r="G670" s="22">
        <v>45181.04791666667</v>
      </c>
      <c r="H670" s="22">
        <v>45181.087500000001</v>
      </c>
      <c r="I670" s="62" t="s">
        <v>946</v>
      </c>
      <c r="J670" s="63" t="s">
        <v>72</v>
      </c>
      <c r="K670" s="63"/>
      <c r="L670" s="64"/>
    </row>
    <row r="671" spans="1:12">
      <c r="A671" s="42" t="s">
        <v>106</v>
      </c>
      <c r="B671" s="34" t="s">
        <v>2305</v>
      </c>
      <c r="C671" s="53" t="s">
        <v>78</v>
      </c>
      <c r="D671" s="53" t="s">
        <v>2306</v>
      </c>
      <c r="E671" s="53" t="s">
        <v>2307</v>
      </c>
      <c r="F671" s="53" t="s">
        <v>40</v>
      </c>
      <c r="G671" s="16">
        <v>45181.375</v>
      </c>
      <c r="H671" s="16">
        <v>45181.458333333336</v>
      </c>
      <c r="I671" s="4" t="s">
        <v>2308</v>
      </c>
      <c r="J671" s="59" t="s">
        <v>61</v>
      </c>
      <c r="K671" s="59"/>
      <c r="L671" s="60"/>
    </row>
    <row r="672" spans="1:12">
      <c r="A672" s="41" t="s">
        <v>20</v>
      </c>
      <c r="B672" s="30" t="s">
        <v>2309</v>
      </c>
      <c r="C672" s="61" t="s">
        <v>21</v>
      </c>
      <c r="D672" s="61" t="s">
        <v>2310</v>
      </c>
      <c r="E672" s="61" t="s">
        <v>2311</v>
      </c>
      <c r="F672" s="61" t="s">
        <v>40</v>
      </c>
      <c r="G672" s="22">
        <v>45181.701388888891</v>
      </c>
      <c r="H672" s="22">
        <v>45181.743055555555</v>
      </c>
      <c r="I672" s="11" t="s">
        <v>2312</v>
      </c>
      <c r="J672" s="63" t="s">
        <v>61</v>
      </c>
      <c r="K672" s="63"/>
      <c r="L672" s="64"/>
    </row>
    <row r="673" spans="1:12">
      <c r="A673" s="42" t="s">
        <v>20</v>
      </c>
      <c r="B673" s="34" t="s">
        <v>2313</v>
      </c>
      <c r="C673" s="53" t="s">
        <v>21</v>
      </c>
      <c r="D673" s="53" t="s">
        <v>2314</v>
      </c>
      <c r="E673" s="53" t="s">
        <v>1907</v>
      </c>
      <c r="F673" s="53" t="s">
        <v>40</v>
      </c>
      <c r="G673" s="16">
        <v>45181.833333333336</v>
      </c>
      <c r="H673" s="16">
        <v>45181.859027777777</v>
      </c>
      <c r="I673" s="58" t="s">
        <v>52</v>
      </c>
      <c r="J673" s="59" t="s">
        <v>72</v>
      </c>
      <c r="K673" s="59"/>
      <c r="L673" s="60"/>
    </row>
    <row r="674" spans="1:12">
      <c r="A674" s="19" t="s">
        <v>20</v>
      </c>
      <c r="B674" s="30" t="s">
        <v>2315</v>
      </c>
      <c r="C674" s="61" t="s">
        <v>21</v>
      </c>
      <c r="D674" s="61" t="s">
        <v>2316</v>
      </c>
      <c r="E674" s="61" t="s">
        <v>1907</v>
      </c>
      <c r="F674" s="61" t="s">
        <v>40</v>
      </c>
      <c r="G674" s="22">
        <v>45181.851388888892</v>
      </c>
      <c r="H674" s="22">
        <v>45181.870138888888</v>
      </c>
      <c r="I674" s="11" t="s">
        <v>52</v>
      </c>
      <c r="J674" s="63" t="s">
        <v>72</v>
      </c>
      <c r="K674" s="63"/>
      <c r="L674" s="64"/>
    </row>
    <row r="675" spans="1:12">
      <c r="A675" s="1" t="s">
        <v>106</v>
      </c>
      <c r="B675" s="14" t="s">
        <v>2317</v>
      </c>
      <c r="C675" s="53" t="s">
        <v>333</v>
      </c>
      <c r="D675" s="81" t="s">
        <v>2318</v>
      </c>
      <c r="E675" s="81" t="s">
        <v>276</v>
      </c>
      <c r="F675" s="81" t="s">
        <v>40</v>
      </c>
      <c r="G675" s="16">
        <v>45181.895833333336</v>
      </c>
      <c r="H675" s="16">
        <v>45182.020833333336</v>
      </c>
      <c r="I675" s="4" t="s">
        <v>346</v>
      </c>
      <c r="J675" s="83" t="s">
        <v>72</v>
      </c>
      <c r="K675" s="83"/>
      <c r="L675" s="84"/>
    </row>
    <row r="676" spans="1:12">
      <c r="A676" s="19" t="s">
        <v>20</v>
      </c>
      <c r="B676" s="20" t="s">
        <v>2319</v>
      </c>
      <c r="C676" s="77" t="s">
        <v>21</v>
      </c>
      <c r="D676" s="77" t="s">
        <v>2320</v>
      </c>
      <c r="E676" s="7" t="s">
        <v>2321</v>
      </c>
      <c r="F676" s="77" t="s">
        <v>40</v>
      </c>
      <c r="G676" s="22">
        <v>45181.90625</v>
      </c>
      <c r="H676" s="22">
        <v>45181.941666666666</v>
      </c>
      <c r="I676" s="78" t="s">
        <v>52</v>
      </c>
      <c r="J676" s="79" t="s">
        <v>72</v>
      </c>
      <c r="K676" s="79"/>
      <c r="L676" s="80"/>
    </row>
    <row r="677" spans="1:12">
      <c r="A677" s="42" t="s">
        <v>20</v>
      </c>
      <c r="B677" s="34" t="s">
        <v>2322</v>
      </c>
      <c r="C677" s="53" t="s">
        <v>21</v>
      </c>
      <c r="D677" s="53" t="s">
        <v>2323</v>
      </c>
      <c r="E677" s="53" t="s">
        <v>2324</v>
      </c>
      <c r="F677" s="53" t="s">
        <v>40</v>
      </c>
      <c r="G677" s="16">
        <v>45182.021527777775</v>
      </c>
      <c r="H677" s="16">
        <v>45182.05</v>
      </c>
      <c r="I677" s="58" t="s">
        <v>52</v>
      </c>
      <c r="J677" s="59" t="s">
        <v>72</v>
      </c>
      <c r="K677" s="59"/>
      <c r="L677" s="60"/>
    </row>
    <row r="678" spans="1:12">
      <c r="A678" s="41" t="s">
        <v>106</v>
      </c>
      <c r="B678" s="30" t="s">
        <v>2325</v>
      </c>
      <c r="C678" s="61" t="s">
        <v>108</v>
      </c>
      <c r="D678" s="61" t="s">
        <v>2211</v>
      </c>
      <c r="E678" s="61" t="s">
        <v>2212</v>
      </c>
      <c r="F678" s="61" t="s">
        <v>40</v>
      </c>
      <c r="G678" s="22">
        <v>45182.069444444445</v>
      </c>
      <c r="H678" s="22">
        <v>45182.088194444441</v>
      </c>
      <c r="I678" s="62" t="s">
        <v>32</v>
      </c>
      <c r="J678" s="63" t="s">
        <v>72</v>
      </c>
      <c r="K678" s="63"/>
      <c r="L678" s="64"/>
    </row>
    <row r="679" spans="1:12">
      <c r="A679" s="42" t="s">
        <v>20</v>
      </c>
      <c r="B679" s="34" t="s">
        <v>2326</v>
      </c>
      <c r="C679" s="53" t="s">
        <v>21</v>
      </c>
      <c r="D679" s="53" t="s">
        <v>2327</v>
      </c>
      <c r="E679" s="53" t="s">
        <v>2328</v>
      </c>
      <c r="F679" s="53" t="s">
        <v>40</v>
      </c>
      <c r="G679" s="16">
        <v>45182.720138888886</v>
      </c>
      <c r="H679" s="16">
        <v>45182.836805555555</v>
      </c>
      <c r="I679" s="58" t="s">
        <v>2329</v>
      </c>
      <c r="J679" s="59" t="s">
        <v>88</v>
      </c>
      <c r="K679" s="59"/>
      <c r="L679" s="60"/>
    </row>
    <row r="680" spans="1:12">
      <c r="A680" s="41" t="s">
        <v>20</v>
      </c>
      <c r="B680" s="30" t="s">
        <v>2330</v>
      </c>
      <c r="C680" s="61" t="s">
        <v>21</v>
      </c>
      <c r="D680" s="61" t="s">
        <v>2331</v>
      </c>
      <c r="E680" s="61" t="s">
        <v>2332</v>
      </c>
      <c r="F680" s="61" t="s">
        <v>40</v>
      </c>
      <c r="G680" s="22">
        <v>45182.939583333333</v>
      </c>
      <c r="H680" s="22">
        <v>45182.984722222223</v>
      </c>
      <c r="I680" s="62" t="s">
        <v>2329</v>
      </c>
      <c r="J680" s="63" t="s">
        <v>88</v>
      </c>
      <c r="K680" s="63"/>
      <c r="L680" s="64"/>
    </row>
    <row r="681" spans="1:12">
      <c r="A681" s="42" t="s">
        <v>20</v>
      </c>
      <c r="B681" s="34" t="s">
        <v>2333</v>
      </c>
      <c r="C681" s="53" t="s">
        <v>21</v>
      </c>
      <c r="D681" s="53" t="s">
        <v>2334</v>
      </c>
      <c r="E681" s="53" t="s">
        <v>2335</v>
      </c>
      <c r="F681" s="53" t="s">
        <v>40</v>
      </c>
      <c r="G681" s="16">
        <v>45182.94027777778</v>
      </c>
      <c r="H681" s="16">
        <v>45182.982638888891</v>
      </c>
      <c r="I681" s="58" t="s">
        <v>2329</v>
      </c>
      <c r="J681" s="59" t="s">
        <v>88</v>
      </c>
      <c r="K681" s="59"/>
      <c r="L681" s="60"/>
    </row>
    <row r="682" spans="1:12">
      <c r="A682" s="41" t="s">
        <v>20</v>
      </c>
      <c r="B682" s="30" t="s">
        <v>2336</v>
      </c>
      <c r="C682" s="61" t="s">
        <v>21</v>
      </c>
      <c r="D682" s="61" t="s">
        <v>2337</v>
      </c>
      <c r="E682" s="61" t="s">
        <v>2338</v>
      </c>
      <c r="F682" s="61" t="s">
        <v>40</v>
      </c>
      <c r="G682" s="22">
        <v>45182.979166666664</v>
      </c>
      <c r="H682" s="22">
        <v>45182.988888888889</v>
      </c>
      <c r="I682" s="62" t="s">
        <v>2329</v>
      </c>
      <c r="J682" s="63" t="s">
        <v>88</v>
      </c>
      <c r="K682" s="63"/>
      <c r="L682" s="64"/>
    </row>
    <row r="683" spans="1:12">
      <c r="A683" s="42" t="s">
        <v>106</v>
      </c>
      <c r="B683" s="34" t="s">
        <v>2339</v>
      </c>
      <c r="C683" s="53" t="s">
        <v>108</v>
      </c>
      <c r="D683" s="53" t="s">
        <v>2340</v>
      </c>
      <c r="E683" s="53" t="s">
        <v>2341</v>
      </c>
      <c r="F683" s="53" t="s">
        <v>40</v>
      </c>
      <c r="G683" s="16">
        <v>45183.052083333336</v>
      </c>
      <c r="H683" s="16">
        <v>45183.053472222222</v>
      </c>
      <c r="I683" s="58" t="s">
        <v>32</v>
      </c>
      <c r="J683" s="59" t="s">
        <v>88</v>
      </c>
      <c r="K683" s="59"/>
      <c r="L683" s="60"/>
    </row>
    <row r="684" spans="1:12">
      <c r="A684" s="41" t="s">
        <v>106</v>
      </c>
      <c r="B684" s="30" t="s">
        <v>2342</v>
      </c>
      <c r="C684" s="61" t="s">
        <v>108</v>
      </c>
      <c r="D684" s="61" t="s">
        <v>2343</v>
      </c>
      <c r="E684" s="61" t="s">
        <v>2344</v>
      </c>
      <c r="F684" s="61" t="s">
        <v>40</v>
      </c>
      <c r="G684" s="22">
        <v>45183.158333333333</v>
      </c>
      <c r="H684" s="22">
        <v>45183.159722222219</v>
      </c>
      <c r="I684" s="62" t="s">
        <v>2345</v>
      </c>
      <c r="J684" s="63" t="s">
        <v>88</v>
      </c>
      <c r="K684" s="63"/>
      <c r="L684" s="64"/>
    </row>
    <row r="685" spans="1:12">
      <c r="A685" s="42" t="s">
        <v>20</v>
      </c>
      <c r="B685" s="34" t="s">
        <v>2346</v>
      </c>
      <c r="C685" s="53" t="s">
        <v>21</v>
      </c>
      <c r="D685" s="53" t="s">
        <v>2347</v>
      </c>
      <c r="E685" s="53" t="s">
        <v>2348</v>
      </c>
      <c r="F685" s="53" t="s">
        <v>40</v>
      </c>
      <c r="G685" s="16">
        <v>45184.747916666667</v>
      </c>
      <c r="H685" s="16">
        <v>45184.175694444442</v>
      </c>
      <c r="I685" s="58" t="s">
        <v>2329</v>
      </c>
      <c r="J685" s="59" t="s">
        <v>88</v>
      </c>
      <c r="K685" s="59"/>
      <c r="L685" s="60"/>
    </row>
    <row r="686" spans="1:12">
      <c r="A686" s="41" t="s">
        <v>106</v>
      </c>
      <c r="B686" s="30" t="s">
        <v>2349</v>
      </c>
      <c r="C686" s="61" t="s">
        <v>333</v>
      </c>
      <c r="D686" s="61" t="s">
        <v>2350</v>
      </c>
      <c r="E686" s="61"/>
      <c r="F686" s="61" t="s">
        <v>214</v>
      </c>
      <c r="G686" s="22">
        <v>45183.765277777777</v>
      </c>
      <c r="H686" s="22"/>
      <c r="I686" s="62" t="s">
        <v>2351</v>
      </c>
      <c r="J686" s="63" t="s">
        <v>88</v>
      </c>
      <c r="K686" s="63" t="s">
        <v>41</v>
      </c>
      <c r="L686" s="64"/>
    </row>
    <row r="687" spans="1:12">
      <c r="A687" s="42" t="s">
        <v>20</v>
      </c>
      <c r="B687" s="34" t="s">
        <v>2352</v>
      </c>
      <c r="C687" s="53" t="s">
        <v>21</v>
      </c>
      <c r="D687" s="53" t="s">
        <v>2353</v>
      </c>
      <c r="E687" s="53" t="s">
        <v>2354</v>
      </c>
      <c r="F687" s="53" t="s">
        <v>40</v>
      </c>
      <c r="G687" s="16">
        <v>45183.950694444444</v>
      </c>
      <c r="H687" s="16">
        <v>45183.981249999997</v>
      </c>
      <c r="I687" s="58" t="s">
        <v>2329</v>
      </c>
      <c r="J687" s="59" t="s">
        <v>88</v>
      </c>
      <c r="K687" s="59"/>
      <c r="L687" s="60"/>
    </row>
    <row r="688" spans="1:12">
      <c r="A688" s="41" t="s">
        <v>95</v>
      </c>
      <c r="B688" s="30" t="s">
        <v>2355</v>
      </c>
      <c r="C688" s="61" t="s">
        <v>97</v>
      </c>
      <c r="D688" s="61" t="s">
        <v>2356</v>
      </c>
      <c r="E688" s="61" t="s">
        <v>2357</v>
      </c>
      <c r="F688" s="61" t="s">
        <v>40</v>
      </c>
      <c r="G688" s="22">
        <v>45184.703472222223</v>
      </c>
      <c r="H688" s="22">
        <v>45184.760416666664</v>
      </c>
      <c r="I688" s="62" t="s">
        <v>2358</v>
      </c>
      <c r="J688" s="63" t="s">
        <v>88</v>
      </c>
      <c r="K688" s="63"/>
      <c r="L688" s="64"/>
    </row>
    <row r="689" spans="1:12">
      <c r="A689" s="42" t="s">
        <v>20</v>
      </c>
      <c r="B689" s="34" t="s">
        <v>2359</v>
      </c>
      <c r="C689" s="53" t="s">
        <v>49</v>
      </c>
      <c r="D689" s="53" t="s">
        <v>2360</v>
      </c>
      <c r="E689" s="53" t="s">
        <v>2361</v>
      </c>
      <c r="F689" s="53" t="s">
        <v>40</v>
      </c>
      <c r="G689" s="16">
        <v>45184.788194444445</v>
      </c>
      <c r="H689" s="16">
        <v>45184.998611111114</v>
      </c>
      <c r="I689" s="58" t="s">
        <v>143</v>
      </c>
      <c r="J689" s="59" t="s">
        <v>88</v>
      </c>
      <c r="K689" s="59"/>
      <c r="L689" s="60"/>
    </row>
    <row r="690" spans="1:12">
      <c r="A690" s="41" t="s">
        <v>106</v>
      </c>
      <c r="B690" s="30" t="s">
        <v>2362</v>
      </c>
      <c r="C690" s="61" t="s">
        <v>108</v>
      </c>
      <c r="D690" s="61" t="s">
        <v>2340</v>
      </c>
      <c r="E690" s="61" t="s">
        <v>2363</v>
      </c>
      <c r="F690" s="61" t="s">
        <v>40</v>
      </c>
      <c r="G690" s="22">
        <v>45184.877083333333</v>
      </c>
      <c r="H690" s="22">
        <v>45184.998611111114</v>
      </c>
      <c r="I690" s="62" t="s">
        <v>32</v>
      </c>
      <c r="J690" s="63" t="s">
        <v>88</v>
      </c>
      <c r="K690" s="63"/>
      <c r="L690" s="64"/>
    </row>
    <row r="691" spans="1:12">
      <c r="A691" s="42" t="s">
        <v>20</v>
      </c>
      <c r="B691" s="34" t="s">
        <v>2364</v>
      </c>
      <c r="C691" s="53" t="s">
        <v>21</v>
      </c>
      <c r="D691" s="53" t="s">
        <v>2353</v>
      </c>
      <c r="E691" s="53" t="s">
        <v>2365</v>
      </c>
      <c r="F691" s="53" t="s">
        <v>40</v>
      </c>
      <c r="G691" s="16">
        <v>45184.915972222225</v>
      </c>
      <c r="H691" s="16">
        <v>45184.997916666667</v>
      </c>
      <c r="I691" s="58" t="s">
        <v>2329</v>
      </c>
      <c r="J691" s="59" t="s">
        <v>88</v>
      </c>
      <c r="K691" s="59"/>
      <c r="L691" s="60"/>
    </row>
    <row r="692" spans="1:12">
      <c r="A692" s="41" t="s">
        <v>20</v>
      </c>
      <c r="B692" s="30" t="s">
        <v>2366</v>
      </c>
      <c r="C692" s="61" t="s">
        <v>21</v>
      </c>
      <c r="D692" s="61" t="s">
        <v>2367</v>
      </c>
      <c r="E692" s="61" t="s">
        <v>2368</v>
      </c>
      <c r="F692" s="61" t="s">
        <v>40</v>
      </c>
      <c r="G692" s="22">
        <v>45185.763194444444</v>
      </c>
      <c r="H692" s="22">
        <v>45185.822222222225</v>
      </c>
      <c r="I692" s="62" t="s">
        <v>2329</v>
      </c>
      <c r="J692" s="63" t="s">
        <v>88</v>
      </c>
      <c r="K692" s="63"/>
      <c r="L692" s="64"/>
    </row>
    <row r="693" spans="1:12">
      <c r="A693" s="42" t="s">
        <v>20</v>
      </c>
      <c r="B693" s="34" t="s">
        <v>2369</v>
      </c>
      <c r="C693" s="53" t="s">
        <v>21</v>
      </c>
      <c r="D693" s="53" t="s">
        <v>2370</v>
      </c>
      <c r="E693" s="53" t="s">
        <v>2371</v>
      </c>
      <c r="F693" s="53" t="s">
        <v>40</v>
      </c>
      <c r="G693" s="16">
        <v>45185.823611111111</v>
      </c>
      <c r="H693" s="16">
        <v>45185.911111111112</v>
      </c>
      <c r="I693" s="58" t="s">
        <v>2329</v>
      </c>
      <c r="J693" s="59" t="s">
        <v>88</v>
      </c>
      <c r="K693" s="59"/>
      <c r="L693" s="60"/>
    </row>
    <row r="694" spans="1:12">
      <c r="A694" s="41" t="s">
        <v>20</v>
      </c>
      <c r="B694" s="30" t="s">
        <v>2372</v>
      </c>
      <c r="C694" s="61" t="s">
        <v>21</v>
      </c>
      <c r="D694" s="61" t="s">
        <v>2373</v>
      </c>
      <c r="E694" s="61" t="s">
        <v>2374</v>
      </c>
      <c r="F694" s="61" t="s">
        <v>40</v>
      </c>
      <c r="G694" s="22">
        <v>45185.943749999999</v>
      </c>
      <c r="H694" s="22">
        <v>45186.119444444441</v>
      </c>
      <c r="I694" s="62" t="s">
        <v>2329</v>
      </c>
      <c r="J694" s="63" t="s">
        <v>88</v>
      </c>
      <c r="K694" s="63"/>
      <c r="L694" s="64"/>
    </row>
    <row r="695" spans="1:12">
      <c r="A695" s="42" t="s">
        <v>20</v>
      </c>
      <c r="B695" s="34" t="s">
        <v>2375</v>
      </c>
      <c r="C695" s="53" t="s">
        <v>21</v>
      </c>
      <c r="D695" s="53" t="s">
        <v>2376</v>
      </c>
      <c r="E695" s="53" t="s">
        <v>2377</v>
      </c>
      <c r="F695" s="53" t="s">
        <v>40</v>
      </c>
      <c r="G695" s="16">
        <v>45185.965277777781</v>
      </c>
      <c r="H695" s="16">
        <v>45186.121527777781</v>
      </c>
      <c r="I695" s="58" t="s">
        <v>2329</v>
      </c>
      <c r="J695" s="59" t="s">
        <v>88</v>
      </c>
      <c r="K695" s="59"/>
      <c r="L695" s="60"/>
    </row>
    <row r="696" spans="1:12">
      <c r="A696" s="41" t="s">
        <v>20</v>
      </c>
      <c r="B696" s="30" t="s">
        <v>2378</v>
      </c>
      <c r="C696" s="61" t="s">
        <v>49</v>
      </c>
      <c r="D696" s="61" t="s">
        <v>2379</v>
      </c>
      <c r="E696" s="61" t="s">
        <v>2380</v>
      </c>
      <c r="F696" s="61" t="s">
        <v>40</v>
      </c>
      <c r="G696" s="22">
        <v>45186.035416666666</v>
      </c>
      <c r="H696" s="22">
        <v>45186.118055555555</v>
      </c>
      <c r="I696" s="62" t="s">
        <v>143</v>
      </c>
      <c r="J696" s="63" t="s">
        <v>88</v>
      </c>
      <c r="K696" s="63"/>
      <c r="L696" s="64"/>
    </row>
    <row r="697" spans="1:12">
      <c r="A697" s="42" t="s">
        <v>20</v>
      </c>
      <c r="B697" s="34" t="s">
        <v>2381</v>
      </c>
      <c r="C697" s="53" t="s">
        <v>21</v>
      </c>
      <c r="D697" s="53" t="s">
        <v>2382</v>
      </c>
      <c r="E697" s="53" t="s">
        <v>2383</v>
      </c>
      <c r="F697" s="53" t="s">
        <v>40</v>
      </c>
      <c r="G697" s="16">
        <v>45186.699305555558</v>
      </c>
      <c r="H697" s="16">
        <v>45186.974999999999</v>
      </c>
      <c r="I697" s="58" t="s">
        <v>2329</v>
      </c>
      <c r="J697" s="59" t="s">
        <v>88</v>
      </c>
      <c r="K697" s="59"/>
      <c r="L697" s="60"/>
    </row>
    <row r="698" spans="1:12">
      <c r="A698" s="41" t="s">
        <v>95</v>
      </c>
      <c r="B698" s="30" t="s">
        <v>2384</v>
      </c>
      <c r="C698" s="61" t="s">
        <v>113</v>
      </c>
      <c r="D698" s="61" t="s">
        <v>2385</v>
      </c>
      <c r="E698" s="61" t="s">
        <v>2386</v>
      </c>
      <c r="F698" s="61" t="s">
        <v>40</v>
      </c>
      <c r="G698" s="22">
        <v>45186.714583333334</v>
      </c>
      <c r="H698" s="22">
        <v>45186.974999999999</v>
      </c>
      <c r="I698" s="62" t="s">
        <v>2387</v>
      </c>
      <c r="J698" s="63" t="s">
        <v>88</v>
      </c>
      <c r="K698" s="63"/>
      <c r="L698" s="64"/>
    </row>
    <row r="699" spans="1:12">
      <c r="A699" s="42" t="s">
        <v>20</v>
      </c>
      <c r="B699" s="34" t="s">
        <v>2388</v>
      </c>
      <c r="C699" s="53" t="s">
        <v>21</v>
      </c>
      <c r="D699" s="53" t="s">
        <v>2389</v>
      </c>
      <c r="E699" s="53" t="s">
        <v>2390</v>
      </c>
      <c r="F699" s="53" t="s">
        <v>40</v>
      </c>
      <c r="G699" s="16">
        <v>45187.068749999999</v>
      </c>
      <c r="H699" s="16">
        <v>45187.151388888888</v>
      </c>
      <c r="I699" s="58" t="s">
        <v>2329</v>
      </c>
      <c r="J699" s="59" t="s">
        <v>88</v>
      </c>
      <c r="K699" s="59"/>
      <c r="L699" s="60"/>
    </row>
    <row r="700" spans="1:12">
      <c r="A700" s="41" t="s">
        <v>20</v>
      </c>
      <c r="B700" s="30" t="s">
        <v>2391</v>
      </c>
      <c r="C700" s="61" t="s">
        <v>21</v>
      </c>
      <c r="D700" s="61" t="s">
        <v>2392</v>
      </c>
      <c r="E700" s="61" t="s">
        <v>2393</v>
      </c>
      <c r="F700" s="61" t="s">
        <v>40</v>
      </c>
      <c r="G700" s="22">
        <v>45187.098611111112</v>
      </c>
      <c r="H700" s="22">
        <v>45187.150694444441</v>
      </c>
      <c r="I700" s="62" t="s">
        <v>2329</v>
      </c>
      <c r="J700" s="63" t="s">
        <v>88</v>
      </c>
      <c r="K700" s="63"/>
      <c r="L700" s="64"/>
    </row>
    <row r="701" spans="1:12">
      <c r="A701" s="42" t="s">
        <v>20</v>
      </c>
      <c r="B701" s="34" t="s">
        <v>2394</v>
      </c>
      <c r="C701" s="53" t="s">
        <v>21</v>
      </c>
      <c r="D701" s="53" t="s">
        <v>2395</v>
      </c>
      <c r="E701" s="53" t="s">
        <v>2396</v>
      </c>
      <c r="F701" s="53" t="s">
        <v>40</v>
      </c>
      <c r="G701" s="16">
        <v>45187.916666666664</v>
      </c>
      <c r="H701" s="16">
        <v>45188.013888888891</v>
      </c>
      <c r="I701" s="58" t="s">
        <v>2329</v>
      </c>
      <c r="J701" s="59" t="s">
        <v>88</v>
      </c>
      <c r="K701" s="59"/>
      <c r="L701" s="60"/>
    </row>
    <row r="702" spans="1:12">
      <c r="A702" s="41" t="s">
        <v>106</v>
      </c>
      <c r="B702" s="30" t="s">
        <v>2397</v>
      </c>
      <c r="C702" s="61" t="s">
        <v>108</v>
      </c>
      <c r="D702" s="61" t="s">
        <v>2398</v>
      </c>
      <c r="E702" s="61" t="s">
        <v>2399</v>
      </c>
      <c r="F702" s="61" t="s">
        <v>40</v>
      </c>
      <c r="G702" s="22">
        <v>45188.751388888886</v>
      </c>
      <c r="H702" s="22">
        <v>45188.804861111108</v>
      </c>
      <c r="I702" s="62" t="s">
        <v>2400</v>
      </c>
      <c r="J702" s="63" t="s">
        <v>88</v>
      </c>
      <c r="K702" s="63"/>
      <c r="L702" s="64"/>
    </row>
    <row r="703" spans="1:12">
      <c r="A703" s="42" t="s">
        <v>20</v>
      </c>
      <c r="B703" s="34" t="s">
        <v>2401</v>
      </c>
      <c r="C703" s="53" t="s">
        <v>49</v>
      </c>
      <c r="D703" s="53" t="s">
        <v>2402</v>
      </c>
      <c r="E703" s="53" t="s">
        <v>2403</v>
      </c>
      <c r="F703" s="53" t="s">
        <v>40</v>
      </c>
      <c r="G703" s="16"/>
      <c r="H703" s="16">
        <v>45190.536111111112</v>
      </c>
      <c r="I703" s="58"/>
      <c r="J703" s="59" t="s">
        <v>88</v>
      </c>
      <c r="K703" s="59" t="s">
        <v>72</v>
      </c>
      <c r="L703" s="89">
        <v>45189.333333333336</v>
      </c>
    </row>
    <row r="704" spans="1:12">
      <c r="A704" s="41" t="s">
        <v>106</v>
      </c>
      <c r="B704" s="30" t="s">
        <v>2404</v>
      </c>
      <c r="C704" s="61" t="s">
        <v>333</v>
      </c>
      <c r="D704" s="61" t="s">
        <v>2405</v>
      </c>
      <c r="E704" s="61" t="s">
        <v>2406</v>
      </c>
      <c r="F704" s="61" t="s">
        <v>40</v>
      </c>
      <c r="G704" s="22">
        <v>45188.870833333334</v>
      </c>
      <c r="H704" s="22">
        <v>45188.926388888889</v>
      </c>
      <c r="I704" s="62" t="s">
        <v>2351</v>
      </c>
      <c r="J704" s="63" t="s">
        <v>88</v>
      </c>
      <c r="K704" s="63"/>
      <c r="L704" s="64"/>
    </row>
    <row r="705" spans="1:12">
      <c r="A705" s="42" t="s">
        <v>20</v>
      </c>
      <c r="B705" s="34" t="s">
        <v>2407</v>
      </c>
      <c r="C705" s="53" t="s">
        <v>13</v>
      </c>
      <c r="D705" s="53" t="s">
        <v>2408</v>
      </c>
      <c r="E705" s="53" t="s">
        <v>2409</v>
      </c>
      <c r="F705" s="53" t="s">
        <v>40</v>
      </c>
      <c r="G705" s="16">
        <v>45188.986111111109</v>
      </c>
      <c r="H705" s="16">
        <v>45188.998611111114</v>
      </c>
      <c r="I705" s="58" t="s">
        <v>858</v>
      </c>
      <c r="J705" s="59" t="s">
        <v>88</v>
      </c>
      <c r="K705" s="59"/>
      <c r="L705" s="60"/>
    </row>
    <row r="706" spans="1:12">
      <c r="A706" s="41" t="s">
        <v>106</v>
      </c>
      <c r="B706" s="30" t="s">
        <v>2410</v>
      </c>
      <c r="C706" s="61" t="s">
        <v>108</v>
      </c>
      <c r="D706" s="61" t="s">
        <v>1767</v>
      </c>
      <c r="E706" s="61" t="s">
        <v>2411</v>
      </c>
      <c r="F706" s="61" t="s">
        <v>40</v>
      </c>
      <c r="G706" s="22">
        <v>45189.029861111114</v>
      </c>
      <c r="H706" s="22">
        <v>45189.064583333333</v>
      </c>
      <c r="I706" s="62" t="s">
        <v>2168</v>
      </c>
      <c r="J706" s="63" t="s">
        <v>88</v>
      </c>
      <c r="K706" s="63"/>
      <c r="L706" s="64"/>
    </row>
    <row r="707" spans="1:12">
      <c r="A707" s="42" t="s">
        <v>20</v>
      </c>
      <c r="B707" s="34" t="s">
        <v>2412</v>
      </c>
      <c r="C707" s="53" t="s">
        <v>21</v>
      </c>
      <c r="D707" s="53" t="s">
        <v>2413</v>
      </c>
      <c r="E707" s="53" t="s">
        <v>2414</v>
      </c>
      <c r="F707" s="53" t="s">
        <v>40</v>
      </c>
      <c r="G707" s="16">
        <v>45189.06527777778</v>
      </c>
      <c r="H707" s="16">
        <v>45189.125694444447</v>
      </c>
      <c r="I707" s="58" t="s">
        <v>2329</v>
      </c>
      <c r="J707" s="59" t="s">
        <v>88</v>
      </c>
      <c r="K707" s="59"/>
      <c r="L707" s="60"/>
    </row>
    <row r="708" spans="1:12">
      <c r="A708" s="41" t="s">
        <v>95</v>
      </c>
      <c r="B708" s="30" t="s">
        <v>2415</v>
      </c>
      <c r="C708" s="61" t="s">
        <v>118</v>
      </c>
      <c r="D708" s="61" t="s">
        <v>2416</v>
      </c>
      <c r="E708" s="21" t="s">
        <v>2417</v>
      </c>
      <c r="F708" s="61" t="s">
        <v>40</v>
      </c>
      <c r="G708" s="22">
        <v>45189.413194444445</v>
      </c>
      <c r="H708" s="22">
        <v>45189.423611111109</v>
      </c>
      <c r="I708" s="23" t="s">
        <v>1506</v>
      </c>
      <c r="J708" s="63" t="s">
        <v>72</v>
      </c>
      <c r="K708" s="63"/>
      <c r="L708" s="64"/>
    </row>
    <row r="709" spans="1:12">
      <c r="A709" s="42" t="s">
        <v>106</v>
      </c>
      <c r="B709" s="34" t="s">
        <v>2418</v>
      </c>
      <c r="C709" s="53" t="s">
        <v>380</v>
      </c>
      <c r="D709" s="15" t="s">
        <v>2419</v>
      </c>
      <c r="E709" s="53" t="s">
        <v>2420</v>
      </c>
      <c r="F709" s="53" t="s">
        <v>40</v>
      </c>
      <c r="G709" s="16">
        <v>45189.416666666664</v>
      </c>
      <c r="H709" s="16">
        <v>45189.489583333336</v>
      </c>
      <c r="I709" s="17" t="s">
        <v>32</v>
      </c>
      <c r="J709" s="59" t="s">
        <v>72</v>
      </c>
      <c r="K709" s="59"/>
      <c r="L709" s="60"/>
    </row>
    <row r="710" spans="1:12">
      <c r="A710" s="41" t="s">
        <v>95</v>
      </c>
      <c r="B710" s="30" t="s">
        <v>2421</v>
      </c>
      <c r="C710" s="61" t="s">
        <v>113</v>
      </c>
      <c r="D710" s="61" t="s">
        <v>2422</v>
      </c>
      <c r="E710" s="61" t="s">
        <v>2423</v>
      </c>
      <c r="F710" s="61" t="s">
        <v>40</v>
      </c>
      <c r="G710" s="22">
        <v>45190.009722222225</v>
      </c>
      <c r="H710" s="22">
        <v>45190.051388888889</v>
      </c>
      <c r="I710" s="61" t="s">
        <v>866</v>
      </c>
      <c r="J710" s="63" t="s">
        <v>61</v>
      </c>
      <c r="K710" s="63"/>
      <c r="L710" s="64"/>
    </row>
    <row r="711" spans="1:12">
      <c r="A711" s="42" t="s">
        <v>95</v>
      </c>
      <c r="B711" s="34" t="s">
        <v>2424</v>
      </c>
      <c r="C711" s="53" t="s">
        <v>113</v>
      </c>
      <c r="D711" s="53" t="s">
        <v>2425</v>
      </c>
      <c r="E711" s="53" t="s">
        <v>2426</v>
      </c>
      <c r="F711" s="53" t="s">
        <v>40</v>
      </c>
      <c r="G711" s="16">
        <v>45190.087500000001</v>
      </c>
      <c r="H711" s="16">
        <v>45190.099305555559</v>
      </c>
      <c r="I711" s="53" t="s">
        <v>866</v>
      </c>
      <c r="J711" s="59" t="s">
        <v>61</v>
      </c>
      <c r="K711" s="59"/>
      <c r="L711" s="60"/>
    </row>
    <row r="712" spans="1:12">
      <c r="A712" s="41" t="s">
        <v>20</v>
      </c>
      <c r="B712" s="30" t="s">
        <v>2427</v>
      </c>
      <c r="C712" s="61" t="s">
        <v>49</v>
      </c>
      <c r="D712" s="61" t="s">
        <v>2428</v>
      </c>
      <c r="E712" s="61" t="s">
        <v>2429</v>
      </c>
      <c r="F712" s="61" t="s">
        <v>40</v>
      </c>
      <c r="G712" s="22">
        <v>45190.344444444447</v>
      </c>
      <c r="H712" s="22">
        <v>45190.388888888891</v>
      </c>
      <c r="I712" s="62" t="s">
        <v>2430</v>
      </c>
      <c r="J712" s="63" t="s">
        <v>72</v>
      </c>
      <c r="K712" s="63"/>
      <c r="L712" s="64"/>
    </row>
    <row r="713" spans="1:12">
      <c r="A713" s="42" t="s">
        <v>106</v>
      </c>
      <c r="B713" s="34" t="s">
        <v>2431</v>
      </c>
      <c r="C713" s="53" t="s">
        <v>78</v>
      </c>
      <c r="D713" s="53" t="s">
        <v>2432</v>
      </c>
      <c r="E713" s="53" t="s">
        <v>276</v>
      </c>
      <c r="F713" s="53" t="s">
        <v>40</v>
      </c>
      <c r="G713" s="16">
        <v>45190.359722222223</v>
      </c>
      <c r="H713" s="16">
        <v>45190.411111111112</v>
      </c>
      <c r="I713" s="58" t="s">
        <v>258</v>
      </c>
      <c r="J713" s="59" t="s">
        <v>72</v>
      </c>
      <c r="K713" s="59"/>
      <c r="L713" s="60"/>
    </row>
    <row r="714" spans="1:12">
      <c r="A714" s="41" t="s">
        <v>20</v>
      </c>
      <c r="B714" s="30" t="s">
        <v>2433</v>
      </c>
      <c r="C714" s="61" t="s">
        <v>13</v>
      </c>
      <c r="D714" s="61" t="s">
        <v>2434</v>
      </c>
      <c r="E714" s="61" t="s">
        <v>2435</v>
      </c>
      <c r="F714" s="61" t="s">
        <v>40</v>
      </c>
      <c r="G714" s="22">
        <v>45190.601388888892</v>
      </c>
      <c r="H714" s="22">
        <v>45190.613888888889</v>
      </c>
      <c r="I714" s="62" t="s">
        <v>2436</v>
      </c>
      <c r="J714" s="63" t="s">
        <v>72</v>
      </c>
      <c r="K714" s="63"/>
      <c r="L714" s="64"/>
    </row>
    <row r="715" spans="1:12">
      <c r="A715" s="42" t="s">
        <v>106</v>
      </c>
      <c r="B715" s="34" t="s">
        <v>2437</v>
      </c>
      <c r="C715" s="53" t="s">
        <v>108</v>
      </c>
      <c r="D715" s="53" t="s">
        <v>2438</v>
      </c>
      <c r="E715" s="53" t="s">
        <v>2439</v>
      </c>
      <c r="F715" s="53" t="s">
        <v>40</v>
      </c>
      <c r="G715" s="16">
        <v>45190.663194444445</v>
      </c>
      <c r="H715" s="16">
        <v>45190.694444444445</v>
      </c>
      <c r="I715" s="58" t="s">
        <v>946</v>
      </c>
      <c r="J715" s="59" t="s">
        <v>72</v>
      </c>
      <c r="K715" s="59"/>
      <c r="L715" s="60"/>
    </row>
    <row r="716" spans="1:12">
      <c r="A716" s="41" t="s">
        <v>95</v>
      </c>
      <c r="B716" s="30" t="s">
        <v>2440</v>
      </c>
      <c r="C716" s="61" t="s">
        <v>97</v>
      </c>
      <c r="D716" s="61" t="s">
        <v>2441</v>
      </c>
      <c r="E716" s="61" t="s">
        <v>2442</v>
      </c>
      <c r="F716" s="61" t="s">
        <v>40</v>
      </c>
      <c r="G716" s="22">
        <v>45190.738888888889</v>
      </c>
      <c r="H716" s="22">
        <v>45190.750694444447</v>
      </c>
      <c r="I716" s="62" t="s">
        <v>2443</v>
      </c>
      <c r="J716" s="63" t="s">
        <v>72</v>
      </c>
      <c r="K716" s="63"/>
      <c r="L716" s="64"/>
    </row>
    <row r="717" spans="1:12">
      <c r="A717" s="42" t="s">
        <v>20</v>
      </c>
      <c r="B717" s="34" t="s">
        <v>2444</v>
      </c>
      <c r="C717" s="53" t="s">
        <v>13</v>
      </c>
      <c r="D717" s="15" t="s">
        <v>2445</v>
      </c>
      <c r="E717" s="53" t="s">
        <v>2446</v>
      </c>
      <c r="F717" s="53" t="s">
        <v>40</v>
      </c>
      <c r="G717" s="16">
        <v>45190.922222222223</v>
      </c>
      <c r="H717" s="16">
        <v>45190.963888888888</v>
      </c>
      <c r="I717" s="58" t="s">
        <v>2447</v>
      </c>
      <c r="J717" s="59" t="s">
        <v>61</v>
      </c>
      <c r="K717" s="59"/>
      <c r="L717" s="60"/>
    </row>
    <row r="718" spans="1:12">
      <c r="A718" s="41" t="s">
        <v>20</v>
      </c>
      <c r="B718" s="30" t="s">
        <v>2448</v>
      </c>
      <c r="C718" s="61" t="s">
        <v>21</v>
      </c>
      <c r="D718" s="21" t="s">
        <v>2449</v>
      </c>
      <c r="E718" s="21" t="s">
        <v>2450</v>
      </c>
      <c r="F718" s="61" t="s">
        <v>40</v>
      </c>
      <c r="G718" s="22">
        <v>45190.959027777775</v>
      </c>
      <c r="H718" s="22">
        <v>45191.000694444447</v>
      </c>
      <c r="I718" s="62" t="s">
        <v>2451</v>
      </c>
      <c r="J718" s="63" t="s">
        <v>61</v>
      </c>
      <c r="K718" s="63"/>
      <c r="L718" s="64"/>
    </row>
    <row r="719" spans="1:12">
      <c r="A719" s="42" t="s">
        <v>20</v>
      </c>
      <c r="B719" s="34" t="s">
        <v>2452</v>
      </c>
      <c r="C719" s="53" t="s">
        <v>21</v>
      </c>
      <c r="D719" s="53" t="s">
        <v>2453</v>
      </c>
      <c r="E719" s="53" t="s">
        <v>2454</v>
      </c>
      <c r="F719" s="53" t="s">
        <v>40</v>
      </c>
      <c r="G719" s="16">
        <v>45190.961805555555</v>
      </c>
      <c r="H719" s="16">
        <v>45191.003472222219</v>
      </c>
      <c r="I719" s="58" t="s">
        <v>2451</v>
      </c>
      <c r="J719" s="59" t="s">
        <v>61</v>
      </c>
      <c r="K719" s="59"/>
      <c r="L719" s="60"/>
    </row>
    <row r="720" spans="1:12">
      <c r="A720" s="41" t="s">
        <v>20</v>
      </c>
      <c r="B720" s="30" t="s">
        <v>2455</v>
      </c>
      <c r="C720" s="61" t="s">
        <v>21</v>
      </c>
      <c r="D720" s="61" t="s">
        <v>2456</v>
      </c>
      <c r="E720" s="61" t="s">
        <v>2457</v>
      </c>
      <c r="F720" s="61" t="s">
        <v>40</v>
      </c>
      <c r="G720" s="22">
        <v>45191.029166666667</v>
      </c>
      <c r="H720" s="22">
        <v>45191.029166666667</v>
      </c>
      <c r="I720" s="62" t="s">
        <v>2451</v>
      </c>
      <c r="J720" s="63" t="s">
        <v>61</v>
      </c>
      <c r="K720" s="63"/>
      <c r="L720" s="64"/>
    </row>
    <row r="721" spans="1:12">
      <c r="A721" s="42" t="s">
        <v>95</v>
      </c>
      <c r="B721" s="34" t="s">
        <v>2458</v>
      </c>
      <c r="C721" s="53" t="s">
        <v>113</v>
      </c>
      <c r="D721" s="53" t="s">
        <v>2425</v>
      </c>
      <c r="E721" s="53" t="s">
        <v>2426</v>
      </c>
      <c r="F721" s="53" t="s">
        <v>40</v>
      </c>
      <c r="G721" s="16">
        <v>45191.114583333336</v>
      </c>
      <c r="H721" s="16">
        <v>45191.121527777781</v>
      </c>
      <c r="I721" s="58" t="s">
        <v>866</v>
      </c>
      <c r="J721" s="59" t="s">
        <v>61</v>
      </c>
      <c r="K721" s="59"/>
      <c r="L721" s="60"/>
    </row>
    <row r="722" spans="1:12">
      <c r="A722" s="41" t="s">
        <v>20</v>
      </c>
      <c r="B722" s="30" t="s">
        <v>2459</v>
      </c>
      <c r="C722" s="61" t="s">
        <v>13</v>
      </c>
      <c r="D722" s="61" t="s">
        <v>2460</v>
      </c>
      <c r="E722" s="61" t="s">
        <v>2461</v>
      </c>
      <c r="F722" s="61" t="s">
        <v>40</v>
      </c>
      <c r="G722" s="22">
        <v>45191.167361111111</v>
      </c>
      <c r="H722" s="22">
        <v>45191.209027777775</v>
      </c>
      <c r="I722" s="62" t="s">
        <v>2447</v>
      </c>
      <c r="J722" s="63" t="s">
        <v>61</v>
      </c>
      <c r="K722" s="63"/>
      <c r="L722" s="64"/>
    </row>
    <row r="723" spans="1:12">
      <c r="A723" s="55" t="s">
        <v>106</v>
      </c>
      <c r="B723" s="3" t="s">
        <v>2462</v>
      </c>
      <c r="C723" s="2" t="s">
        <v>313</v>
      </c>
      <c r="D723" s="2" t="s">
        <v>2463</v>
      </c>
      <c r="E723" s="2"/>
      <c r="F723" s="2" t="s">
        <v>214</v>
      </c>
      <c r="G723" s="16">
        <v>45191.334027777775</v>
      </c>
      <c r="H723" s="16"/>
      <c r="I723" s="4" t="s">
        <v>2464</v>
      </c>
      <c r="J723" s="5" t="s">
        <v>72</v>
      </c>
      <c r="K723" s="5"/>
      <c r="L723" s="75"/>
    </row>
    <row r="724" spans="1:12">
      <c r="A724" s="56" t="s">
        <v>20</v>
      </c>
      <c r="B724" s="8" t="s">
        <v>2465</v>
      </c>
      <c r="C724" s="7" t="s">
        <v>13</v>
      </c>
      <c r="D724" s="7" t="s">
        <v>2466</v>
      </c>
      <c r="E724" s="7" t="s">
        <v>2467</v>
      </c>
      <c r="F724" s="7" t="s">
        <v>40</v>
      </c>
      <c r="G724" s="22">
        <v>45191.375694444447</v>
      </c>
      <c r="H724" s="22">
        <v>45191.570138888892</v>
      </c>
      <c r="I724" s="11" t="s">
        <v>2468</v>
      </c>
      <c r="J724" s="12" t="s">
        <v>72</v>
      </c>
      <c r="K724" s="12"/>
      <c r="L724" s="76"/>
    </row>
    <row r="725" spans="1:12" ht="290">
      <c r="A725" s="55" t="s">
        <v>106</v>
      </c>
      <c r="B725" s="3" t="s">
        <v>2469</v>
      </c>
      <c r="C725" s="2" t="s">
        <v>108</v>
      </c>
      <c r="D725" s="2" t="s">
        <v>2470</v>
      </c>
      <c r="E725" s="90" t="s">
        <v>2471</v>
      </c>
      <c r="F725" s="2" t="s">
        <v>40</v>
      </c>
      <c r="G725" s="16">
        <v>45191.390972222223</v>
      </c>
      <c r="H725" s="16">
        <v>45195.770833333336</v>
      </c>
      <c r="I725" s="4" t="s">
        <v>132</v>
      </c>
      <c r="J725" s="5" t="s">
        <v>72</v>
      </c>
      <c r="K725" s="5"/>
      <c r="L725" s="75"/>
    </row>
    <row r="726" spans="1:12">
      <c r="A726" s="56" t="s">
        <v>106</v>
      </c>
      <c r="B726" s="8" t="s">
        <v>2472</v>
      </c>
      <c r="C726" s="7" t="s">
        <v>108</v>
      </c>
      <c r="D726" s="7" t="s">
        <v>2473</v>
      </c>
      <c r="E726" s="7" t="s">
        <v>2474</v>
      </c>
      <c r="F726" s="7" t="s">
        <v>40</v>
      </c>
      <c r="G726" s="22">
        <v>45191.518055555556</v>
      </c>
      <c r="H726" s="22">
        <v>45191.536111111112</v>
      </c>
      <c r="I726" s="11" t="s">
        <v>946</v>
      </c>
      <c r="J726" s="12" t="s">
        <v>72</v>
      </c>
      <c r="K726" s="12"/>
      <c r="L726" s="76"/>
    </row>
    <row r="727" spans="1:12">
      <c r="A727" s="55" t="s">
        <v>95</v>
      </c>
      <c r="B727" s="3" t="s">
        <v>2475</v>
      </c>
      <c r="C727" s="2" t="s">
        <v>97</v>
      </c>
      <c r="D727" s="2" t="s">
        <v>2476</v>
      </c>
      <c r="E727" s="2" t="s">
        <v>2477</v>
      </c>
      <c r="F727" s="2" t="s">
        <v>40</v>
      </c>
      <c r="G727" s="16">
        <v>45191.463194444441</v>
      </c>
      <c r="H727" s="16">
        <v>45191.493055555555</v>
      </c>
      <c r="I727" s="4" t="s">
        <v>2478</v>
      </c>
      <c r="J727" s="5" t="s">
        <v>72</v>
      </c>
      <c r="K727" s="5"/>
      <c r="L727" s="75"/>
    </row>
    <row r="728" spans="1:12">
      <c r="A728" s="56" t="s">
        <v>95</v>
      </c>
      <c r="B728" s="8" t="s">
        <v>2479</v>
      </c>
      <c r="C728" s="7" t="s">
        <v>97</v>
      </c>
      <c r="D728" s="7" t="s">
        <v>2480</v>
      </c>
      <c r="E728" s="7" t="s">
        <v>2477</v>
      </c>
      <c r="F728" s="7" t="s">
        <v>40</v>
      </c>
      <c r="G728" s="22">
        <v>45191.51666666667</v>
      </c>
      <c r="H728" s="22">
        <v>45191.625</v>
      </c>
      <c r="I728" s="11" t="s">
        <v>2478</v>
      </c>
      <c r="J728" s="12" t="s">
        <v>72</v>
      </c>
      <c r="K728" s="12"/>
      <c r="L728" s="76"/>
    </row>
    <row r="729" spans="1:12">
      <c r="A729" s="55" t="s">
        <v>20</v>
      </c>
      <c r="B729" s="3" t="s">
        <v>2481</v>
      </c>
      <c r="C729" s="2" t="s">
        <v>21</v>
      </c>
      <c r="D729" s="2" t="s">
        <v>2482</v>
      </c>
      <c r="E729" s="2" t="s">
        <v>2483</v>
      </c>
      <c r="F729" s="2" t="s">
        <v>40</v>
      </c>
      <c r="G729" s="16">
        <v>45191.513888888891</v>
      </c>
      <c r="H729" s="16">
        <v>45191.813194444447</v>
      </c>
      <c r="I729" s="4" t="s">
        <v>32</v>
      </c>
      <c r="J729" s="5" t="s">
        <v>72</v>
      </c>
      <c r="K729" s="5"/>
      <c r="L729" s="75"/>
    </row>
    <row r="730" spans="1:12">
      <c r="A730" s="56" t="s">
        <v>20</v>
      </c>
      <c r="B730" s="8" t="s">
        <v>2484</v>
      </c>
      <c r="C730" s="7" t="s">
        <v>21</v>
      </c>
      <c r="D730" s="7" t="s">
        <v>2485</v>
      </c>
      <c r="E730" s="7" t="s">
        <v>2486</v>
      </c>
      <c r="F730" s="7" t="s">
        <v>40</v>
      </c>
      <c r="G730" s="22">
        <v>45191.60833333333</v>
      </c>
      <c r="H730" s="22">
        <v>45191.612500000003</v>
      </c>
      <c r="I730" s="11" t="s">
        <v>848</v>
      </c>
      <c r="J730" s="12" t="s">
        <v>72</v>
      </c>
      <c r="K730" s="12"/>
      <c r="L730" s="76"/>
    </row>
    <row r="731" spans="1:12">
      <c r="A731" s="55" t="s">
        <v>95</v>
      </c>
      <c r="B731" s="3" t="s">
        <v>2487</v>
      </c>
      <c r="C731" s="2" t="s">
        <v>113</v>
      </c>
      <c r="D731" s="2" t="s">
        <v>2488</v>
      </c>
      <c r="E731" s="2" t="s">
        <v>2489</v>
      </c>
      <c r="F731" s="2" t="s">
        <v>40</v>
      </c>
      <c r="G731" s="16">
        <v>45191.709722222222</v>
      </c>
      <c r="H731" s="16">
        <v>45191.806250000001</v>
      </c>
      <c r="I731" s="4" t="s">
        <v>498</v>
      </c>
      <c r="J731" s="5" t="s">
        <v>72</v>
      </c>
      <c r="K731" s="5"/>
      <c r="L731" s="75"/>
    </row>
    <row r="732" spans="1:12">
      <c r="A732" s="56" t="s">
        <v>95</v>
      </c>
      <c r="B732" s="8" t="s">
        <v>2490</v>
      </c>
      <c r="C732" s="7" t="s">
        <v>97</v>
      </c>
      <c r="D732" s="7" t="s">
        <v>2491</v>
      </c>
      <c r="E732" s="7" t="s">
        <v>2492</v>
      </c>
      <c r="F732" s="7" t="s">
        <v>40</v>
      </c>
      <c r="G732" s="22">
        <v>45191.743055555555</v>
      </c>
      <c r="H732" s="22">
        <v>45191.765972222223</v>
      </c>
      <c r="I732" s="11" t="s">
        <v>2478</v>
      </c>
      <c r="J732" s="12" t="s">
        <v>72</v>
      </c>
      <c r="K732" s="12"/>
      <c r="L732" s="76"/>
    </row>
    <row r="733" spans="1:12">
      <c r="A733" s="55" t="s">
        <v>20</v>
      </c>
      <c r="B733" s="3" t="s">
        <v>2493</v>
      </c>
      <c r="C733" s="2" t="s">
        <v>13</v>
      </c>
      <c r="D733" s="2" t="s">
        <v>2494</v>
      </c>
      <c r="E733" s="2" t="s">
        <v>2495</v>
      </c>
      <c r="F733" s="2" t="s">
        <v>40</v>
      </c>
      <c r="G733" s="16">
        <v>45191.918749999997</v>
      </c>
      <c r="H733" s="16">
        <v>45191.960416666669</v>
      </c>
      <c r="I733" s="4" t="s">
        <v>2496</v>
      </c>
      <c r="J733" s="5" t="s">
        <v>61</v>
      </c>
      <c r="K733" s="5"/>
      <c r="L733" s="75"/>
    </row>
    <row r="734" spans="1:12">
      <c r="A734" s="56" t="s">
        <v>95</v>
      </c>
      <c r="B734" s="8" t="s">
        <v>2497</v>
      </c>
      <c r="C734" s="7" t="s">
        <v>118</v>
      </c>
      <c r="D734" s="7" t="s">
        <v>2498</v>
      </c>
      <c r="E734" s="7" t="s">
        <v>2499</v>
      </c>
      <c r="F734" s="7" t="s">
        <v>40</v>
      </c>
      <c r="G734" s="22">
        <v>45191.918749999997</v>
      </c>
      <c r="H734" s="22">
        <v>45191.960416666669</v>
      </c>
      <c r="I734" s="11" t="s">
        <v>325</v>
      </c>
      <c r="J734" s="12" t="s">
        <v>61</v>
      </c>
      <c r="K734" s="12"/>
      <c r="L734" s="76"/>
    </row>
    <row r="735" spans="1:12">
      <c r="A735" s="55" t="s">
        <v>20</v>
      </c>
      <c r="B735" s="3" t="s">
        <v>2500</v>
      </c>
      <c r="C735" s="2" t="s">
        <v>13</v>
      </c>
      <c r="D735" s="2" t="s">
        <v>2501</v>
      </c>
      <c r="E735" s="2" t="s">
        <v>2502</v>
      </c>
      <c r="F735" s="2" t="s">
        <v>40</v>
      </c>
      <c r="G735" s="16">
        <v>45191.043749999997</v>
      </c>
      <c r="H735" s="16">
        <v>45191.109027777777</v>
      </c>
      <c r="I735" s="4" t="s">
        <v>2503</v>
      </c>
      <c r="J735" s="5" t="s">
        <v>61</v>
      </c>
      <c r="K735" s="5"/>
      <c r="L735" s="75"/>
    </row>
    <row r="736" spans="1:12">
      <c r="A736" s="56" t="s">
        <v>95</v>
      </c>
      <c r="B736" s="8" t="s">
        <v>2504</v>
      </c>
      <c r="C736" s="7" t="s">
        <v>97</v>
      </c>
      <c r="D736" s="7" t="s">
        <v>2505</v>
      </c>
      <c r="E736" s="7" t="s">
        <v>2506</v>
      </c>
      <c r="F736" s="7" t="s">
        <v>40</v>
      </c>
      <c r="G736" s="22">
        <v>45192.335416666669</v>
      </c>
      <c r="H736" s="22">
        <v>45192.481249999997</v>
      </c>
      <c r="I736" s="11" t="s">
        <v>32</v>
      </c>
      <c r="J736" s="12" t="s">
        <v>72</v>
      </c>
      <c r="K736" s="12"/>
      <c r="L736" s="76"/>
    </row>
    <row r="737" spans="1:12">
      <c r="A737" s="55" t="s">
        <v>106</v>
      </c>
      <c r="B737" s="3" t="s">
        <v>2507</v>
      </c>
      <c r="C737" s="2" t="s">
        <v>333</v>
      </c>
      <c r="D737" s="2" t="s">
        <v>2508</v>
      </c>
      <c r="E737" s="2" t="s">
        <v>2509</v>
      </c>
      <c r="F737" s="2" t="s">
        <v>40</v>
      </c>
      <c r="G737" s="16">
        <v>45192.378472222219</v>
      </c>
      <c r="H737" s="16">
        <v>45192.425000000003</v>
      </c>
      <c r="I737" s="4" t="s">
        <v>2510</v>
      </c>
      <c r="J737" s="5" t="s">
        <v>72</v>
      </c>
      <c r="K737" s="5"/>
      <c r="L737" s="75"/>
    </row>
    <row r="738" spans="1:12">
      <c r="A738" s="56" t="s">
        <v>20</v>
      </c>
      <c r="B738" s="8" t="s">
        <v>2511</v>
      </c>
      <c r="C738" s="7" t="s">
        <v>21</v>
      </c>
      <c r="D738" s="7" t="s">
        <v>2485</v>
      </c>
      <c r="E738" s="7" t="s">
        <v>2512</v>
      </c>
      <c r="F738" s="7" t="s">
        <v>40</v>
      </c>
      <c r="G738" s="22">
        <v>45192.397916666669</v>
      </c>
      <c r="H738" s="22">
        <v>45192.411805555559</v>
      </c>
      <c r="I738" s="11" t="s">
        <v>848</v>
      </c>
      <c r="J738" s="12" t="s">
        <v>72</v>
      </c>
      <c r="K738" s="12"/>
      <c r="L738" s="76"/>
    </row>
    <row r="739" spans="1:12">
      <c r="A739" s="55" t="s">
        <v>106</v>
      </c>
      <c r="B739" s="3" t="s">
        <v>2513</v>
      </c>
      <c r="C739" s="2" t="s">
        <v>108</v>
      </c>
      <c r="D739" s="2" t="s">
        <v>2438</v>
      </c>
      <c r="E739" s="2"/>
      <c r="F739" s="2" t="s">
        <v>214</v>
      </c>
      <c r="G739" s="16">
        <v>45192.418055555558</v>
      </c>
      <c r="H739" s="16"/>
      <c r="I739" s="4" t="s">
        <v>2514</v>
      </c>
      <c r="J739" s="5" t="s">
        <v>72</v>
      </c>
      <c r="K739" s="5"/>
      <c r="L739" s="75"/>
    </row>
    <row r="740" spans="1:12">
      <c r="A740" s="56" t="s">
        <v>20</v>
      </c>
      <c r="B740" s="8" t="s">
        <v>2515</v>
      </c>
      <c r="C740" s="7" t="s">
        <v>21</v>
      </c>
      <c r="D740" s="7" t="s">
        <v>2516</v>
      </c>
      <c r="E740" s="7" t="s">
        <v>2517</v>
      </c>
      <c r="F740" s="7" t="s">
        <v>40</v>
      </c>
      <c r="G740" s="22">
        <v>45192.656944444447</v>
      </c>
      <c r="H740" s="22">
        <v>45192.680555555555</v>
      </c>
      <c r="I740" s="11" t="s">
        <v>2518</v>
      </c>
      <c r="J740" s="12" t="s">
        <v>72</v>
      </c>
      <c r="K740" s="12"/>
      <c r="L740" s="76"/>
    </row>
    <row r="741" spans="1:12">
      <c r="A741" s="55" t="s">
        <v>20</v>
      </c>
      <c r="B741" s="3" t="s">
        <v>2519</v>
      </c>
      <c r="C741" s="2" t="s">
        <v>13</v>
      </c>
      <c r="D741" s="2" t="s">
        <v>2520</v>
      </c>
      <c r="E741" s="2" t="s">
        <v>2521</v>
      </c>
      <c r="F741" s="2" t="s">
        <v>40</v>
      </c>
      <c r="G741" s="16">
        <v>45192.873611111114</v>
      </c>
      <c r="H741" s="16">
        <v>45192.915277777778</v>
      </c>
      <c r="I741" s="4" t="s">
        <v>2522</v>
      </c>
      <c r="J741" s="5" t="s">
        <v>61</v>
      </c>
      <c r="K741" s="5"/>
      <c r="L741" s="75"/>
    </row>
    <row r="742" spans="1:12">
      <c r="A742" s="56" t="s">
        <v>20</v>
      </c>
      <c r="B742" s="8" t="s">
        <v>2523</v>
      </c>
      <c r="C742" s="7" t="s">
        <v>13</v>
      </c>
      <c r="D742" s="7" t="s">
        <v>2524</v>
      </c>
      <c r="E742" s="7" t="s">
        <v>2521</v>
      </c>
      <c r="F742" s="7" t="s">
        <v>40</v>
      </c>
      <c r="G742" s="22">
        <v>45192.906944444447</v>
      </c>
      <c r="H742" s="22">
        <v>45192.948611111111</v>
      </c>
      <c r="I742" s="11" t="s">
        <v>2522</v>
      </c>
      <c r="J742" s="12" t="s">
        <v>61</v>
      </c>
      <c r="K742" s="12"/>
      <c r="L742" s="76"/>
    </row>
    <row r="743" spans="1:12">
      <c r="A743" s="55" t="s">
        <v>106</v>
      </c>
      <c r="B743" s="3" t="s">
        <v>2525</v>
      </c>
      <c r="C743" s="2" t="s">
        <v>333</v>
      </c>
      <c r="D743" s="2" t="s">
        <v>2526</v>
      </c>
      <c r="E743" s="2" t="s">
        <v>2527</v>
      </c>
      <c r="F743" s="2" t="s">
        <v>40</v>
      </c>
      <c r="G743" s="16">
        <v>45192.916666666664</v>
      </c>
      <c r="H743" s="16">
        <v>45192.958333333336</v>
      </c>
      <c r="I743" s="4" t="s">
        <v>2528</v>
      </c>
      <c r="J743" s="5" t="s">
        <v>61</v>
      </c>
      <c r="K743" s="5"/>
      <c r="L743" s="75"/>
    </row>
    <row r="744" spans="1:12">
      <c r="A744" s="56" t="s">
        <v>20</v>
      </c>
      <c r="B744" s="8" t="s">
        <v>2529</v>
      </c>
      <c r="C744" s="7" t="s">
        <v>21</v>
      </c>
      <c r="D744" s="7" t="s">
        <v>2530</v>
      </c>
      <c r="E744" s="7" t="s">
        <v>2531</v>
      </c>
      <c r="F744" s="7" t="s">
        <v>40</v>
      </c>
      <c r="G744" s="22">
        <v>45193.519444444442</v>
      </c>
      <c r="H744" s="22">
        <v>45193.527777777781</v>
      </c>
      <c r="I744" s="11" t="s">
        <v>848</v>
      </c>
      <c r="J744" s="12" t="s">
        <v>72</v>
      </c>
      <c r="K744" s="12"/>
      <c r="L744" s="76"/>
    </row>
    <row r="745" spans="1:12" ht="409.5">
      <c r="A745" s="55" t="s">
        <v>106</v>
      </c>
      <c r="B745" s="3" t="s">
        <v>2532</v>
      </c>
      <c r="C745" s="2" t="s">
        <v>108</v>
      </c>
      <c r="D745" s="2" t="s">
        <v>2533</v>
      </c>
      <c r="E745" s="90" t="s">
        <v>2534</v>
      </c>
      <c r="F745" s="2" t="s">
        <v>40</v>
      </c>
      <c r="G745" s="16">
        <v>45193.465277777781</v>
      </c>
      <c r="H745" s="16">
        <v>45194.791666666664</v>
      </c>
      <c r="I745" s="4" t="s">
        <v>2535</v>
      </c>
      <c r="J745" s="5" t="s">
        <v>72</v>
      </c>
      <c r="K745" s="5"/>
      <c r="L745" s="75"/>
    </row>
    <row r="746" spans="1:12">
      <c r="A746" s="56" t="s">
        <v>20</v>
      </c>
      <c r="B746" s="8" t="s">
        <v>2536</v>
      </c>
      <c r="C746" s="7" t="s">
        <v>21</v>
      </c>
      <c r="D746" s="7" t="s">
        <v>2537</v>
      </c>
      <c r="E746" s="7" t="s">
        <v>2538</v>
      </c>
      <c r="F746" s="7" t="s">
        <v>40</v>
      </c>
      <c r="G746" s="22">
        <v>45193.978472222225</v>
      </c>
      <c r="H746" s="22">
        <v>45194.020138888889</v>
      </c>
      <c r="I746" s="11" t="s">
        <v>1947</v>
      </c>
      <c r="J746" s="12" t="s">
        <v>61</v>
      </c>
      <c r="K746" s="12"/>
      <c r="L746" s="76"/>
    </row>
    <row r="747" spans="1:12">
      <c r="A747" s="55" t="s">
        <v>95</v>
      </c>
      <c r="B747" s="3" t="s">
        <v>2539</v>
      </c>
      <c r="C747" s="2" t="s">
        <v>1763</v>
      </c>
      <c r="D747" s="2" t="s">
        <v>2540</v>
      </c>
      <c r="E747" s="2" t="s">
        <v>2538</v>
      </c>
      <c r="F747" s="2" t="s">
        <v>40</v>
      </c>
      <c r="G747" s="16">
        <v>45194.17083333333</v>
      </c>
      <c r="H747" s="16">
        <v>45194.191666666666</v>
      </c>
      <c r="I747" s="4" t="s">
        <v>2541</v>
      </c>
      <c r="J747" s="5" t="s">
        <v>61</v>
      </c>
      <c r="K747" s="5"/>
      <c r="L747" s="75"/>
    </row>
    <row r="748" spans="1:12">
      <c r="A748" s="56" t="s">
        <v>95</v>
      </c>
      <c r="B748" s="8" t="s">
        <v>2542</v>
      </c>
      <c r="C748" s="7" t="s">
        <v>97</v>
      </c>
      <c r="D748" s="7" t="s">
        <v>2543</v>
      </c>
      <c r="E748" s="7" t="s">
        <v>2521</v>
      </c>
      <c r="F748" s="7" t="s">
        <v>40</v>
      </c>
      <c r="G748" s="22">
        <v>45194.21875</v>
      </c>
      <c r="H748" s="22">
        <v>45194.25</v>
      </c>
      <c r="I748" s="11" t="s">
        <v>2544</v>
      </c>
      <c r="J748" s="12" t="s">
        <v>61</v>
      </c>
      <c r="K748" s="12"/>
      <c r="L748" s="76"/>
    </row>
    <row r="749" spans="1:12">
      <c r="A749" s="55" t="s">
        <v>20</v>
      </c>
      <c r="B749" s="3" t="s">
        <v>2545</v>
      </c>
      <c r="C749" s="2" t="s">
        <v>21</v>
      </c>
      <c r="D749" s="2" t="s">
        <v>2546</v>
      </c>
      <c r="E749" s="2" t="s">
        <v>2547</v>
      </c>
      <c r="F749" s="2" t="s">
        <v>40</v>
      </c>
      <c r="G749" s="16">
        <v>45194.401388888888</v>
      </c>
      <c r="H749" s="16">
        <v>45194.452777777777</v>
      </c>
      <c r="I749" s="4" t="s">
        <v>2548</v>
      </c>
      <c r="J749" s="5" t="s">
        <v>72</v>
      </c>
      <c r="K749" s="5"/>
      <c r="L749" s="75"/>
    </row>
    <row r="750" spans="1:12">
      <c r="A750" s="56" t="s">
        <v>106</v>
      </c>
      <c r="B750" s="8" t="s">
        <v>2549</v>
      </c>
      <c r="C750" s="7" t="s">
        <v>108</v>
      </c>
      <c r="D750" s="7" t="s">
        <v>2550</v>
      </c>
      <c r="E750" s="7" t="s">
        <v>2551</v>
      </c>
      <c r="F750" s="7" t="s">
        <v>40</v>
      </c>
      <c r="G750" s="22">
        <v>45194.542361111111</v>
      </c>
      <c r="H750" s="22">
        <v>45194.805555555555</v>
      </c>
      <c r="I750" s="11" t="s">
        <v>32</v>
      </c>
      <c r="J750" s="12" t="s">
        <v>72</v>
      </c>
      <c r="K750" s="12"/>
      <c r="L750" s="76"/>
    </row>
    <row r="751" spans="1:12">
      <c r="A751" s="55" t="s">
        <v>20</v>
      </c>
      <c r="B751" s="3" t="s">
        <v>2552</v>
      </c>
      <c r="C751" s="2" t="s">
        <v>13</v>
      </c>
      <c r="D751" s="2" t="s">
        <v>2553</v>
      </c>
      <c r="E751" s="2" t="s">
        <v>2554</v>
      </c>
      <c r="F751" s="2" t="s">
        <v>214</v>
      </c>
      <c r="G751" s="16">
        <v>45194.67291666667</v>
      </c>
      <c r="H751" s="16">
        <v>45195.322916666664</v>
      </c>
      <c r="I751" s="4" t="s">
        <v>17</v>
      </c>
      <c r="J751" s="5" t="s">
        <v>72</v>
      </c>
      <c r="K751" s="5"/>
      <c r="L751" s="75"/>
    </row>
    <row r="752" spans="1:12">
      <c r="A752" s="56" t="s">
        <v>20</v>
      </c>
      <c r="B752" s="8" t="s">
        <v>2555</v>
      </c>
      <c r="C752" s="7" t="s">
        <v>13</v>
      </c>
      <c r="D752" s="7" t="s">
        <v>2556</v>
      </c>
      <c r="E752" s="7" t="s">
        <v>2557</v>
      </c>
      <c r="F752" s="7" t="s">
        <v>40</v>
      </c>
      <c r="G752" s="22">
        <v>45194.821527777778</v>
      </c>
      <c r="H752" s="22">
        <v>45194.833333333336</v>
      </c>
      <c r="I752" s="11" t="s">
        <v>2558</v>
      </c>
      <c r="J752" s="12" t="s">
        <v>72</v>
      </c>
      <c r="K752" s="12"/>
      <c r="L752" s="76"/>
    </row>
    <row r="753" spans="1:12">
      <c r="A753" s="55" t="s">
        <v>20</v>
      </c>
      <c r="B753" s="3" t="s">
        <v>2559</v>
      </c>
      <c r="C753" s="2" t="s">
        <v>21</v>
      </c>
      <c r="D753" s="2" t="s">
        <v>2560</v>
      </c>
      <c r="E753" s="2" t="s">
        <v>2561</v>
      </c>
      <c r="F753" s="2" t="s">
        <v>40</v>
      </c>
      <c r="G753" s="16">
        <v>45195.067361111112</v>
      </c>
      <c r="H753" s="16">
        <v>45195.109027777777</v>
      </c>
      <c r="I753" s="4" t="s">
        <v>1947</v>
      </c>
      <c r="J753" s="5" t="s">
        <v>61</v>
      </c>
      <c r="K753" s="5"/>
      <c r="L753" s="75"/>
    </row>
    <row r="754" spans="1:12">
      <c r="A754" s="56" t="s">
        <v>20</v>
      </c>
      <c r="B754" s="8" t="s">
        <v>2562</v>
      </c>
      <c r="C754" s="7" t="s">
        <v>21</v>
      </c>
      <c r="D754" s="7" t="s">
        <v>2563</v>
      </c>
      <c r="E754" s="7" t="s">
        <v>2557</v>
      </c>
      <c r="F754" s="7" t="s">
        <v>40</v>
      </c>
      <c r="G754" s="22">
        <v>45195.208333333336</v>
      </c>
      <c r="H754" s="22">
        <v>45195.25</v>
      </c>
      <c r="I754" s="11" t="s">
        <v>1947</v>
      </c>
      <c r="J754" s="12" t="s">
        <v>61</v>
      </c>
      <c r="K754" s="12"/>
      <c r="L754" s="76"/>
    </row>
    <row r="755" spans="1:12">
      <c r="A755" s="55" t="s">
        <v>95</v>
      </c>
      <c r="B755" s="3" t="s">
        <v>2564</v>
      </c>
      <c r="C755" s="2" t="s">
        <v>113</v>
      </c>
      <c r="D755" s="2" t="s">
        <v>2565</v>
      </c>
      <c r="E755" s="2" t="s">
        <v>2566</v>
      </c>
      <c r="F755" s="2" t="s">
        <v>40</v>
      </c>
      <c r="G755" s="16">
        <v>45195.229166666664</v>
      </c>
      <c r="H755" s="16">
        <v>45195.270833333336</v>
      </c>
      <c r="I755" s="4" t="s">
        <v>2541</v>
      </c>
      <c r="J755" s="5" t="s">
        <v>61</v>
      </c>
      <c r="K755" s="5"/>
      <c r="L755" s="75"/>
    </row>
    <row r="756" spans="1:12">
      <c r="A756" s="56" t="s">
        <v>106</v>
      </c>
      <c r="B756" s="8" t="s">
        <v>2567</v>
      </c>
      <c r="C756" s="7" t="s">
        <v>108</v>
      </c>
      <c r="D756" s="21" t="s">
        <v>2568</v>
      </c>
      <c r="E756" s="7" t="s">
        <v>2569</v>
      </c>
      <c r="F756" s="7" t="s">
        <v>40</v>
      </c>
      <c r="G756" s="22">
        <v>45195.333333333336</v>
      </c>
      <c r="H756" s="22">
        <v>45195.361111111109</v>
      </c>
      <c r="I756" s="11" t="s">
        <v>111</v>
      </c>
      <c r="J756" s="12" t="s">
        <v>72</v>
      </c>
      <c r="K756" s="12"/>
      <c r="L756" s="76"/>
    </row>
    <row r="757" spans="1:12">
      <c r="A757" s="55" t="s">
        <v>106</v>
      </c>
      <c r="B757" s="3" t="s">
        <v>2570</v>
      </c>
      <c r="C757" s="2" t="s">
        <v>28</v>
      </c>
      <c r="D757" s="15" t="s">
        <v>2571</v>
      </c>
      <c r="E757" s="2" t="s">
        <v>2572</v>
      </c>
      <c r="F757" s="2" t="s">
        <v>40</v>
      </c>
      <c r="G757" s="16">
        <v>45195.371527777781</v>
      </c>
      <c r="H757" s="16">
        <v>45195.4375</v>
      </c>
      <c r="I757" s="4" t="s">
        <v>980</v>
      </c>
      <c r="J757" s="5" t="s">
        <v>72</v>
      </c>
      <c r="K757" s="5"/>
      <c r="L757" s="75"/>
    </row>
    <row r="758" spans="1:12">
      <c r="A758" s="41" t="s">
        <v>106</v>
      </c>
      <c r="B758" s="30" t="s">
        <v>2573</v>
      </c>
      <c r="C758" s="61" t="s">
        <v>108</v>
      </c>
      <c r="D758" s="61" t="s">
        <v>2574</v>
      </c>
      <c r="E758" s="61" t="s">
        <v>2575</v>
      </c>
      <c r="F758" s="61" t="s">
        <v>40</v>
      </c>
      <c r="G758" s="22">
        <v>45196.523611111108</v>
      </c>
      <c r="H758" s="22">
        <v>45196.125</v>
      </c>
      <c r="I758" s="62" t="s">
        <v>1470</v>
      </c>
      <c r="J758" s="63" t="s">
        <v>61</v>
      </c>
      <c r="K758" s="63"/>
      <c r="L758" s="64"/>
    </row>
    <row r="759" spans="1:12">
      <c r="A759" s="42" t="s">
        <v>95</v>
      </c>
      <c r="B759" s="34" t="s">
        <v>2576</v>
      </c>
      <c r="C759" s="53" t="s">
        <v>118</v>
      </c>
      <c r="D759" s="53" t="s">
        <v>2577</v>
      </c>
      <c r="E759" s="53" t="s">
        <v>2578</v>
      </c>
      <c r="F759" s="53" t="s">
        <v>40</v>
      </c>
      <c r="G759" s="16">
        <v>45196.072916666664</v>
      </c>
      <c r="H759" s="16">
        <v>45196.114583333336</v>
      </c>
      <c r="I759" s="58"/>
      <c r="J759" s="59"/>
      <c r="K759" s="59"/>
      <c r="L759" s="60"/>
    </row>
    <row r="760" spans="1:12">
      <c r="A760" s="41" t="s">
        <v>106</v>
      </c>
      <c r="B760" s="30" t="s">
        <v>2579</v>
      </c>
      <c r="C760" s="61" t="s">
        <v>333</v>
      </c>
      <c r="D760" s="61" t="s">
        <v>2580</v>
      </c>
      <c r="E760" s="61" t="s">
        <v>2581</v>
      </c>
      <c r="F760" s="61" t="s">
        <v>40</v>
      </c>
      <c r="G760" s="22">
        <v>45196.261805555558</v>
      </c>
      <c r="H760" s="22">
        <v>45196.354166666664</v>
      </c>
      <c r="I760" s="62" t="s">
        <v>2582</v>
      </c>
      <c r="J760" s="63" t="s">
        <v>88</v>
      </c>
      <c r="K760" s="63"/>
      <c r="L760" s="64"/>
    </row>
    <row r="761" spans="1:12">
      <c r="A761" s="42" t="s">
        <v>106</v>
      </c>
      <c r="B761" s="34" t="s">
        <v>2583</v>
      </c>
      <c r="C761" s="53" t="s">
        <v>108</v>
      </c>
      <c r="D761" s="53" t="s">
        <v>2340</v>
      </c>
      <c r="E761" s="53" t="s">
        <v>2584</v>
      </c>
      <c r="F761" s="53" t="s">
        <v>40</v>
      </c>
      <c r="G761" s="16">
        <v>45196.370138888888</v>
      </c>
      <c r="H761" s="16">
        <v>45196.370833333334</v>
      </c>
      <c r="I761" s="58" t="s">
        <v>2585</v>
      </c>
      <c r="J761" s="59" t="s">
        <v>88</v>
      </c>
      <c r="K761" s="59"/>
      <c r="L761" s="60"/>
    </row>
    <row r="762" spans="1:12">
      <c r="A762" s="41" t="s">
        <v>106</v>
      </c>
      <c r="B762" s="30" t="s">
        <v>2586</v>
      </c>
      <c r="C762" s="61" t="s">
        <v>108</v>
      </c>
      <c r="D762" s="61" t="s">
        <v>1767</v>
      </c>
      <c r="E762" s="61" t="s">
        <v>2587</v>
      </c>
      <c r="F762" s="61" t="s">
        <v>40</v>
      </c>
      <c r="G762" s="22">
        <v>45196.425694444442</v>
      </c>
      <c r="H762" s="22">
        <v>45196.457638888889</v>
      </c>
      <c r="I762" s="62" t="s">
        <v>1711</v>
      </c>
      <c r="J762" s="63" t="s">
        <v>88</v>
      </c>
      <c r="K762" s="63"/>
      <c r="L762" s="64"/>
    </row>
    <row r="763" spans="1:12">
      <c r="A763" s="42" t="s">
        <v>106</v>
      </c>
      <c r="B763" s="34" t="s">
        <v>2588</v>
      </c>
      <c r="C763" s="53" t="s">
        <v>333</v>
      </c>
      <c r="D763" s="53" t="s">
        <v>2589</v>
      </c>
      <c r="E763" s="53" t="s">
        <v>2590</v>
      </c>
      <c r="F763" s="53" t="s">
        <v>40</v>
      </c>
      <c r="G763" s="16">
        <v>45196.570138888892</v>
      </c>
      <c r="H763" s="16">
        <v>45196.571527777778</v>
      </c>
      <c r="I763" s="58" t="s">
        <v>2591</v>
      </c>
      <c r="J763" s="59" t="s">
        <v>88</v>
      </c>
      <c r="K763" s="59"/>
      <c r="L763" s="60"/>
    </row>
    <row r="764" spans="1:12">
      <c r="A764" s="19" t="s">
        <v>106</v>
      </c>
      <c r="B764" s="30" t="s">
        <v>2592</v>
      </c>
      <c r="C764" s="61" t="s">
        <v>333</v>
      </c>
      <c r="D764" s="61" t="s">
        <v>2593</v>
      </c>
      <c r="E764" s="61" t="s">
        <v>2594</v>
      </c>
      <c r="F764" s="61" t="s">
        <v>40</v>
      </c>
      <c r="G764" s="22">
        <v>45196.569444444445</v>
      </c>
      <c r="H764" s="22">
        <v>45196.571527777778</v>
      </c>
      <c r="I764" s="62" t="s">
        <v>2595</v>
      </c>
      <c r="J764" s="63" t="s">
        <v>88</v>
      </c>
      <c r="K764" s="63"/>
      <c r="L764" s="64"/>
    </row>
    <row r="765" spans="1:12">
      <c r="A765" s="1" t="s">
        <v>106</v>
      </c>
      <c r="B765" s="14" t="s">
        <v>2596</v>
      </c>
      <c r="C765" s="81" t="s">
        <v>333</v>
      </c>
      <c r="D765" s="81" t="s">
        <v>2597</v>
      </c>
      <c r="E765" s="81" t="s">
        <v>2598</v>
      </c>
      <c r="F765" s="81" t="s">
        <v>308</v>
      </c>
      <c r="G765" s="16">
        <v>45196.650694444441</v>
      </c>
      <c r="H765" s="16"/>
      <c r="I765" s="82" t="s">
        <v>2591</v>
      </c>
      <c r="J765" s="83" t="s">
        <v>88</v>
      </c>
      <c r="K765" s="83" t="s">
        <v>132</v>
      </c>
      <c r="L765" s="84"/>
    </row>
    <row r="766" spans="1:12">
      <c r="A766" s="19" t="s">
        <v>20</v>
      </c>
      <c r="B766" s="20" t="s">
        <v>2599</v>
      </c>
      <c r="C766" s="77" t="s">
        <v>49</v>
      </c>
      <c r="D766" s="77" t="s">
        <v>2600</v>
      </c>
      <c r="E766" s="77" t="s">
        <v>2601</v>
      </c>
      <c r="F766" s="77" t="s">
        <v>40</v>
      </c>
      <c r="G766" s="22">
        <v>45198.310416666667</v>
      </c>
      <c r="H766" s="22">
        <v>45198.317361111112</v>
      </c>
      <c r="I766" s="78" t="s">
        <v>701</v>
      </c>
      <c r="J766" s="79" t="s">
        <v>88</v>
      </c>
      <c r="K766" s="79"/>
      <c r="L766" s="80"/>
    </row>
    <row r="767" spans="1:12">
      <c r="A767" s="1" t="s">
        <v>20</v>
      </c>
      <c r="B767" s="14" t="s">
        <v>2602</v>
      </c>
      <c r="C767" s="81" t="s">
        <v>13</v>
      </c>
      <c r="D767" s="81" t="s">
        <v>2603</v>
      </c>
      <c r="E767" s="81" t="s">
        <v>2604</v>
      </c>
      <c r="F767" s="81" t="s">
        <v>40</v>
      </c>
      <c r="G767" s="16">
        <v>45196.986111111109</v>
      </c>
      <c r="H767" s="16">
        <v>45197.131944444445</v>
      </c>
      <c r="I767" s="82" t="s">
        <v>2605</v>
      </c>
      <c r="J767" s="83" t="s">
        <v>132</v>
      </c>
      <c r="K767" s="83"/>
      <c r="L767" s="84"/>
    </row>
    <row r="768" spans="1:12">
      <c r="A768" s="19" t="s">
        <v>95</v>
      </c>
      <c r="B768" s="20" t="s">
        <v>2606</v>
      </c>
      <c r="C768" s="77" t="s">
        <v>1763</v>
      </c>
      <c r="D768" s="77" t="s">
        <v>2607</v>
      </c>
      <c r="E768" s="77" t="s">
        <v>2608</v>
      </c>
      <c r="F768" s="77" t="s">
        <v>40</v>
      </c>
      <c r="G768" s="22">
        <v>45197.090277777781</v>
      </c>
      <c r="H768" s="22">
        <v>45197.118055555555</v>
      </c>
      <c r="I768" s="78" t="s">
        <v>32</v>
      </c>
      <c r="J768" s="79" t="s">
        <v>132</v>
      </c>
      <c r="K768" s="79"/>
      <c r="L768" s="80"/>
    </row>
    <row r="769" spans="1:12">
      <c r="A769" s="1" t="s">
        <v>106</v>
      </c>
      <c r="B769" s="14" t="s">
        <v>2609</v>
      </c>
      <c r="C769" s="81" t="s">
        <v>108</v>
      </c>
      <c r="D769" s="81" t="s">
        <v>2610</v>
      </c>
      <c r="E769" s="81" t="s">
        <v>2611</v>
      </c>
      <c r="F769" s="81" t="s">
        <v>40</v>
      </c>
      <c r="G769" s="16">
        <v>45197.15</v>
      </c>
      <c r="H769" s="16">
        <v>45197.256944444445</v>
      </c>
      <c r="I769" s="82" t="s">
        <v>1651</v>
      </c>
      <c r="J769" s="83" t="s">
        <v>132</v>
      </c>
      <c r="K769" s="83"/>
      <c r="L769" s="84"/>
    </row>
    <row r="770" spans="1:12">
      <c r="A770" s="19" t="s">
        <v>95</v>
      </c>
      <c r="B770" s="20" t="s">
        <v>2612</v>
      </c>
      <c r="C770" s="77" t="s">
        <v>113</v>
      </c>
      <c r="D770" s="77" t="s">
        <v>2613</v>
      </c>
      <c r="E770" s="77" t="s">
        <v>2614</v>
      </c>
      <c r="F770" s="77" t="s">
        <v>40</v>
      </c>
      <c r="G770" s="22">
        <v>45197.298611111109</v>
      </c>
      <c r="H770" s="22">
        <v>45197.305555555555</v>
      </c>
      <c r="I770" s="78" t="s">
        <v>32</v>
      </c>
      <c r="J770" s="79" t="s">
        <v>132</v>
      </c>
      <c r="K770" s="79"/>
      <c r="L770" s="80"/>
    </row>
    <row r="771" spans="1:12">
      <c r="A771" s="1" t="s">
        <v>106</v>
      </c>
      <c r="B771" s="14" t="s">
        <v>2615</v>
      </c>
      <c r="C771" s="81" t="s">
        <v>333</v>
      </c>
      <c r="D771" s="81" t="s">
        <v>2616</v>
      </c>
      <c r="E771" s="81" t="s">
        <v>2617</v>
      </c>
      <c r="F771" s="81" t="s">
        <v>40</v>
      </c>
      <c r="G771" s="16">
        <v>45197.268750000003</v>
      </c>
      <c r="H771" s="16">
        <v>45197.359027777777</v>
      </c>
      <c r="I771" s="82" t="s">
        <v>2618</v>
      </c>
      <c r="J771" s="83" t="s">
        <v>88</v>
      </c>
      <c r="K771" s="83"/>
      <c r="L771" s="84"/>
    </row>
    <row r="772" spans="1:12">
      <c r="A772" s="19" t="s">
        <v>20</v>
      </c>
      <c r="B772" s="20" t="s">
        <v>2619</v>
      </c>
      <c r="C772" s="77" t="s">
        <v>21</v>
      </c>
      <c r="D772" s="77" t="s">
        <v>2620</v>
      </c>
      <c r="E772" s="77" t="s">
        <v>2621</v>
      </c>
      <c r="F772" s="77" t="s">
        <v>40</v>
      </c>
      <c r="G772" s="22">
        <v>45197.294444444444</v>
      </c>
      <c r="H772" s="22">
        <v>45197.359722222223</v>
      </c>
      <c r="I772" s="78" t="s">
        <v>2585</v>
      </c>
      <c r="J772" s="79" t="s">
        <v>88</v>
      </c>
      <c r="K772" s="79"/>
      <c r="L772" s="80"/>
    </row>
    <row r="773" spans="1:12">
      <c r="A773" s="1" t="s">
        <v>106</v>
      </c>
      <c r="B773" s="14" t="s">
        <v>2622</v>
      </c>
      <c r="C773" s="81" t="s">
        <v>313</v>
      </c>
      <c r="D773" s="53" t="s">
        <v>2623</v>
      </c>
      <c r="E773" s="81" t="s">
        <v>2624</v>
      </c>
      <c r="F773" s="81" t="s">
        <v>40</v>
      </c>
      <c r="G773" s="16">
        <v>45196.708333333336</v>
      </c>
      <c r="H773" s="16">
        <v>45196.729166666664</v>
      </c>
      <c r="I773" s="82" t="s">
        <v>440</v>
      </c>
      <c r="J773" s="83" t="s">
        <v>88</v>
      </c>
      <c r="K773" s="83"/>
      <c r="L773" s="84"/>
    </row>
    <row r="774" spans="1:12">
      <c r="A774" s="19" t="s">
        <v>106</v>
      </c>
      <c r="B774" s="20" t="s">
        <v>2625</v>
      </c>
      <c r="C774" s="77" t="s">
        <v>108</v>
      </c>
      <c r="D774" s="77" t="s">
        <v>2626</v>
      </c>
      <c r="E774" s="77" t="s">
        <v>2627</v>
      </c>
      <c r="F774" s="77" t="s">
        <v>40</v>
      </c>
      <c r="G774" s="22">
        <v>45197.378472222219</v>
      </c>
      <c r="H774" s="22">
        <v>45197.409722222219</v>
      </c>
      <c r="I774" s="78" t="s">
        <v>2585</v>
      </c>
      <c r="J774" s="79" t="s">
        <v>88</v>
      </c>
      <c r="K774" s="79"/>
      <c r="L774" s="80"/>
    </row>
    <row r="775" spans="1:12">
      <c r="A775" s="42" t="s">
        <v>106</v>
      </c>
      <c r="B775" s="34" t="s">
        <v>2628</v>
      </c>
      <c r="C775" s="81" t="s">
        <v>333</v>
      </c>
      <c r="D775" s="81" t="s">
        <v>2629</v>
      </c>
      <c r="E775" s="81" t="s">
        <v>2630</v>
      </c>
      <c r="F775" s="81" t="s">
        <v>40</v>
      </c>
      <c r="G775" s="16">
        <v>45197.632638888892</v>
      </c>
      <c r="H775" s="16">
        <v>45197.649305555555</v>
      </c>
      <c r="I775" s="82" t="s">
        <v>2351</v>
      </c>
      <c r="J775" s="83" t="s">
        <v>88</v>
      </c>
      <c r="K775" s="83"/>
      <c r="L775" s="84"/>
    </row>
    <row r="776" spans="1:12" ht="333.5">
      <c r="A776" s="19" t="s">
        <v>20</v>
      </c>
      <c r="B776" s="20" t="s">
        <v>2631</v>
      </c>
      <c r="C776" s="61" t="s">
        <v>49</v>
      </c>
      <c r="D776" s="61" t="s">
        <v>2632</v>
      </c>
      <c r="E776" s="67" t="s">
        <v>2633</v>
      </c>
      <c r="F776" s="61" t="s">
        <v>40</v>
      </c>
      <c r="G776" s="22">
        <v>45197.958333333336</v>
      </c>
      <c r="H776" s="22">
        <v>45198.010416666664</v>
      </c>
      <c r="I776" s="62" t="s">
        <v>32</v>
      </c>
      <c r="J776" s="63" t="s">
        <v>132</v>
      </c>
      <c r="K776" s="63"/>
      <c r="L776" s="64"/>
    </row>
    <row r="777" spans="1:12">
      <c r="A777" s="1" t="s">
        <v>20</v>
      </c>
      <c r="B777" s="14" t="s">
        <v>2634</v>
      </c>
      <c r="C777" s="81" t="s">
        <v>21</v>
      </c>
      <c r="D777" s="81" t="s">
        <v>2635</v>
      </c>
      <c r="E777" s="81" t="s">
        <v>2636</v>
      </c>
      <c r="F777" s="81" t="s">
        <v>40</v>
      </c>
      <c r="G777" s="16">
        <v>45197.944444444445</v>
      </c>
      <c r="H777" s="16">
        <v>45198.05972222222</v>
      </c>
      <c r="I777" s="82" t="s">
        <v>1644</v>
      </c>
      <c r="J777" s="83" t="s">
        <v>132</v>
      </c>
      <c r="K777" s="83"/>
      <c r="L777" s="84"/>
    </row>
    <row r="778" spans="1:12">
      <c r="A778" s="19" t="s">
        <v>106</v>
      </c>
      <c r="B778" s="20" t="s">
        <v>2637</v>
      </c>
      <c r="C778" s="77" t="s">
        <v>108</v>
      </c>
      <c r="D778" s="77" t="s">
        <v>2638</v>
      </c>
      <c r="E778" s="77" t="s">
        <v>2639</v>
      </c>
      <c r="F778" s="77" t="s">
        <v>40</v>
      </c>
      <c r="G778" s="22">
        <v>45198.024305555555</v>
      </c>
      <c r="H778" s="22">
        <v>45198.072916666664</v>
      </c>
      <c r="I778" s="78" t="s">
        <v>32</v>
      </c>
      <c r="J778" s="79" t="s">
        <v>132</v>
      </c>
      <c r="K778" s="79"/>
      <c r="L778" s="80"/>
    </row>
    <row r="779" spans="1:12">
      <c r="A779" s="1" t="s">
        <v>20</v>
      </c>
      <c r="B779" s="14" t="s">
        <v>2640</v>
      </c>
      <c r="C779" s="81" t="s">
        <v>21</v>
      </c>
      <c r="D779" s="81" t="s">
        <v>2641</v>
      </c>
      <c r="E779" s="81" t="s">
        <v>2642</v>
      </c>
      <c r="F779" s="81" t="s">
        <v>40</v>
      </c>
      <c r="G779" s="16">
        <v>45198.065972222219</v>
      </c>
      <c r="H779" s="16">
        <v>45198.083333333336</v>
      </c>
      <c r="I779" s="82" t="s">
        <v>1644</v>
      </c>
      <c r="J779" s="83" t="s">
        <v>132</v>
      </c>
      <c r="K779" s="83"/>
      <c r="L779" s="84"/>
    </row>
    <row r="780" spans="1:12">
      <c r="A780" s="19" t="s">
        <v>106</v>
      </c>
      <c r="B780" s="20" t="s">
        <v>2643</v>
      </c>
      <c r="C780" s="77" t="s">
        <v>333</v>
      </c>
      <c r="D780" s="77" t="s">
        <v>2644</v>
      </c>
      <c r="E780" s="77" t="s">
        <v>2645</v>
      </c>
      <c r="F780" s="77" t="s">
        <v>40</v>
      </c>
      <c r="G780" s="22">
        <v>45198.068749999999</v>
      </c>
      <c r="H780" s="22">
        <v>45198.136111111111</v>
      </c>
      <c r="I780" s="78" t="s">
        <v>2646</v>
      </c>
      <c r="J780" s="79" t="s">
        <v>132</v>
      </c>
      <c r="K780" s="79"/>
      <c r="L780" s="80"/>
    </row>
    <row r="781" spans="1:12">
      <c r="A781" s="1" t="s">
        <v>95</v>
      </c>
      <c r="B781" s="14" t="s">
        <v>2647</v>
      </c>
      <c r="C781" s="81" t="s">
        <v>113</v>
      </c>
      <c r="D781" s="81" t="s">
        <v>2648</v>
      </c>
      <c r="E781" s="81" t="s">
        <v>2649</v>
      </c>
      <c r="F781" s="81" t="s">
        <v>40</v>
      </c>
      <c r="G781" s="16">
        <v>45198.203472222223</v>
      </c>
      <c r="H781" s="16">
        <v>45198.320833333331</v>
      </c>
      <c r="I781" s="82" t="s">
        <v>2650</v>
      </c>
      <c r="J781" s="83" t="s">
        <v>88</v>
      </c>
      <c r="K781" s="83"/>
      <c r="L781" s="84"/>
    </row>
    <row r="782" spans="1:12">
      <c r="A782" s="19" t="s">
        <v>95</v>
      </c>
      <c r="B782" s="20" t="s">
        <v>2651</v>
      </c>
      <c r="C782" s="77" t="s">
        <v>97</v>
      </c>
      <c r="D782" s="77" t="s">
        <v>2652</v>
      </c>
      <c r="E782" s="77" t="s">
        <v>2653</v>
      </c>
      <c r="F782" s="77" t="s">
        <v>40</v>
      </c>
      <c r="G782" s="22">
        <v>45198.229166666664</v>
      </c>
      <c r="H782" s="22">
        <v>45198.321527777778</v>
      </c>
      <c r="I782" s="78" t="s">
        <v>2618</v>
      </c>
      <c r="J782" s="79" t="s">
        <v>88</v>
      </c>
      <c r="K782" s="79"/>
      <c r="L782" s="80"/>
    </row>
    <row r="783" spans="1:12">
      <c r="A783" s="1" t="s">
        <v>20</v>
      </c>
      <c r="B783" s="14" t="s">
        <v>2654</v>
      </c>
      <c r="C783" s="81" t="s">
        <v>21</v>
      </c>
      <c r="D783" s="81" t="s">
        <v>2655</v>
      </c>
      <c r="E783" s="81" t="s">
        <v>2656</v>
      </c>
      <c r="F783" s="81" t="s">
        <v>40</v>
      </c>
      <c r="G783" s="16">
        <v>45198.333333333336</v>
      </c>
      <c r="H783" s="16">
        <v>45198.334722222222</v>
      </c>
      <c r="I783" s="82" t="s">
        <v>2657</v>
      </c>
      <c r="J783" s="83" t="s">
        <v>88</v>
      </c>
      <c r="K783" s="83"/>
      <c r="L783" s="84"/>
    </row>
    <row r="784" spans="1:12">
      <c r="A784" s="19" t="s">
        <v>95</v>
      </c>
      <c r="B784" s="20" t="s">
        <v>2658</v>
      </c>
      <c r="C784" s="77" t="s">
        <v>118</v>
      </c>
      <c r="D784" s="77" t="s">
        <v>2659</v>
      </c>
      <c r="E784" s="77"/>
      <c r="F784" s="77" t="s">
        <v>214</v>
      </c>
      <c r="G784" s="22">
        <v>45198.502083333333</v>
      </c>
      <c r="H784" s="22"/>
      <c r="I784" s="78" t="s">
        <v>2172</v>
      </c>
      <c r="J784" s="79" t="s">
        <v>88</v>
      </c>
      <c r="K784" s="79"/>
      <c r="L784" s="80"/>
    </row>
    <row r="785" spans="1:12">
      <c r="A785" s="1" t="s">
        <v>20</v>
      </c>
      <c r="B785" s="14" t="s">
        <v>2660</v>
      </c>
      <c r="C785" s="81" t="s">
        <v>49</v>
      </c>
      <c r="D785" s="81" t="s">
        <v>2661</v>
      </c>
      <c r="E785" s="81" t="s">
        <v>2662</v>
      </c>
      <c r="F785" s="81" t="s">
        <v>40</v>
      </c>
      <c r="G785" s="16">
        <v>45198.840277777781</v>
      </c>
      <c r="H785" s="16">
        <v>45198.885416666664</v>
      </c>
      <c r="I785" s="82" t="s">
        <v>2663</v>
      </c>
      <c r="J785" s="83" t="s">
        <v>132</v>
      </c>
      <c r="K785" s="83"/>
      <c r="L785" s="84"/>
    </row>
    <row r="786" spans="1:12">
      <c r="A786" s="19" t="s">
        <v>20</v>
      </c>
      <c r="B786" s="20" t="s">
        <v>2664</v>
      </c>
      <c r="C786" s="77" t="s">
        <v>49</v>
      </c>
      <c r="D786" s="77" t="s">
        <v>2665</v>
      </c>
      <c r="E786" s="77" t="s">
        <v>2666</v>
      </c>
      <c r="F786" s="77" t="s">
        <v>40</v>
      </c>
      <c r="G786" s="22">
        <v>45198.881944444445</v>
      </c>
      <c r="H786" s="22">
        <v>45198.9375</v>
      </c>
      <c r="I786" s="78" t="s">
        <v>2667</v>
      </c>
      <c r="J786" s="79" t="s">
        <v>132</v>
      </c>
      <c r="K786" s="79"/>
      <c r="L786" s="80"/>
    </row>
    <row r="787" spans="1:12">
      <c r="A787" s="1" t="s">
        <v>106</v>
      </c>
      <c r="B787" s="14" t="s">
        <v>2668</v>
      </c>
      <c r="C787" s="81" t="s">
        <v>108</v>
      </c>
      <c r="D787" s="81" t="s">
        <v>2669</v>
      </c>
      <c r="E787" s="81" t="s">
        <v>2302</v>
      </c>
      <c r="F787" s="81" t="s">
        <v>40</v>
      </c>
      <c r="G787" s="16">
        <v>45198.979166666664</v>
      </c>
      <c r="H787" s="16">
        <v>45199.152777777781</v>
      </c>
      <c r="I787" s="82" t="s">
        <v>1651</v>
      </c>
      <c r="J787" s="83" t="s">
        <v>132</v>
      </c>
      <c r="K787" s="83"/>
      <c r="L787" s="84"/>
    </row>
    <row r="788" spans="1:12">
      <c r="A788" s="19" t="s">
        <v>20</v>
      </c>
      <c r="B788" s="20" t="s">
        <v>2670</v>
      </c>
      <c r="C788" s="77" t="s">
        <v>21</v>
      </c>
      <c r="D788" s="77" t="s">
        <v>2671</v>
      </c>
      <c r="E788" s="77" t="s">
        <v>2672</v>
      </c>
      <c r="F788" s="77" t="s">
        <v>40</v>
      </c>
      <c r="G788" s="22">
        <v>45198.94027777778</v>
      </c>
      <c r="H788" s="22">
        <v>45199.031944444447</v>
      </c>
      <c r="I788" s="78" t="s">
        <v>1644</v>
      </c>
      <c r="J788" s="79" t="s">
        <v>132</v>
      </c>
      <c r="K788" s="79"/>
      <c r="L788" s="80"/>
    </row>
    <row r="789" spans="1:12">
      <c r="A789" s="1" t="s">
        <v>95</v>
      </c>
      <c r="B789" s="14" t="s">
        <v>2673</v>
      </c>
      <c r="C789" s="81" t="s">
        <v>113</v>
      </c>
      <c r="D789" s="81" t="s">
        <v>2674</v>
      </c>
      <c r="E789" s="81" t="s">
        <v>2675</v>
      </c>
      <c r="F789" s="81" t="s">
        <v>40</v>
      </c>
      <c r="G789" s="16">
        <v>45199.138888888891</v>
      </c>
      <c r="H789" s="16">
        <v>45199.15625</v>
      </c>
      <c r="I789" s="82" t="s">
        <v>32</v>
      </c>
      <c r="J789" s="83" t="s">
        <v>132</v>
      </c>
      <c r="K789" s="83"/>
      <c r="L789" s="84"/>
    </row>
    <row r="790" spans="1:12">
      <c r="A790" s="19" t="s">
        <v>20</v>
      </c>
      <c r="B790" s="20" t="s">
        <v>2676</v>
      </c>
      <c r="C790" s="77" t="s">
        <v>21</v>
      </c>
      <c r="D790" s="77" t="s">
        <v>2677</v>
      </c>
      <c r="E790" s="77" t="s">
        <v>2678</v>
      </c>
      <c r="F790" s="77" t="s">
        <v>40</v>
      </c>
      <c r="G790" s="22">
        <v>45199.055555555555</v>
      </c>
      <c r="H790" s="22">
        <v>45199.159722222219</v>
      </c>
      <c r="I790" s="78" t="s">
        <v>1644</v>
      </c>
      <c r="J790" s="79" t="s">
        <v>132</v>
      </c>
      <c r="K790" s="79"/>
      <c r="L790" s="80"/>
    </row>
    <row r="791" spans="1:12">
      <c r="A791" s="1" t="s">
        <v>20</v>
      </c>
      <c r="B791" s="14" t="s">
        <v>2679</v>
      </c>
      <c r="C791" s="81" t="s">
        <v>13</v>
      </c>
      <c r="D791" s="81" t="s">
        <v>2094</v>
      </c>
      <c r="E791" s="81" t="s">
        <v>2680</v>
      </c>
      <c r="F791" s="81" t="s">
        <v>40</v>
      </c>
      <c r="G791" s="16">
        <v>45199.217361111114</v>
      </c>
      <c r="H791" s="16">
        <v>45199.260416666664</v>
      </c>
      <c r="I791" s="82" t="s">
        <v>2115</v>
      </c>
      <c r="J791" s="83" t="s">
        <v>88</v>
      </c>
      <c r="K791" s="83"/>
      <c r="L791" s="84"/>
    </row>
    <row r="792" spans="1:12">
      <c r="A792" s="19" t="s">
        <v>106</v>
      </c>
      <c r="B792" s="20" t="s">
        <v>2681</v>
      </c>
      <c r="C792" s="77" t="s">
        <v>108</v>
      </c>
      <c r="D792" s="77" t="s">
        <v>2340</v>
      </c>
      <c r="E792" s="77" t="s">
        <v>2682</v>
      </c>
      <c r="F792" s="77" t="s">
        <v>40</v>
      </c>
      <c r="G792" s="22">
        <v>45199.426388888889</v>
      </c>
      <c r="H792" s="22">
        <v>45199.438194444447</v>
      </c>
      <c r="I792" s="78" t="s">
        <v>2585</v>
      </c>
      <c r="J792" s="79" t="s">
        <v>88</v>
      </c>
      <c r="K792" s="79"/>
      <c r="L792" s="80"/>
    </row>
    <row r="793" spans="1:12">
      <c r="A793" s="1" t="s">
        <v>95</v>
      </c>
      <c r="B793" s="14" t="s">
        <v>2683</v>
      </c>
      <c r="C793" s="81" t="s">
        <v>97</v>
      </c>
      <c r="D793" s="81" t="s">
        <v>2684</v>
      </c>
      <c r="E793" s="81" t="s">
        <v>2685</v>
      </c>
      <c r="F793" s="81" t="s">
        <v>40</v>
      </c>
      <c r="G793" s="16">
        <v>45199.438194444447</v>
      </c>
      <c r="H793" s="16">
        <v>45199.448611111111</v>
      </c>
      <c r="I793" s="82" t="s">
        <v>2585</v>
      </c>
      <c r="J793" s="83" t="s">
        <v>88</v>
      </c>
      <c r="K793" s="83"/>
      <c r="L793" s="84"/>
    </row>
    <row r="794" spans="1:12">
      <c r="A794" s="19" t="s">
        <v>20</v>
      </c>
      <c r="B794" s="20" t="s">
        <v>2686</v>
      </c>
      <c r="C794" s="77" t="s">
        <v>21</v>
      </c>
      <c r="D794" s="77" t="s">
        <v>2687</v>
      </c>
      <c r="E794" s="77" t="s">
        <v>2688</v>
      </c>
      <c r="F794" s="77" t="s">
        <v>40</v>
      </c>
      <c r="G794" s="22">
        <v>45199.441666666666</v>
      </c>
      <c r="H794" s="22">
        <v>45199.490972222222</v>
      </c>
      <c r="I794" s="78" t="s">
        <v>2689</v>
      </c>
      <c r="J794" s="79" t="s">
        <v>88</v>
      </c>
      <c r="K794" s="79"/>
      <c r="L794" s="80"/>
    </row>
    <row r="795" spans="1:12">
      <c r="A795" s="42" t="s">
        <v>106</v>
      </c>
      <c r="B795" s="14" t="s">
        <v>2690</v>
      </c>
      <c r="C795" s="81" t="s">
        <v>333</v>
      </c>
      <c r="D795" s="81" t="s">
        <v>2691</v>
      </c>
      <c r="E795" s="81" t="s">
        <v>2692</v>
      </c>
      <c r="F795" s="81" t="s">
        <v>308</v>
      </c>
      <c r="G795" s="16">
        <v>45199.500694444447</v>
      </c>
      <c r="H795" s="16">
        <v>45199</v>
      </c>
      <c r="I795" s="82" t="s">
        <v>2618</v>
      </c>
      <c r="J795" s="83" t="s">
        <v>88</v>
      </c>
      <c r="K795" s="83"/>
      <c r="L795" s="84"/>
    </row>
    <row r="796" spans="1:12">
      <c r="A796" s="19" t="s">
        <v>106</v>
      </c>
      <c r="B796" s="30" t="s">
        <v>2693</v>
      </c>
      <c r="C796" s="61" t="s">
        <v>333</v>
      </c>
      <c r="D796" s="61" t="s">
        <v>2694</v>
      </c>
      <c r="E796" s="61" t="s">
        <v>2695</v>
      </c>
      <c r="F796" s="61" t="s">
        <v>40</v>
      </c>
      <c r="G796" s="22">
        <v>45200.65347222222</v>
      </c>
      <c r="H796" s="22">
        <v>45200.794444444444</v>
      </c>
      <c r="I796" s="62" t="s">
        <v>2595</v>
      </c>
      <c r="J796" s="63" t="s">
        <v>88</v>
      </c>
      <c r="K796" s="63"/>
      <c r="L796" s="64"/>
    </row>
    <row r="797" spans="1:12">
      <c r="A797" s="1" t="s">
        <v>106</v>
      </c>
      <c r="B797" s="14" t="s">
        <v>2696</v>
      </c>
      <c r="C797" s="81" t="s">
        <v>108</v>
      </c>
      <c r="D797" s="81" t="s">
        <v>2340</v>
      </c>
      <c r="E797" s="53" t="s">
        <v>2697</v>
      </c>
      <c r="F797" s="81" t="s">
        <v>40</v>
      </c>
      <c r="G797" s="16">
        <v>45199.637499999997</v>
      </c>
      <c r="H797" s="16">
        <v>45199.65</v>
      </c>
      <c r="I797" s="82" t="s">
        <v>2585</v>
      </c>
      <c r="J797" s="83" t="s">
        <v>88</v>
      </c>
      <c r="K797" s="83"/>
      <c r="L797" s="84"/>
    </row>
    <row r="798" spans="1:12">
      <c r="A798" s="19" t="s">
        <v>106</v>
      </c>
      <c r="B798" s="20" t="s">
        <v>2698</v>
      </c>
      <c r="C798" s="77" t="s">
        <v>108</v>
      </c>
      <c r="D798" s="77" t="s">
        <v>2699</v>
      </c>
      <c r="E798" s="77" t="s">
        <v>2700</v>
      </c>
      <c r="F798" s="77" t="s">
        <v>40</v>
      </c>
      <c r="G798" s="22">
        <v>45199.881944444445</v>
      </c>
      <c r="H798" s="22">
        <v>45199.979166666664</v>
      </c>
      <c r="I798" s="78" t="s">
        <v>1651</v>
      </c>
      <c r="J798" s="79" t="s">
        <v>132</v>
      </c>
      <c r="K798" s="79"/>
      <c r="L798" s="80"/>
    </row>
    <row r="799" spans="1:12">
      <c r="A799" s="1" t="s">
        <v>20</v>
      </c>
      <c r="B799" s="14" t="s">
        <v>2701</v>
      </c>
      <c r="C799" s="81" t="s">
        <v>49</v>
      </c>
      <c r="D799" s="81" t="s">
        <v>2702</v>
      </c>
      <c r="E799" s="81" t="s">
        <v>2703</v>
      </c>
      <c r="F799" s="81" t="s">
        <v>40</v>
      </c>
      <c r="G799" s="16">
        <v>45199.89166666667</v>
      </c>
      <c r="H799" s="16">
        <v>45199.954861111109</v>
      </c>
      <c r="I799" s="82" t="s">
        <v>2704</v>
      </c>
      <c r="J799" s="83" t="s">
        <v>132</v>
      </c>
      <c r="K799" s="83"/>
      <c r="L799" s="84"/>
    </row>
    <row r="800" spans="1:12">
      <c r="A800" s="19" t="s">
        <v>20</v>
      </c>
      <c r="B800" s="20" t="s">
        <v>2705</v>
      </c>
      <c r="C800" s="77" t="s">
        <v>21</v>
      </c>
      <c r="D800" s="77" t="s">
        <v>2706</v>
      </c>
      <c r="E800" s="77" t="s">
        <v>2707</v>
      </c>
      <c r="F800" s="77" t="s">
        <v>40</v>
      </c>
      <c r="G800" s="22">
        <v>45199.857638888891</v>
      </c>
      <c r="H800" s="22">
        <v>45199.965277777781</v>
      </c>
      <c r="I800" s="78" t="s">
        <v>1644</v>
      </c>
      <c r="J800" s="79" t="s">
        <v>132</v>
      </c>
      <c r="K800" s="79"/>
      <c r="L800" s="80"/>
    </row>
    <row r="801" spans="1:12">
      <c r="A801" s="1" t="s">
        <v>95</v>
      </c>
      <c r="B801" s="14" t="s">
        <v>2708</v>
      </c>
      <c r="C801" s="81" t="s">
        <v>118</v>
      </c>
      <c r="D801" s="81" t="s">
        <v>2709</v>
      </c>
      <c r="E801" s="81" t="s">
        <v>2710</v>
      </c>
      <c r="F801" s="81" t="s">
        <v>40</v>
      </c>
      <c r="G801" s="16">
        <v>45200.006944444445</v>
      </c>
      <c r="H801" s="16">
        <v>45200.034722222219</v>
      </c>
      <c r="I801" s="82" t="s">
        <v>2711</v>
      </c>
      <c r="J801" s="83" t="s">
        <v>132</v>
      </c>
      <c r="K801" s="83"/>
      <c r="L801" s="84"/>
    </row>
    <row r="802" spans="1:12">
      <c r="A802" s="19" t="s">
        <v>95</v>
      </c>
      <c r="B802" s="20" t="s">
        <v>2712</v>
      </c>
      <c r="C802" s="77" t="s">
        <v>113</v>
      </c>
      <c r="D802" s="77" t="s">
        <v>2713</v>
      </c>
      <c r="E802" s="77" t="s">
        <v>2714</v>
      </c>
      <c r="F802" s="77" t="s">
        <v>40</v>
      </c>
      <c r="G802" s="22">
        <v>45200.0625</v>
      </c>
      <c r="H802" s="22" t="s">
        <v>2715</v>
      </c>
      <c r="I802" s="78" t="s">
        <v>32</v>
      </c>
      <c r="J802" s="79" t="s">
        <v>132</v>
      </c>
      <c r="K802" s="79"/>
      <c r="L802" s="80"/>
    </row>
    <row r="803" spans="1:12">
      <c r="A803" s="1" t="s">
        <v>20</v>
      </c>
      <c r="B803" s="34" t="s">
        <v>2716</v>
      </c>
      <c r="C803" s="81" t="s">
        <v>108</v>
      </c>
      <c r="D803" s="81" t="s">
        <v>2717</v>
      </c>
      <c r="E803" s="81"/>
      <c r="F803" s="81"/>
      <c r="G803" s="16"/>
      <c r="H803" s="16"/>
      <c r="I803" s="82"/>
      <c r="J803" s="83"/>
      <c r="K803" s="83"/>
      <c r="L803" s="84"/>
    </row>
    <row r="804" spans="1:12">
      <c r="A804" s="19" t="s">
        <v>95</v>
      </c>
      <c r="B804" s="20" t="s">
        <v>2718</v>
      </c>
      <c r="C804" s="77" t="s">
        <v>97</v>
      </c>
      <c r="D804" s="77" t="s">
        <v>2719</v>
      </c>
      <c r="E804" s="77" t="s">
        <v>2720</v>
      </c>
      <c r="F804" s="77" t="s">
        <v>40</v>
      </c>
      <c r="G804" s="22">
        <v>45200.243055555555</v>
      </c>
      <c r="H804" s="22">
        <v>45200.256944444445</v>
      </c>
      <c r="I804" s="78" t="s">
        <v>32</v>
      </c>
      <c r="J804" s="79" t="s">
        <v>132</v>
      </c>
      <c r="K804" s="79"/>
      <c r="L804" s="80"/>
    </row>
    <row r="805" spans="1:12" ht="101.5">
      <c r="A805" s="81" t="s">
        <v>106</v>
      </c>
      <c r="B805" s="34" t="s">
        <v>2721</v>
      </c>
      <c r="C805" s="81" t="s">
        <v>333</v>
      </c>
      <c r="D805" s="81" t="s">
        <v>2722</v>
      </c>
      <c r="E805" s="91" t="s">
        <v>2723</v>
      </c>
      <c r="F805" s="81" t="s">
        <v>40</v>
      </c>
      <c r="G805" s="16">
        <v>45200.399305555555</v>
      </c>
      <c r="H805" s="16">
        <v>45200.657638888886</v>
      </c>
      <c r="I805" s="82" t="s">
        <v>2724</v>
      </c>
      <c r="J805" s="83" t="s">
        <v>88</v>
      </c>
      <c r="K805" s="83"/>
      <c r="L805" s="84"/>
    </row>
    <row r="806" spans="1:12">
      <c r="A806" s="19" t="s">
        <v>20</v>
      </c>
      <c r="B806" s="20" t="s">
        <v>2725</v>
      </c>
      <c r="C806" s="77" t="s">
        <v>13</v>
      </c>
      <c r="D806" s="77" t="s">
        <v>2726</v>
      </c>
      <c r="E806" s="77" t="s">
        <v>2727</v>
      </c>
      <c r="F806" s="77" t="s">
        <v>40</v>
      </c>
      <c r="G806" s="22">
        <v>1</v>
      </c>
      <c r="H806" s="22" t="s">
        <v>19</v>
      </c>
      <c r="I806" s="78" t="s">
        <v>17</v>
      </c>
      <c r="J806" s="79" t="s">
        <v>132</v>
      </c>
      <c r="K806" s="79"/>
      <c r="L806" s="80"/>
    </row>
    <row r="807" spans="1:12">
      <c r="A807" s="1" t="s">
        <v>20</v>
      </c>
      <c r="B807" s="14" t="s">
        <v>2728</v>
      </c>
      <c r="C807" s="81" t="s">
        <v>13</v>
      </c>
      <c r="D807" s="81" t="s">
        <v>2094</v>
      </c>
      <c r="E807" s="81" t="s">
        <v>2729</v>
      </c>
      <c r="F807" s="81" t="s">
        <v>40</v>
      </c>
      <c r="G807" s="16">
        <v>45200.510416666664</v>
      </c>
      <c r="H807" s="16">
        <v>45200.519444444442</v>
      </c>
      <c r="I807" s="82" t="s">
        <v>17</v>
      </c>
      <c r="J807" s="83" t="s">
        <v>88</v>
      </c>
      <c r="K807" s="83"/>
      <c r="L807" s="84"/>
    </row>
    <row r="808" spans="1:12">
      <c r="A808" s="19" t="s">
        <v>20</v>
      </c>
      <c r="B808" s="20" t="s">
        <v>2730</v>
      </c>
      <c r="C808" s="77" t="s">
        <v>21</v>
      </c>
      <c r="D808" s="77" t="s">
        <v>2731</v>
      </c>
      <c r="E808" s="77" t="s">
        <v>2732</v>
      </c>
      <c r="F808" s="77" t="s">
        <v>40</v>
      </c>
      <c r="G808" s="22">
        <v>45200.543749999997</v>
      </c>
      <c r="H808" s="22">
        <v>45200.618055555555</v>
      </c>
      <c r="I808" s="78" t="s">
        <v>2689</v>
      </c>
      <c r="J808" s="79" t="s">
        <v>88</v>
      </c>
      <c r="K808" s="79"/>
      <c r="L808" s="80"/>
    </row>
    <row r="809" spans="1:12">
      <c r="A809" s="1" t="s">
        <v>20</v>
      </c>
      <c r="B809" s="14" t="s">
        <v>2733</v>
      </c>
      <c r="C809" s="81" t="s">
        <v>13</v>
      </c>
      <c r="D809" s="81" t="s">
        <v>2734</v>
      </c>
      <c r="E809" s="81" t="s">
        <v>2735</v>
      </c>
      <c r="F809" s="81" t="s">
        <v>40</v>
      </c>
      <c r="G809" s="16">
        <v>45200.854166666664</v>
      </c>
      <c r="H809" s="16">
        <v>45200.90625</v>
      </c>
      <c r="I809" s="82" t="s">
        <v>2115</v>
      </c>
      <c r="J809" s="83" t="s">
        <v>132</v>
      </c>
      <c r="K809" s="83"/>
      <c r="L809" s="84"/>
    </row>
    <row r="810" spans="1:12">
      <c r="A810" s="19" t="s">
        <v>95</v>
      </c>
      <c r="B810" s="20" t="s">
        <v>2736</v>
      </c>
      <c r="C810" s="77" t="s">
        <v>97</v>
      </c>
      <c r="D810" s="77" t="s">
        <v>2737</v>
      </c>
      <c r="E810" s="77" t="s">
        <v>2738</v>
      </c>
      <c r="F810" s="77" t="s">
        <v>40</v>
      </c>
      <c r="G810" s="22">
        <v>45200.84375</v>
      </c>
      <c r="H810" s="22">
        <v>45201.864583333336</v>
      </c>
      <c r="I810" s="78" t="s">
        <v>2739</v>
      </c>
      <c r="J810" s="79" t="s">
        <v>132</v>
      </c>
      <c r="K810" s="79"/>
      <c r="L810" s="80"/>
    </row>
    <row r="811" spans="1:12">
      <c r="A811" s="1" t="s">
        <v>20</v>
      </c>
      <c r="B811" s="14" t="s">
        <v>2740</v>
      </c>
      <c r="C811" s="81" t="s">
        <v>13</v>
      </c>
      <c r="D811" s="81" t="s">
        <v>2741</v>
      </c>
      <c r="E811" s="81" t="s">
        <v>2742</v>
      </c>
      <c r="F811" s="81" t="s">
        <v>40</v>
      </c>
      <c r="G811" s="16">
        <v>45201.238194444442</v>
      </c>
      <c r="H811" s="16">
        <v>45201.591666666667</v>
      </c>
      <c r="I811" s="82" t="s">
        <v>2172</v>
      </c>
      <c r="J811" s="83" t="s">
        <v>88</v>
      </c>
      <c r="K811" s="83"/>
      <c r="L811" s="84"/>
    </row>
    <row r="812" spans="1:12">
      <c r="A812" s="19" t="s">
        <v>106</v>
      </c>
      <c r="B812" s="20" t="s">
        <v>2743</v>
      </c>
      <c r="C812" s="77" t="s">
        <v>108</v>
      </c>
      <c r="D812" s="77" t="s">
        <v>2744</v>
      </c>
      <c r="E812" s="77" t="s">
        <v>2745</v>
      </c>
      <c r="F812" s="77" t="s">
        <v>40</v>
      </c>
      <c r="G812" s="22">
        <v>45201.313888888886</v>
      </c>
      <c r="H812" s="22">
        <v>45201.916666666664</v>
      </c>
      <c r="I812" s="78" t="s">
        <v>111</v>
      </c>
      <c r="J812" s="79" t="s">
        <v>88</v>
      </c>
      <c r="K812" s="79"/>
      <c r="L812" s="80"/>
    </row>
    <row r="813" spans="1:12">
      <c r="A813" s="1" t="s">
        <v>106</v>
      </c>
      <c r="B813" s="14" t="s">
        <v>2746</v>
      </c>
      <c r="C813" s="81" t="s">
        <v>333</v>
      </c>
      <c r="D813" s="81" t="s">
        <v>2747</v>
      </c>
      <c r="E813" s="81" t="s">
        <v>2748</v>
      </c>
      <c r="F813" s="81" t="s">
        <v>40</v>
      </c>
      <c r="G813" s="16">
        <v>45201.31527777778</v>
      </c>
      <c r="H813" s="16">
        <v>45202.179166666669</v>
      </c>
      <c r="I813" s="82" t="s">
        <v>346</v>
      </c>
      <c r="J813" s="83" t="s">
        <v>88</v>
      </c>
      <c r="K813" s="83"/>
      <c r="L813" s="84"/>
    </row>
    <row r="814" spans="1:12">
      <c r="A814" s="19" t="s">
        <v>20</v>
      </c>
      <c r="B814" s="20" t="s">
        <v>2749</v>
      </c>
      <c r="C814" s="77" t="s">
        <v>13</v>
      </c>
      <c r="D814" s="61" t="s">
        <v>2744</v>
      </c>
      <c r="E814" s="77" t="s">
        <v>2750</v>
      </c>
      <c r="F814" s="77" t="s">
        <v>40</v>
      </c>
      <c r="G814" s="22">
        <v>45201.431250000001</v>
      </c>
      <c r="H814" s="22">
        <v>45201.454861111109</v>
      </c>
      <c r="I814" s="78" t="s">
        <v>2115</v>
      </c>
      <c r="J814" s="79" t="s">
        <v>88</v>
      </c>
      <c r="K814" s="79"/>
      <c r="L814" s="80"/>
    </row>
    <row r="815" spans="1:12">
      <c r="A815" s="1" t="s">
        <v>20</v>
      </c>
      <c r="B815" s="34" t="s">
        <v>2751</v>
      </c>
      <c r="C815" s="81" t="s">
        <v>13</v>
      </c>
      <c r="D815" s="81" t="s">
        <v>2752</v>
      </c>
      <c r="E815" s="81" t="s">
        <v>2753</v>
      </c>
      <c r="F815" s="81" t="s">
        <v>40</v>
      </c>
      <c r="G815" s="16">
        <v>45201.522222222222</v>
      </c>
      <c r="H815" s="16">
        <v>45202.363888888889</v>
      </c>
      <c r="I815" s="82" t="s">
        <v>2115</v>
      </c>
      <c r="J815" s="83" t="s">
        <v>88</v>
      </c>
      <c r="K815" s="83"/>
      <c r="L815" s="84"/>
    </row>
    <row r="816" spans="1:12">
      <c r="A816" s="19" t="s">
        <v>106</v>
      </c>
      <c r="B816" s="20" t="s">
        <v>2754</v>
      </c>
      <c r="C816" s="77" t="s">
        <v>333</v>
      </c>
      <c r="D816" s="77" t="s">
        <v>2755</v>
      </c>
      <c r="E816" s="77" t="s">
        <v>2756</v>
      </c>
      <c r="F816" s="77" t="s">
        <v>40</v>
      </c>
      <c r="G816" s="22">
        <v>45201.958333333336</v>
      </c>
      <c r="H816" s="22">
        <v>45202.166666666664</v>
      </c>
      <c r="I816" s="78" t="s">
        <v>346</v>
      </c>
      <c r="J816" s="79" t="s">
        <v>132</v>
      </c>
      <c r="K816" s="79"/>
      <c r="L816" s="80"/>
    </row>
    <row r="817" spans="1:12">
      <c r="A817" s="1" t="s">
        <v>95</v>
      </c>
      <c r="B817" s="14" t="s">
        <v>2757</v>
      </c>
      <c r="C817" s="81" t="s">
        <v>113</v>
      </c>
      <c r="D817" s="81" t="s">
        <v>2758</v>
      </c>
      <c r="E817" s="81" t="s">
        <v>2759</v>
      </c>
      <c r="F817" s="81" t="s">
        <v>40</v>
      </c>
      <c r="G817" s="16">
        <v>45202.055555555555</v>
      </c>
      <c r="H817" s="16">
        <v>45202.069444444445</v>
      </c>
      <c r="I817" s="82" t="s">
        <v>32</v>
      </c>
      <c r="J817" s="83" t="s">
        <v>132</v>
      </c>
      <c r="K817" s="83"/>
      <c r="L817" s="84"/>
    </row>
    <row r="818" spans="1:12">
      <c r="A818" s="19" t="s">
        <v>20</v>
      </c>
      <c r="B818" s="20" t="s">
        <v>2760</v>
      </c>
      <c r="C818" s="77" t="s">
        <v>21</v>
      </c>
      <c r="D818" s="77" t="s">
        <v>2761</v>
      </c>
      <c r="E818" s="77" t="s">
        <v>2762</v>
      </c>
      <c r="F818" s="77" t="s">
        <v>40</v>
      </c>
      <c r="G818" s="22">
        <v>45202.144444444442</v>
      </c>
      <c r="H818" s="22">
        <v>45202.152777777781</v>
      </c>
      <c r="I818" s="78" t="s">
        <v>1644</v>
      </c>
      <c r="J818" s="79" t="s">
        <v>132</v>
      </c>
      <c r="K818" s="79"/>
      <c r="L818" s="80"/>
    </row>
    <row r="819" spans="1:12">
      <c r="A819" s="1" t="s">
        <v>20</v>
      </c>
      <c r="B819" s="14" t="s">
        <v>2763</v>
      </c>
      <c r="C819" s="81" t="s">
        <v>21</v>
      </c>
      <c r="D819" s="81" t="s">
        <v>2764</v>
      </c>
      <c r="E819" s="81" t="s">
        <v>2762</v>
      </c>
      <c r="F819" s="81" t="s">
        <v>40</v>
      </c>
      <c r="G819" s="16">
        <v>45202.236805555556</v>
      </c>
      <c r="H819" s="16">
        <v>45202.256944444445</v>
      </c>
      <c r="I819" s="82" t="s">
        <v>1644</v>
      </c>
      <c r="J819" s="83" t="s">
        <v>132</v>
      </c>
      <c r="K819" s="83"/>
      <c r="L819" s="84"/>
    </row>
    <row r="820" spans="1:12">
      <c r="A820" s="19" t="s">
        <v>20</v>
      </c>
      <c r="B820" s="20" t="s">
        <v>2765</v>
      </c>
      <c r="C820" s="77" t="s">
        <v>21</v>
      </c>
      <c r="D820" s="77" t="s">
        <v>2766</v>
      </c>
      <c r="E820" s="77" t="s">
        <v>2762</v>
      </c>
      <c r="F820" s="77" t="s">
        <v>40</v>
      </c>
      <c r="G820" s="22">
        <v>45202.240277777775</v>
      </c>
      <c r="H820" s="22">
        <v>45202.263888888891</v>
      </c>
      <c r="I820" s="78" t="s">
        <v>1644</v>
      </c>
      <c r="J820" s="79" t="s">
        <v>132</v>
      </c>
      <c r="K820" s="79"/>
      <c r="L820" s="80"/>
    </row>
    <row r="821" spans="1:12">
      <c r="A821" s="1" t="s">
        <v>106</v>
      </c>
      <c r="B821" s="14" t="s">
        <v>2767</v>
      </c>
      <c r="C821" s="81" t="s">
        <v>108</v>
      </c>
      <c r="D821" s="81" t="s">
        <v>2768</v>
      </c>
      <c r="E821" s="81" t="s">
        <v>2769</v>
      </c>
      <c r="F821" s="81" t="s">
        <v>40</v>
      </c>
      <c r="G821" s="16">
        <v>45202.111111111109</v>
      </c>
      <c r="H821" s="16">
        <v>45202.201388888891</v>
      </c>
      <c r="I821" s="82" t="s">
        <v>1651</v>
      </c>
      <c r="J821" s="83" t="s">
        <v>132</v>
      </c>
      <c r="K821" s="83"/>
      <c r="L821" s="84"/>
    </row>
    <row r="822" spans="1:12">
      <c r="A822" s="19" t="s">
        <v>106</v>
      </c>
      <c r="B822" s="20" t="s">
        <v>2770</v>
      </c>
      <c r="C822" s="77" t="s">
        <v>333</v>
      </c>
      <c r="D822" s="77" t="s">
        <v>2771</v>
      </c>
      <c r="E822" s="77" t="s">
        <v>2772</v>
      </c>
      <c r="F822" s="77" t="s">
        <v>40</v>
      </c>
      <c r="G822" s="22">
        <v>45202.197916666664</v>
      </c>
      <c r="H822" s="22">
        <v>45202.566666666666</v>
      </c>
      <c r="I822" s="78" t="s">
        <v>2724</v>
      </c>
      <c r="J822" s="79" t="s">
        <v>88</v>
      </c>
      <c r="K822" s="79"/>
      <c r="L822" s="80"/>
    </row>
    <row r="823" spans="1:12">
      <c r="A823" s="1" t="s">
        <v>20</v>
      </c>
      <c r="B823" s="14" t="s">
        <v>2773</v>
      </c>
      <c r="C823" s="81" t="s">
        <v>13</v>
      </c>
      <c r="D823" s="81" t="s">
        <v>2774</v>
      </c>
      <c r="E823" s="81" t="s">
        <v>2775</v>
      </c>
      <c r="F823" s="81" t="s">
        <v>40</v>
      </c>
      <c r="G823" s="16">
        <v>45202.205555555556</v>
      </c>
      <c r="H823" s="16">
        <v>45202.243055555555</v>
      </c>
      <c r="I823" s="82" t="s">
        <v>2689</v>
      </c>
      <c r="J823" s="83" t="s">
        <v>88</v>
      </c>
      <c r="K823" s="83"/>
      <c r="L823" s="84"/>
    </row>
    <row r="824" spans="1:12">
      <c r="A824" s="19" t="s">
        <v>20</v>
      </c>
      <c r="B824" s="20" t="s">
        <v>2776</v>
      </c>
      <c r="C824" s="77" t="s">
        <v>13</v>
      </c>
      <c r="D824" s="77" t="s">
        <v>2094</v>
      </c>
      <c r="E824" s="77" t="s">
        <v>2777</v>
      </c>
      <c r="F824" s="77" t="s">
        <v>40</v>
      </c>
      <c r="G824" s="22">
        <v>45202.520138888889</v>
      </c>
      <c r="H824" s="22">
        <v>45202.568749999999</v>
      </c>
      <c r="I824" s="78" t="s">
        <v>2618</v>
      </c>
      <c r="J824" s="79" t="s">
        <v>88</v>
      </c>
      <c r="K824" s="79"/>
      <c r="L824" s="80"/>
    </row>
    <row r="825" spans="1:12">
      <c r="A825" s="42" t="s">
        <v>20</v>
      </c>
      <c r="B825" s="14" t="s">
        <v>2778</v>
      </c>
      <c r="C825" s="81" t="s">
        <v>49</v>
      </c>
      <c r="D825" s="81" t="s">
        <v>2779</v>
      </c>
      <c r="E825" s="81" t="s">
        <v>2780</v>
      </c>
      <c r="F825" s="81" t="s">
        <v>40</v>
      </c>
      <c r="G825" s="16">
        <v>45202</v>
      </c>
      <c r="H825" s="16">
        <v>45202</v>
      </c>
      <c r="I825" s="82" t="s">
        <v>2781</v>
      </c>
      <c r="J825" s="83" t="s">
        <v>132</v>
      </c>
      <c r="K825" s="83"/>
      <c r="L825" s="84"/>
    </row>
    <row r="826" spans="1:12">
      <c r="A826" s="19" t="s">
        <v>106</v>
      </c>
      <c r="B826" s="30" t="s">
        <v>2782</v>
      </c>
      <c r="C826" s="61" t="s">
        <v>333</v>
      </c>
      <c r="D826" s="61" t="s">
        <v>2783</v>
      </c>
      <c r="E826" s="61" t="s">
        <v>2784</v>
      </c>
      <c r="F826" s="61" t="s">
        <v>40</v>
      </c>
      <c r="G826" s="22">
        <v>45202.944444444445</v>
      </c>
      <c r="H826" s="22">
        <v>45202.986111111109</v>
      </c>
      <c r="I826" s="62" t="s">
        <v>2785</v>
      </c>
      <c r="J826" s="63" t="s">
        <v>132</v>
      </c>
      <c r="K826" s="63"/>
      <c r="L826" s="64"/>
    </row>
    <row r="827" spans="1:12">
      <c r="A827" s="1" t="s">
        <v>95</v>
      </c>
      <c r="B827" s="14" t="s">
        <v>2786</v>
      </c>
      <c r="C827" s="81" t="s">
        <v>113</v>
      </c>
      <c r="D827" s="53" t="s">
        <v>2787</v>
      </c>
      <c r="E827" s="81" t="s">
        <v>2614</v>
      </c>
      <c r="F827" s="81" t="s">
        <v>40</v>
      </c>
      <c r="G827" s="16">
        <v>45202.986111111109</v>
      </c>
      <c r="H827" s="16">
        <v>45202.006944444445</v>
      </c>
      <c r="I827" s="82" t="s">
        <v>32</v>
      </c>
      <c r="J827" s="83" t="s">
        <v>132</v>
      </c>
      <c r="K827" s="83"/>
      <c r="L827" s="84"/>
    </row>
    <row r="828" spans="1:12">
      <c r="A828" s="19" t="s">
        <v>106</v>
      </c>
      <c r="B828" s="20" t="s">
        <v>2788</v>
      </c>
      <c r="C828" s="77" t="s">
        <v>333</v>
      </c>
      <c r="D828" s="61" t="s">
        <v>2789</v>
      </c>
      <c r="E828" s="77" t="s">
        <v>2790</v>
      </c>
      <c r="F828" s="77" t="s">
        <v>40</v>
      </c>
      <c r="G828" s="22" t="s">
        <v>2791</v>
      </c>
      <c r="H828" s="22">
        <v>45203.115277777775</v>
      </c>
      <c r="I828" s="78" t="s">
        <v>346</v>
      </c>
      <c r="J828" s="79" t="s">
        <v>132</v>
      </c>
      <c r="K828" s="79"/>
      <c r="L828" s="80"/>
    </row>
    <row r="829" spans="1:12">
      <c r="A829" s="1" t="s">
        <v>20</v>
      </c>
      <c r="B829" s="14" t="s">
        <v>2792</v>
      </c>
      <c r="C829" s="81" t="s">
        <v>21</v>
      </c>
      <c r="D829" s="81" t="s">
        <v>2793</v>
      </c>
      <c r="E829" s="81" t="s">
        <v>2794</v>
      </c>
      <c r="F829" s="81" t="s">
        <v>40</v>
      </c>
      <c r="G829" s="16">
        <v>45202.881944444445</v>
      </c>
      <c r="H829" s="16">
        <v>45202.899305555555</v>
      </c>
      <c r="I829" s="82" t="s">
        <v>1644</v>
      </c>
      <c r="J829" s="83" t="s">
        <v>132</v>
      </c>
      <c r="K829" s="83"/>
      <c r="L829" s="84"/>
    </row>
    <row r="830" spans="1:12">
      <c r="A830" s="19" t="s">
        <v>106</v>
      </c>
      <c r="B830" s="20" t="s">
        <v>2795</v>
      </c>
      <c r="C830" s="77" t="s">
        <v>108</v>
      </c>
      <c r="D830" s="21" t="s">
        <v>2796</v>
      </c>
      <c r="E830" s="21" t="s">
        <v>2797</v>
      </c>
      <c r="F830" s="77" t="s">
        <v>40</v>
      </c>
      <c r="G830" s="22">
        <v>45202.881944444445</v>
      </c>
      <c r="H830" s="22">
        <v>45203.25</v>
      </c>
      <c r="I830" s="78" t="s">
        <v>32</v>
      </c>
      <c r="J830" s="79"/>
      <c r="K830" s="79"/>
      <c r="L830" s="80"/>
    </row>
    <row r="831" spans="1:12">
      <c r="A831" s="1" t="s">
        <v>106</v>
      </c>
      <c r="B831" s="14" t="s">
        <v>2798</v>
      </c>
      <c r="C831" s="81" t="s">
        <v>78</v>
      </c>
      <c r="D831" s="15" t="s">
        <v>2799</v>
      </c>
      <c r="E831" s="15" t="s">
        <v>2800</v>
      </c>
      <c r="F831" s="81" t="s">
        <v>40</v>
      </c>
      <c r="G831" s="16">
        <v>45203.333333333336</v>
      </c>
      <c r="H831" s="16">
        <v>45203.375</v>
      </c>
      <c r="I831" s="82" t="s">
        <v>2801</v>
      </c>
      <c r="J831" s="83" t="s">
        <v>61</v>
      </c>
      <c r="K831" s="83"/>
      <c r="L831" s="84"/>
    </row>
    <row r="832" spans="1:12">
      <c r="A832" s="19" t="s">
        <v>106</v>
      </c>
      <c r="B832" s="20" t="s">
        <v>2802</v>
      </c>
      <c r="C832" s="77" t="s">
        <v>78</v>
      </c>
      <c r="D832" s="21" t="s">
        <v>2803</v>
      </c>
      <c r="E832" s="77" t="s">
        <v>2804</v>
      </c>
      <c r="F832" s="77" t="s">
        <v>40</v>
      </c>
      <c r="G832" s="22">
        <v>45203.365277777775</v>
      </c>
      <c r="H832" s="22">
        <v>45203.406944444447</v>
      </c>
      <c r="I832" s="78" t="s">
        <v>2308</v>
      </c>
      <c r="J832" s="79" t="s">
        <v>61</v>
      </c>
      <c r="K832" s="79"/>
      <c r="L832" s="80"/>
    </row>
    <row r="833" spans="1:12">
      <c r="A833" s="1" t="s">
        <v>106</v>
      </c>
      <c r="B833" s="14" t="s">
        <v>2805</v>
      </c>
      <c r="C833" s="81" t="s">
        <v>108</v>
      </c>
      <c r="D833" s="81" t="s">
        <v>2806</v>
      </c>
      <c r="E833" s="15" t="s">
        <v>2807</v>
      </c>
      <c r="F833" s="81" t="s">
        <v>40</v>
      </c>
      <c r="G833" s="16">
        <v>45203.401388888888</v>
      </c>
      <c r="H833" s="16">
        <v>45203.443055555559</v>
      </c>
      <c r="I833" s="82" t="s">
        <v>1470</v>
      </c>
      <c r="J833" s="83" t="s">
        <v>61</v>
      </c>
      <c r="K833" s="83"/>
      <c r="L833" s="84"/>
    </row>
    <row r="834" spans="1:12">
      <c r="A834" s="19" t="s">
        <v>20</v>
      </c>
      <c r="B834" s="20" t="s">
        <v>2808</v>
      </c>
      <c r="C834" s="77" t="s">
        <v>13</v>
      </c>
      <c r="D834" s="77" t="s">
        <v>2809</v>
      </c>
      <c r="E834" s="77" t="s">
        <v>2810</v>
      </c>
      <c r="F834" s="77" t="s">
        <v>40</v>
      </c>
      <c r="G834" s="22">
        <v>45203.526388888888</v>
      </c>
      <c r="H834" s="22">
        <v>45203.651388888888</v>
      </c>
      <c r="I834" s="78" t="s">
        <v>17</v>
      </c>
      <c r="J834" s="79" t="s">
        <v>61</v>
      </c>
      <c r="K834" s="79"/>
      <c r="L834" s="80"/>
    </row>
    <row r="835" spans="1:12">
      <c r="A835" s="1" t="s">
        <v>95</v>
      </c>
      <c r="B835" s="14" t="s">
        <v>2811</v>
      </c>
      <c r="C835" s="81" t="s">
        <v>97</v>
      </c>
      <c r="D835" s="81" t="s">
        <v>2812</v>
      </c>
      <c r="E835" s="81" t="s">
        <v>2813</v>
      </c>
      <c r="F835" s="81" t="s">
        <v>40</v>
      </c>
      <c r="G835" s="16">
        <v>45203.882638888892</v>
      </c>
      <c r="H835" s="16">
        <v>45203.892361111109</v>
      </c>
      <c r="I835" s="82" t="s">
        <v>2814</v>
      </c>
      <c r="J835" s="83" t="s">
        <v>72</v>
      </c>
      <c r="K835" s="83"/>
      <c r="L835" s="84"/>
    </row>
    <row r="836" spans="1:12">
      <c r="A836" s="19" t="s">
        <v>20</v>
      </c>
      <c r="B836" s="20" t="s">
        <v>2815</v>
      </c>
      <c r="C836" s="77" t="s">
        <v>49</v>
      </c>
      <c r="D836" s="77" t="s">
        <v>2816</v>
      </c>
      <c r="E836" s="77" t="s">
        <v>2817</v>
      </c>
      <c r="F836" s="77" t="s">
        <v>40</v>
      </c>
      <c r="G836" s="22">
        <v>45203.904861111114</v>
      </c>
      <c r="H836" s="22">
        <v>45203.918055555558</v>
      </c>
      <c r="I836" s="78" t="s">
        <v>32</v>
      </c>
      <c r="J836" s="79" t="s">
        <v>72</v>
      </c>
      <c r="K836" s="79"/>
      <c r="L836" s="80"/>
    </row>
    <row r="837" spans="1:12">
      <c r="A837" s="1" t="s">
        <v>106</v>
      </c>
      <c r="B837" s="14" t="s">
        <v>2818</v>
      </c>
      <c r="C837" s="81" t="s">
        <v>108</v>
      </c>
      <c r="D837" s="81" t="s">
        <v>2819</v>
      </c>
      <c r="E837" s="81" t="s">
        <v>2820</v>
      </c>
      <c r="F837" s="81" t="s">
        <v>40</v>
      </c>
      <c r="G837" s="16">
        <v>45203.918749999997</v>
      </c>
      <c r="H837" s="16">
        <v>45203.925694444442</v>
      </c>
      <c r="I837" s="82" t="s">
        <v>32</v>
      </c>
      <c r="J837" s="83" t="s">
        <v>72</v>
      </c>
      <c r="K837" s="83"/>
      <c r="L837" s="84"/>
    </row>
    <row r="838" spans="1:12">
      <c r="A838" s="19" t="s">
        <v>20</v>
      </c>
      <c r="B838" s="20" t="s">
        <v>2821</v>
      </c>
      <c r="C838" s="77" t="s">
        <v>21</v>
      </c>
      <c r="D838" s="77" t="s">
        <v>2822</v>
      </c>
      <c r="E838" s="77" t="s">
        <v>2823</v>
      </c>
      <c r="F838" s="77" t="s">
        <v>40</v>
      </c>
      <c r="G838" s="22">
        <v>45203.946527777778</v>
      </c>
      <c r="H838" s="22">
        <v>45203.972222222219</v>
      </c>
      <c r="I838" s="78" t="s">
        <v>52</v>
      </c>
      <c r="J838" s="79" t="s">
        <v>72</v>
      </c>
      <c r="K838" s="79"/>
      <c r="L838" s="80"/>
    </row>
    <row r="839" spans="1:12">
      <c r="A839" s="1" t="s">
        <v>20</v>
      </c>
      <c r="B839" s="14" t="s">
        <v>2824</v>
      </c>
      <c r="C839" s="81" t="s">
        <v>13</v>
      </c>
      <c r="D839" s="81" t="s">
        <v>2825</v>
      </c>
      <c r="E839" s="81" t="s">
        <v>2826</v>
      </c>
      <c r="F839" s="81" t="s">
        <v>40</v>
      </c>
      <c r="G839" s="16">
        <v>45204</v>
      </c>
      <c r="H839" s="16">
        <v>45204</v>
      </c>
      <c r="I839" s="82" t="s">
        <v>858</v>
      </c>
      <c r="J839" s="83" t="s">
        <v>61</v>
      </c>
      <c r="K839" s="83"/>
      <c r="L839" s="84"/>
    </row>
    <row r="840" spans="1:12">
      <c r="A840" s="19" t="s">
        <v>20</v>
      </c>
      <c r="B840" s="20" t="s">
        <v>2827</v>
      </c>
      <c r="C840" s="77" t="s">
        <v>13</v>
      </c>
      <c r="D840" s="77" t="s">
        <v>2828</v>
      </c>
      <c r="E840" s="77" t="s">
        <v>2829</v>
      </c>
      <c r="F840" s="77" t="s">
        <v>40</v>
      </c>
      <c r="G840" s="22">
        <v>45204</v>
      </c>
      <c r="H840" s="22">
        <v>45204</v>
      </c>
      <c r="I840" s="78" t="s">
        <v>2400</v>
      </c>
      <c r="J840" s="79" t="s">
        <v>61</v>
      </c>
      <c r="K840" s="79"/>
      <c r="L840" s="80"/>
    </row>
    <row r="841" spans="1:12">
      <c r="A841" s="1" t="s">
        <v>95</v>
      </c>
      <c r="B841" s="14" t="s">
        <v>2830</v>
      </c>
      <c r="C841" s="81" t="s">
        <v>97</v>
      </c>
      <c r="D841" s="81" t="s">
        <v>2831</v>
      </c>
      <c r="E841" s="81" t="s">
        <v>2832</v>
      </c>
      <c r="F841" s="81" t="s">
        <v>40</v>
      </c>
      <c r="G841" s="16">
        <v>45204</v>
      </c>
      <c r="H841" s="16">
        <v>45205</v>
      </c>
      <c r="I841" s="82" t="s">
        <v>2833</v>
      </c>
      <c r="J841" s="83" t="s">
        <v>61</v>
      </c>
      <c r="K841" s="83"/>
      <c r="L841" s="84"/>
    </row>
    <row r="842" spans="1:12">
      <c r="A842" s="19" t="s">
        <v>106</v>
      </c>
      <c r="B842" s="20" t="s">
        <v>2834</v>
      </c>
      <c r="C842" s="77" t="s">
        <v>108</v>
      </c>
      <c r="D842" s="77" t="s">
        <v>2835</v>
      </c>
      <c r="E842" s="77" t="s">
        <v>2836</v>
      </c>
      <c r="F842" s="77" t="s">
        <v>40</v>
      </c>
      <c r="G842" s="22">
        <v>45204</v>
      </c>
      <c r="H842" s="22">
        <v>45204</v>
      </c>
      <c r="I842" s="78" t="s">
        <v>1173</v>
      </c>
      <c r="J842" s="79" t="s">
        <v>61</v>
      </c>
      <c r="K842" s="79"/>
      <c r="L842" s="80"/>
    </row>
    <row r="843" spans="1:12">
      <c r="A843" s="1" t="s">
        <v>106</v>
      </c>
      <c r="B843" s="14" t="s">
        <v>2837</v>
      </c>
      <c r="C843" s="81" t="s">
        <v>108</v>
      </c>
      <c r="D843" s="81" t="s">
        <v>2838</v>
      </c>
      <c r="E843" s="81" t="s">
        <v>2839</v>
      </c>
      <c r="F843" s="81" t="s">
        <v>40</v>
      </c>
      <c r="G843" s="16">
        <v>45204.863194444442</v>
      </c>
      <c r="H843" s="16">
        <v>45205.133333333331</v>
      </c>
      <c r="I843" s="82" t="s">
        <v>32</v>
      </c>
      <c r="J843" s="83" t="s">
        <v>72</v>
      </c>
      <c r="K843" s="83"/>
      <c r="L843" s="84"/>
    </row>
    <row r="844" spans="1:12">
      <c r="A844" s="19" t="s">
        <v>20</v>
      </c>
      <c r="B844" s="20" t="s">
        <v>2840</v>
      </c>
      <c r="C844" s="77" t="s">
        <v>13</v>
      </c>
      <c r="D844" s="77" t="s">
        <v>2841</v>
      </c>
      <c r="E844" s="77" t="s">
        <v>2842</v>
      </c>
      <c r="F844" s="77" t="s">
        <v>40</v>
      </c>
      <c r="G844" s="22">
        <v>45205.055555555555</v>
      </c>
      <c r="H844" s="22">
        <v>45205.097222222219</v>
      </c>
      <c r="I844" s="78" t="s">
        <v>74</v>
      </c>
      <c r="J844" s="79" t="s">
        <v>72</v>
      </c>
      <c r="K844" s="79"/>
      <c r="L844" s="80"/>
    </row>
    <row r="845" spans="1:12">
      <c r="A845" s="1" t="s">
        <v>20</v>
      </c>
      <c r="B845" s="14" t="s">
        <v>2843</v>
      </c>
      <c r="C845" s="81" t="s">
        <v>21</v>
      </c>
      <c r="D845" s="81" t="s">
        <v>2844</v>
      </c>
      <c r="E845" s="81" t="s">
        <v>2842</v>
      </c>
      <c r="F845" s="81" t="s">
        <v>40</v>
      </c>
      <c r="G845" s="16">
        <v>45205.066666666666</v>
      </c>
      <c r="H845" s="16">
        <v>45205.090277777781</v>
      </c>
      <c r="I845" s="82" t="s">
        <v>52</v>
      </c>
      <c r="J845" s="83" t="s">
        <v>72</v>
      </c>
      <c r="K845" s="83"/>
      <c r="L845" s="84"/>
    </row>
    <row r="846" spans="1:12">
      <c r="A846" s="19" t="s">
        <v>20</v>
      </c>
      <c r="B846" s="20" t="s">
        <v>2845</v>
      </c>
      <c r="C846" s="77" t="s">
        <v>21</v>
      </c>
      <c r="D846" s="77" t="s">
        <v>2846</v>
      </c>
      <c r="E846" s="77" t="s">
        <v>2847</v>
      </c>
      <c r="F846" s="77" t="s">
        <v>40</v>
      </c>
      <c r="G846" s="22">
        <v>45205.100694444445</v>
      </c>
      <c r="H846" s="22">
        <v>45205.111111111109</v>
      </c>
      <c r="I846" s="78" t="s">
        <v>52</v>
      </c>
      <c r="J846" s="79" t="s">
        <v>72</v>
      </c>
      <c r="K846" s="79"/>
      <c r="L846" s="80"/>
    </row>
    <row r="847" spans="1:12">
      <c r="A847" s="1" t="s">
        <v>95</v>
      </c>
      <c r="B847" s="34" t="s">
        <v>2848</v>
      </c>
      <c r="C847" s="53" t="s">
        <v>118</v>
      </c>
      <c r="D847" s="15" t="s">
        <v>2849</v>
      </c>
      <c r="E847" s="15" t="s">
        <v>2850</v>
      </c>
      <c r="F847" s="53" t="s">
        <v>40</v>
      </c>
      <c r="G847" s="16">
        <v>45205.293749999997</v>
      </c>
      <c r="H847" s="16">
        <v>45205.335416666669</v>
      </c>
      <c r="I847" s="58" t="s">
        <v>502</v>
      </c>
      <c r="J847" s="59" t="s">
        <v>72</v>
      </c>
      <c r="K847" s="59"/>
      <c r="L847" s="60"/>
    </row>
    <row r="848" spans="1:12">
      <c r="A848" s="19" t="s">
        <v>20</v>
      </c>
      <c r="B848" s="30" t="s">
        <v>2851</v>
      </c>
      <c r="C848" s="61" t="s">
        <v>13</v>
      </c>
      <c r="D848" s="21" t="s">
        <v>2825</v>
      </c>
      <c r="E848" s="21" t="s">
        <v>2826</v>
      </c>
      <c r="F848" s="61" t="s">
        <v>40</v>
      </c>
      <c r="G848" s="22">
        <v>45205.364583333336</v>
      </c>
      <c r="H848" s="22">
        <v>45205.40625</v>
      </c>
      <c r="I848" s="62" t="s">
        <v>2015</v>
      </c>
      <c r="J848" s="63" t="s">
        <v>61</v>
      </c>
      <c r="K848" s="63"/>
      <c r="L848" s="64"/>
    </row>
    <row r="849" spans="1:12">
      <c r="A849" s="1" t="s">
        <v>20</v>
      </c>
      <c r="B849" s="34" t="s">
        <v>2852</v>
      </c>
      <c r="C849" s="53" t="s">
        <v>21</v>
      </c>
      <c r="D849" s="15" t="s">
        <v>2853</v>
      </c>
      <c r="E849" s="15" t="s">
        <v>2854</v>
      </c>
      <c r="F849" s="53" t="s">
        <v>40</v>
      </c>
      <c r="G849" s="16">
        <v>45205.365972222222</v>
      </c>
      <c r="H849" s="16">
        <v>45205.388888888891</v>
      </c>
      <c r="I849" s="58" t="s">
        <v>2855</v>
      </c>
      <c r="J849" s="59" t="s">
        <v>61</v>
      </c>
      <c r="K849" s="59"/>
      <c r="L849" s="60"/>
    </row>
    <row r="850" spans="1:12">
      <c r="A850" s="19" t="s">
        <v>106</v>
      </c>
      <c r="B850" s="30" t="s">
        <v>2856</v>
      </c>
      <c r="C850" s="61" t="s">
        <v>108</v>
      </c>
      <c r="D850" s="21" t="s">
        <v>2857</v>
      </c>
      <c r="E850" s="21" t="s">
        <v>2858</v>
      </c>
      <c r="F850" s="61" t="s">
        <v>40</v>
      </c>
      <c r="G850" s="22">
        <v>45205.407638888886</v>
      </c>
      <c r="H850" s="22">
        <v>45205.427083333336</v>
      </c>
      <c r="I850" s="62" t="s">
        <v>2855</v>
      </c>
      <c r="J850" s="63" t="s">
        <v>61</v>
      </c>
      <c r="K850" s="63"/>
      <c r="L850" s="64"/>
    </row>
    <row r="851" spans="1:12">
      <c r="A851" s="1" t="s">
        <v>95</v>
      </c>
      <c r="B851" s="34" t="s">
        <v>2859</v>
      </c>
      <c r="C851" s="53" t="s">
        <v>97</v>
      </c>
      <c r="D851" s="15" t="s">
        <v>2860</v>
      </c>
      <c r="E851" s="15" t="s">
        <v>2861</v>
      </c>
      <c r="F851" s="53" t="s">
        <v>40</v>
      </c>
      <c r="G851" s="16">
        <v>45205.443749999999</v>
      </c>
      <c r="H851" s="16">
        <v>45205.652083333334</v>
      </c>
      <c r="I851" s="58" t="s">
        <v>2862</v>
      </c>
      <c r="J851" s="59" t="s">
        <v>61</v>
      </c>
      <c r="K851" s="59"/>
      <c r="L851" s="60"/>
    </row>
    <row r="852" spans="1:12">
      <c r="A852" s="19" t="s">
        <v>20</v>
      </c>
      <c r="B852" s="30" t="s">
        <v>2863</v>
      </c>
      <c r="C852" s="61" t="s">
        <v>21</v>
      </c>
      <c r="D852" s="21" t="s">
        <v>2864</v>
      </c>
      <c r="E852" s="61" t="s">
        <v>2865</v>
      </c>
      <c r="F852" s="61" t="s">
        <v>40</v>
      </c>
      <c r="G852" s="22">
        <v>45205.462500000001</v>
      </c>
      <c r="H852" s="22">
        <v>45205.504166666666</v>
      </c>
      <c r="I852" s="62" t="s">
        <v>2866</v>
      </c>
      <c r="J852" s="63" t="s">
        <v>61</v>
      </c>
      <c r="K852" s="63"/>
      <c r="L852" s="64"/>
    </row>
    <row r="853" spans="1:12">
      <c r="A853" s="1" t="s">
        <v>20</v>
      </c>
      <c r="B853" s="34" t="s">
        <v>2867</v>
      </c>
      <c r="C853" s="53" t="s">
        <v>21</v>
      </c>
      <c r="D853" s="15" t="s">
        <v>2868</v>
      </c>
      <c r="E853" s="15" t="s">
        <v>2869</v>
      </c>
      <c r="F853" s="53" t="s">
        <v>40</v>
      </c>
      <c r="G853" s="16">
        <v>45205.669444444444</v>
      </c>
      <c r="H853" s="16">
        <v>45205.75277777778</v>
      </c>
      <c r="I853" s="58" t="s">
        <v>1052</v>
      </c>
      <c r="J853" s="59" t="s">
        <v>61</v>
      </c>
      <c r="K853" s="59"/>
      <c r="L853" s="60"/>
    </row>
    <row r="854" spans="1:12">
      <c r="A854" s="19" t="s">
        <v>95</v>
      </c>
      <c r="B854" s="30" t="s">
        <v>2870</v>
      </c>
      <c r="C854" s="61" t="s">
        <v>118</v>
      </c>
      <c r="D854" s="21" t="s">
        <v>2871</v>
      </c>
      <c r="E854" s="21" t="s">
        <v>2872</v>
      </c>
      <c r="F854" s="61" t="s">
        <v>40</v>
      </c>
      <c r="G854" s="22">
        <v>45205.739583333336</v>
      </c>
      <c r="H854" s="22">
        <v>45206.489583333336</v>
      </c>
      <c r="I854" s="62" t="s">
        <v>2855</v>
      </c>
      <c r="J854" s="63" t="s">
        <v>61</v>
      </c>
      <c r="K854" s="63"/>
      <c r="L854" s="64"/>
    </row>
    <row r="855" spans="1:12">
      <c r="A855" s="1" t="s">
        <v>20</v>
      </c>
      <c r="B855" s="14" t="s">
        <v>2873</v>
      </c>
      <c r="C855" s="81" t="s">
        <v>21</v>
      </c>
      <c r="D855" s="81" t="s">
        <v>2874</v>
      </c>
      <c r="E855" s="81" t="s">
        <v>2875</v>
      </c>
      <c r="F855" s="81" t="s">
        <v>40</v>
      </c>
      <c r="G855" s="16">
        <v>45205.78125</v>
      </c>
      <c r="H855" s="16">
        <v>45205.739583333336</v>
      </c>
      <c r="I855" s="82"/>
      <c r="J855" s="83"/>
      <c r="K855" s="83"/>
      <c r="L855" s="84"/>
    </row>
    <row r="856" spans="1:12">
      <c r="A856" s="19" t="s">
        <v>20</v>
      </c>
      <c r="B856" s="20" t="s">
        <v>2876</v>
      </c>
      <c r="C856" s="77" t="s">
        <v>21</v>
      </c>
      <c r="D856" s="77" t="s">
        <v>2877</v>
      </c>
      <c r="E856" s="77" t="s">
        <v>2878</v>
      </c>
      <c r="F856" s="77" t="s">
        <v>40</v>
      </c>
      <c r="G856" s="22">
        <v>45205.960416666669</v>
      </c>
      <c r="H856" s="22">
        <v>45205.993055555555</v>
      </c>
      <c r="I856" s="78" t="s">
        <v>52</v>
      </c>
      <c r="J856" s="79" t="s">
        <v>72</v>
      </c>
      <c r="K856" s="79"/>
      <c r="L856" s="80"/>
    </row>
    <row r="857" spans="1:12">
      <c r="A857" s="1" t="s">
        <v>20</v>
      </c>
      <c r="B857" s="14" t="s">
        <v>2879</v>
      </c>
      <c r="C857" s="81" t="s">
        <v>49</v>
      </c>
      <c r="D857" s="81" t="s">
        <v>2880</v>
      </c>
      <c r="E857" s="81" t="s">
        <v>2881</v>
      </c>
      <c r="F857" s="81" t="s">
        <v>40</v>
      </c>
      <c r="G857" s="16">
        <v>45205.959027777775</v>
      </c>
      <c r="H857" s="16">
        <v>45206.027777777781</v>
      </c>
      <c r="I857" s="82" t="s">
        <v>2882</v>
      </c>
      <c r="J857" s="83" t="s">
        <v>72</v>
      </c>
      <c r="K857" s="83"/>
      <c r="L857" s="84"/>
    </row>
    <row r="858" spans="1:12">
      <c r="A858" s="19" t="s">
        <v>106</v>
      </c>
      <c r="B858" s="20" t="s">
        <v>2883</v>
      </c>
      <c r="C858" s="77" t="s">
        <v>108</v>
      </c>
      <c r="D858" s="77" t="s">
        <v>2884</v>
      </c>
      <c r="E858" s="77" t="s">
        <v>2885</v>
      </c>
      <c r="F858" s="77" t="s">
        <v>40</v>
      </c>
      <c r="G858" s="22">
        <v>45206.064583333333</v>
      </c>
      <c r="H858" s="22">
        <v>45206.081944444442</v>
      </c>
      <c r="I858" s="78" t="s">
        <v>946</v>
      </c>
      <c r="J858" s="79" t="s">
        <v>72</v>
      </c>
      <c r="K858" s="79"/>
      <c r="L858" s="80"/>
    </row>
    <row r="859" spans="1:12">
      <c r="A859" s="1" t="s">
        <v>95</v>
      </c>
      <c r="B859" s="14" t="s">
        <v>2886</v>
      </c>
      <c r="C859" s="81" t="s">
        <v>97</v>
      </c>
      <c r="D859" s="15" t="s">
        <v>2887</v>
      </c>
      <c r="E859" s="15" t="s">
        <v>2847</v>
      </c>
      <c r="F859" s="81" t="s">
        <v>40</v>
      </c>
      <c r="G859" s="16">
        <v>45206.150694444441</v>
      </c>
      <c r="H859" s="16">
        <v>45206.161111111112</v>
      </c>
      <c r="I859" s="82" t="s">
        <v>2888</v>
      </c>
      <c r="J859" s="83" t="s">
        <v>72</v>
      </c>
      <c r="K859" s="83"/>
      <c r="L859" s="84"/>
    </row>
    <row r="860" spans="1:12">
      <c r="A860" s="19" t="s">
        <v>20</v>
      </c>
      <c r="B860" s="20" t="s">
        <v>2889</v>
      </c>
      <c r="C860" s="77" t="s">
        <v>21</v>
      </c>
      <c r="D860" s="21" t="s">
        <v>2890</v>
      </c>
      <c r="E860" s="21" t="s">
        <v>2891</v>
      </c>
      <c r="F860" s="77" t="s">
        <v>40</v>
      </c>
      <c r="G860" s="22">
        <v>45206.359027777777</v>
      </c>
      <c r="H860" s="22">
        <v>45206.400694444441</v>
      </c>
      <c r="I860" s="78" t="s">
        <v>2855</v>
      </c>
      <c r="J860" s="79" t="s">
        <v>61</v>
      </c>
      <c r="K860" s="79"/>
      <c r="L860" s="80"/>
    </row>
    <row r="861" spans="1:12">
      <c r="A861" s="1" t="s">
        <v>20</v>
      </c>
      <c r="B861" s="14" t="s">
        <v>2892</v>
      </c>
      <c r="C861" s="81" t="s">
        <v>21</v>
      </c>
      <c r="D861" s="81" t="s">
        <v>2893</v>
      </c>
      <c r="E861" s="81" t="s">
        <v>2894</v>
      </c>
      <c r="F861" s="81" t="s">
        <v>40</v>
      </c>
      <c r="G861" s="16">
        <v>45206.416666666664</v>
      </c>
      <c r="H861" s="16">
        <v>45206.520833333336</v>
      </c>
      <c r="I861" s="82" t="s">
        <v>1052</v>
      </c>
      <c r="J861" s="83" t="s">
        <v>61</v>
      </c>
      <c r="K861" s="83"/>
      <c r="L861" s="84"/>
    </row>
    <row r="862" spans="1:12">
      <c r="A862" s="19" t="s">
        <v>20</v>
      </c>
      <c r="B862" s="30" t="s">
        <v>2895</v>
      </c>
      <c r="C862" s="61" t="s">
        <v>21</v>
      </c>
      <c r="D862" s="21" t="s">
        <v>2896</v>
      </c>
      <c r="E862" s="21" t="s">
        <v>2897</v>
      </c>
      <c r="F862" s="61" t="s">
        <v>40</v>
      </c>
      <c r="G862" s="22">
        <v>45206.45</v>
      </c>
      <c r="H862" s="22">
        <v>45206.458333333336</v>
      </c>
      <c r="I862" s="62" t="s">
        <v>2898</v>
      </c>
      <c r="J862" s="63" t="s">
        <v>61</v>
      </c>
      <c r="K862" s="63"/>
      <c r="L862" s="64"/>
    </row>
    <row r="863" spans="1:12">
      <c r="A863" s="1" t="s">
        <v>20</v>
      </c>
      <c r="B863" s="14" t="s">
        <v>2899</v>
      </c>
      <c r="C863" s="81" t="s">
        <v>21</v>
      </c>
      <c r="D863" s="81" t="s">
        <v>2900</v>
      </c>
      <c r="E863" s="81" t="s">
        <v>2901</v>
      </c>
      <c r="F863" s="81" t="s">
        <v>40</v>
      </c>
      <c r="G863" s="16">
        <v>45206.60833333333</v>
      </c>
      <c r="H863" s="16">
        <v>45206.65</v>
      </c>
      <c r="I863" s="82" t="s">
        <v>2902</v>
      </c>
      <c r="J863" s="83" t="s">
        <v>61</v>
      </c>
      <c r="K863" s="83"/>
      <c r="L863" s="84"/>
    </row>
    <row r="864" spans="1:12">
      <c r="A864" s="19" t="s">
        <v>95</v>
      </c>
      <c r="B864" s="20" t="s">
        <v>2903</v>
      </c>
      <c r="C864" s="77" t="s">
        <v>113</v>
      </c>
      <c r="D864" s="21" t="s">
        <v>2904</v>
      </c>
      <c r="E864" s="77" t="s">
        <v>2905</v>
      </c>
      <c r="F864" s="77" t="s">
        <v>40</v>
      </c>
      <c r="G864" s="22">
        <v>45206.638888888891</v>
      </c>
      <c r="H864" s="22">
        <v>45206.763888888891</v>
      </c>
      <c r="I864" s="78" t="s">
        <v>2855</v>
      </c>
      <c r="J864" s="79" t="s">
        <v>61</v>
      </c>
      <c r="K864" s="79"/>
      <c r="L864" s="80"/>
    </row>
    <row r="865" spans="1:12">
      <c r="A865" s="1" t="s">
        <v>20</v>
      </c>
      <c r="B865" s="14" t="s">
        <v>2906</v>
      </c>
      <c r="C865" s="81" t="s">
        <v>21</v>
      </c>
      <c r="D865" s="81" t="s">
        <v>2907</v>
      </c>
      <c r="E865" s="81" t="s">
        <v>2908</v>
      </c>
      <c r="F865" s="81" t="s">
        <v>40</v>
      </c>
      <c r="G865" s="16">
        <v>45206.720138888886</v>
      </c>
      <c r="H865" s="16"/>
      <c r="I865" s="82" t="s">
        <v>2909</v>
      </c>
      <c r="J865" s="83" t="s">
        <v>61</v>
      </c>
      <c r="K865" s="83"/>
      <c r="L865" s="84"/>
    </row>
    <row r="866" spans="1:12">
      <c r="A866" s="19" t="s">
        <v>20</v>
      </c>
      <c r="B866" s="20" t="s">
        <v>2910</v>
      </c>
      <c r="C866" s="77" t="s">
        <v>49</v>
      </c>
      <c r="D866" s="77" t="s">
        <v>2911</v>
      </c>
      <c r="E866" s="77" t="s">
        <v>276</v>
      </c>
      <c r="F866" s="77" t="s">
        <v>40</v>
      </c>
      <c r="G866" s="22">
        <v>45206.874305555553</v>
      </c>
      <c r="H866" s="22">
        <v>45206.883333333331</v>
      </c>
      <c r="I866" s="78" t="s">
        <v>2912</v>
      </c>
      <c r="J866" s="79" t="s">
        <v>72</v>
      </c>
      <c r="K866" s="79"/>
      <c r="L866" s="80"/>
    </row>
    <row r="867" spans="1:12">
      <c r="A867" s="1" t="s">
        <v>20</v>
      </c>
      <c r="B867" s="14" t="s">
        <v>2913</v>
      </c>
      <c r="C867" s="81" t="s">
        <v>21</v>
      </c>
      <c r="D867" s="81" t="s">
        <v>2914</v>
      </c>
      <c r="E867" s="81" t="s">
        <v>2915</v>
      </c>
      <c r="F867" s="81" t="s">
        <v>40</v>
      </c>
      <c r="G867" s="16">
        <v>45207.04791666667</v>
      </c>
      <c r="H867" s="16">
        <v>45207.097222222219</v>
      </c>
      <c r="I867" s="82" t="s">
        <v>52</v>
      </c>
      <c r="J867" s="83" t="s">
        <v>72</v>
      </c>
      <c r="K867" s="83"/>
      <c r="L867" s="84"/>
    </row>
    <row r="868" spans="1:12">
      <c r="A868" s="19" t="s">
        <v>106</v>
      </c>
      <c r="B868" s="20" t="s">
        <v>2916</v>
      </c>
      <c r="C868" s="77" t="s">
        <v>108</v>
      </c>
      <c r="D868" s="77" t="s">
        <v>2917</v>
      </c>
      <c r="E868" s="77" t="s">
        <v>2918</v>
      </c>
      <c r="F868" s="77" t="s">
        <v>40</v>
      </c>
      <c r="G868" s="22">
        <v>45207.097222222219</v>
      </c>
      <c r="H868" s="22">
        <v>45207.111111111109</v>
      </c>
      <c r="I868" s="78" t="s">
        <v>2027</v>
      </c>
      <c r="J868" s="79" t="s">
        <v>72</v>
      </c>
      <c r="K868" s="79"/>
      <c r="L868" s="80"/>
    </row>
    <row r="869" spans="1:12">
      <c r="A869" s="1" t="s">
        <v>106</v>
      </c>
      <c r="B869" s="14" t="s">
        <v>2919</v>
      </c>
      <c r="C869" s="81" t="s">
        <v>108</v>
      </c>
      <c r="D869" s="15" t="s">
        <v>2838</v>
      </c>
      <c r="E869" s="15" t="s">
        <v>2839</v>
      </c>
      <c r="F869" s="81" t="s">
        <v>40</v>
      </c>
      <c r="G869" s="16">
        <v>45207.253472222219</v>
      </c>
      <c r="H869" s="16">
        <v>45207.309027777781</v>
      </c>
      <c r="I869" s="82" t="s">
        <v>32</v>
      </c>
      <c r="J869" s="83" t="s">
        <v>72</v>
      </c>
      <c r="K869" s="83"/>
      <c r="L869" s="84"/>
    </row>
    <row r="870" spans="1:12">
      <c r="A870" s="19" t="s">
        <v>20</v>
      </c>
      <c r="B870" s="20" t="s">
        <v>2920</v>
      </c>
      <c r="C870" s="77" t="s">
        <v>49</v>
      </c>
      <c r="D870" s="21" t="s">
        <v>2921</v>
      </c>
      <c r="E870" s="21" t="s">
        <v>2922</v>
      </c>
      <c r="F870" s="77" t="s">
        <v>40</v>
      </c>
      <c r="G870" s="22">
        <v>45207.461805555555</v>
      </c>
      <c r="H870" s="22">
        <v>45208.524305555555</v>
      </c>
      <c r="I870" s="78" t="s">
        <v>2220</v>
      </c>
      <c r="J870" s="79" t="s">
        <v>61</v>
      </c>
      <c r="K870" s="79"/>
      <c r="L870" s="80"/>
    </row>
    <row r="871" spans="1:12">
      <c r="A871" s="1" t="s">
        <v>20</v>
      </c>
      <c r="B871" s="14" t="s">
        <v>2923</v>
      </c>
      <c r="C871" s="81" t="s">
        <v>13</v>
      </c>
      <c r="D871" s="81" t="s">
        <v>2924</v>
      </c>
      <c r="E871" s="81" t="s">
        <v>2925</v>
      </c>
      <c r="F871" s="81" t="s">
        <v>214</v>
      </c>
      <c r="G871" s="16">
        <v>45207.765277777777</v>
      </c>
      <c r="H871" s="16"/>
      <c r="I871" s="82" t="s">
        <v>2522</v>
      </c>
      <c r="J871" s="83" t="s">
        <v>61</v>
      </c>
      <c r="K871" s="83"/>
      <c r="L871" s="84"/>
    </row>
    <row r="872" spans="1:12">
      <c r="A872" s="19" t="s">
        <v>106</v>
      </c>
      <c r="B872" s="20" t="s">
        <v>2926</v>
      </c>
      <c r="C872" s="77" t="s">
        <v>108</v>
      </c>
      <c r="D872" s="77" t="s">
        <v>2838</v>
      </c>
      <c r="E872" s="77" t="s">
        <v>2839</v>
      </c>
      <c r="F872" s="77" t="s">
        <v>40</v>
      </c>
      <c r="G872" s="22">
        <v>45207.890277777777</v>
      </c>
      <c r="H872" s="22">
        <v>45207.931944444441</v>
      </c>
      <c r="I872" s="78" t="s">
        <v>32</v>
      </c>
      <c r="J872" s="79" t="s">
        <v>72</v>
      </c>
      <c r="K872" s="79"/>
      <c r="L872" s="80"/>
    </row>
    <row r="873" spans="1:12">
      <c r="A873" s="1" t="s">
        <v>20</v>
      </c>
      <c r="B873" s="14" t="s">
        <v>2927</v>
      </c>
      <c r="C873" s="81" t="s">
        <v>49</v>
      </c>
      <c r="D873" s="81" t="s">
        <v>2928</v>
      </c>
      <c r="E873" s="81" t="s">
        <v>2929</v>
      </c>
      <c r="F873" s="81" t="s">
        <v>40</v>
      </c>
      <c r="G873" s="16">
        <v>45207.977083333331</v>
      </c>
      <c r="H873" s="16">
        <v>45208.069444444445</v>
      </c>
      <c r="I873" s="82" t="s">
        <v>105</v>
      </c>
      <c r="J873" s="83" t="s">
        <v>72</v>
      </c>
      <c r="K873" s="83"/>
      <c r="L873" s="84"/>
    </row>
    <row r="874" spans="1:12">
      <c r="A874" s="19" t="s">
        <v>20</v>
      </c>
      <c r="B874" s="20" t="s">
        <v>2930</v>
      </c>
      <c r="C874" s="77" t="s">
        <v>21</v>
      </c>
      <c r="D874" s="77" t="s">
        <v>2931</v>
      </c>
      <c r="E874" s="77" t="s">
        <v>2932</v>
      </c>
      <c r="F874" s="77" t="s">
        <v>40</v>
      </c>
      <c r="G874" s="22">
        <v>45207.984722222223</v>
      </c>
      <c r="H874" s="22">
        <v>45208.027777777781</v>
      </c>
      <c r="I874" s="78" t="s">
        <v>52</v>
      </c>
      <c r="J874" s="79" t="s">
        <v>72</v>
      </c>
      <c r="K874" s="79"/>
      <c r="L874" s="80"/>
    </row>
    <row r="875" spans="1:12">
      <c r="A875" s="1" t="s">
        <v>20</v>
      </c>
      <c r="B875" s="14" t="s">
        <v>2933</v>
      </c>
      <c r="C875" s="81" t="s">
        <v>21</v>
      </c>
      <c r="D875" s="81" t="s">
        <v>2934</v>
      </c>
      <c r="E875" s="81" t="s">
        <v>2932</v>
      </c>
      <c r="F875" s="81" t="s">
        <v>40</v>
      </c>
      <c r="G875" s="16">
        <v>45207.98541666667</v>
      </c>
      <c r="H875" s="16">
        <v>45208.027777777781</v>
      </c>
      <c r="I875" s="82" t="s">
        <v>52</v>
      </c>
      <c r="J875" s="83" t="s">
        <v>72</v>
      </c>
      <c r="K875" s="83"/>
      <c r="L875" s="84"/>
    </row>
    <row r="876" spans="1:12">
      <c r="A876" s="19" t="s">
        <v>20</v>
      </c>
      <c r="B876" s="20" t="s">
        <v>2935</v>
      </c>
      <c r="C876" s="77" t="s">
        <v>21</v>
      </c>
      <c r="D876" s="77" t="s">
        <v>2936</v>
      </c>
      <c r="E876" s="77" t="s">
        <v>2937</v>
      </c>
      <c r="F876" s="77" t="s">
        <v>40</v>
      </c>
      <c r="G876" s="22">
        <v>45207.981249999997</v>
      </c>
      <c r="H876" s="22">
        <v>45208.055555555555</v>
      </c>
      <c r="I876" s="78" t="s">
        <v>848</v>
      </c>
      <c r="J876" s="79" t="s">
        <v>72</v>
      </c>
      <c r="K876" s="79"/>
      <c r="L876" s="80"/>
    </row>
    <row r="877" spans="1:12">
      <c r="A877" s="1" t="s">
        <v>20</v>
      </c>
      <c r="B877" s="14" t="s">
        <v>2938</v>
      </c>
      <c r="C877" s="81" t="s">
        <v>21</v>
      </c>
      <c r="D877" s="81" t="s">
        <v>2939</v>
      </c>
      <c r="E877" s="81" t="s">
        <v>2932</v>
      </c>
      <c r="F877" s="81" t="s">
        <v>40</v>
      </c>
      <c r="G877" s="16">
        <v>45208.01666666667</v>
      </c>
      <c r="H877" s="16">
        <v>45208.027777777781</v>
      </c>
      <c r="I877" s="82" t="s">
        <v>52</v>
      </c>
      <c r="J877" s="83" t="s">
        <v>72</v>
      </c>
      <c r="K877" s="83"/>
      <c r="L877" s="84"/>
    </row>
    <row r="878" spans="1:12">
      <c r="A878" s="41" t="s">
        <v>95</v>
      </c>
      <c r="B878" s="20" t="s">
        <v>2940</v>
      </c>
      <c r="C878" s="77" t="s">
        <v>118</v>
      </c>
      <c r="D878" s="77" t="s">
        <v>2941</v>
      </c>
      <c r="E878" s="77" t="s">
        <v>2942</v>
      </c>
      <c r="F878" s="77" t="s">
        <v>214</v>
      </c>
      <c r="G878" s="22">
        <v>45208.129861111112</v>
      </c>
      <c r="H878" s="22"/>
      <c r="I878" s="78" t="s">
        <v>502</v>
      </c>
      <c r="J878" s="79" t="s">
        <v>72</v>
      </c>
      <c r="K878" s="79"/>
      <c r="L878" s="80"/>
    </row>
    <row r="879" spans="1:12">
      <c r="A879" s="1" t="s">
        <v>20</v>
      </c>
      <c r="B879" s="34" t="s">
        <v>2943</v>
      </c>
      <c r="C879" s="53" t="s">
        <v>21</v>
      </c>
      <c r="D879" s="15" t="s">
        <v>2944</v>
      </c>
      <c r="E879" s="53"/>
      <c r="F879" s="53" t="s">
        <v>214</v>
      </c>
      <c r="G879" s="16">
        <v>45208.200694444444</v>
      </c>
      <c r="H879" s="16"/>
      <c r="I879" s="58" t="s">
        <v>52</v>
      </c>
      <c r="J879" s="83" t="s">
        <v>72</v>
      </c>
      <c r="K879" s="59"/>
      <c r="L879" s="60"/>
    </row>
    <row r="880" spans="1:12">
      <c r="A880" s="19" t="s">
        <v>95</v>
      </c>
      <c r="B880" s="20" t="s">
        <v>2945</v>
      </c>
      <c r="C880" s="77" t="s">
        <v>113</v>
      </c>
      <c r="D880" s="77" t="s">
        <v>2946</v>
      </c>
      <c r="E880" s="77" t="s">
        <v>2947</v>
      </c>
      <c r="F880" s="77" t="s">
        <v>40</v>
      </c>
      <c r="G880" s="22">
        <v>45208.791666666664</v>
      </c>
      <c r="H880" s="22">
        <v>45208.822916666664</v>
      </c>
      <c r="I880" s="78" t="s">
        <v>2948</v>
      </c>
      <c r="J880" s="79" t="s">
        <v>61</v>
      </c>
      <c r="K880" s="79"/>
      <c r="L880" s="80"/>
    </row>
    <row r="881" spans="1:12">
      <c r="A881" s="1" t="s">
        <v>20</v>
      </c>
      <c r="B881" s="14" t="s">
        <v>2949</v>
      </c>
      <c r="C881" s="81" t="s">
        <v>21</v>
      </c>
      <c r="D881" s="81" t="s">
        <v>2950</v>
      </c>
      <c r="E881" s="81"/>
      <c r="F881" s="81" t="s">
        <v>214</v>
      </c>
      <c r="G881" s="16">
        <v>45208.791666666664</v>
      </c>
      <c r="H881" s="16"/>
      <c r="I881" s="82" t="s">
        <v>2951</v>
      </c>
      <c r="J881" s="83" t="s">
        <v>61</v>
      </c>
      <c r="K881" s="83"/>
      <c r="L881" s="84"/>
    </row>
    <row r="882" spans="1:12">
      <c r="A882" s="19" t="s">
        <v>95</v>
      </c>
      <c r="B882" s="20" t="s">
        <v>2952</v>
      </c>
      <c r="C882" s="77" t="s">
        <v>113</v>
      </c>
      <c r="D882" s="77" t="s">
        <v>2953</v>
      </c>
      <c r="E882" s="77" t="s">
        <v>2954</v>
      </c>
      <c r="F882" s="77" t="s">
        <v>40</v>
      </c>
      <c r="G882" s="22">
        <v>45208.845833333333</v>
      </c>
      <c r="H882" s="22">
        <v>45208.85833333333</v>
      </c>
      <c r="I882" s="78" t="s">
        <v>155</v>
      </c>
      <c r="J882" s="79" t="s">
        <v>72</v>
      </c>
      <c r="K882" s="79"/>
      <c r="L882" s="80"/>
    </row>
    <row r="883" spans="1:12">
      <c r="A883" s="1" t="s">
        <v>20</v>
      </c>
      <c r="B883" s="14" t="s">
        <v>2955</v>
      </c>
      <c r="C883" s="81" t="s">
        <v>21</v>
      </c>
      <c r="D883" s="81" t="s">
        <v>2956</v>
      </c>
      <c r="E883" s="81" t="s">
        <v>2957</v>
      </c>
      <c r="F883" s="81" t="s">
        <v>40</v>
      </c>
      <c r="G883" s="16">
        <v>45208.886805555558</v>
      </c>
      <c r="H883" s="16">
        <v>45208.901388888888</v>
      </c>
      <c r="I883" s="82" t="s">
        <v>52</v>
      </c>
      <c r="J883" s="83" t="s">
        <v>72</v>
      </c>
      <c r="K883" s="83"/>
      <c r="L883" s="84"/>
    </row>
    <row r="884" spans="1:12">
      <c r="A884" s="19" t="s">
        <v>106</v>
      </c>
      <c r="B884" s="20" t="s">
        <v>2958</v>
      </c>
      <c r="C884" s="77" t="s">
        <v>108</v>
      </c>
      <c r="D884" s="77" t="s">
        <v>2838</v>
      </c>
      <c r="E884" s="77" t="s">
        <v>2839</v>
      </c>
      <c r="F884" s="77" t="s">
        <v>40</v>
      </c>
      <c r="G884" s="22">
        <v>45208.902777777781</v>
      </c>
      <c r="H884" s="22">
        <v>45209.236111111109</v>
      </c>
      <c r="I884" s="78" t="s">
        <v>32</v>
      </c>
      <c r="J884" s="79" t="s">
        <v>72</v>
      </c>
      <c r="K884" s="79"/>
      <c r="L884" s="80"/>
    </row>
    <row r="885" spans="1:12">
      <c r="A885" s="1" t="s">
        <v>20</v>
      </c>
      <c r="B885" s="14" t="s">
        <v>2959</v>
      </c>
      <c r="C885" s="81" t="s">
        <v>21</v>
      </c>
      <c r="D885" s="81" t="s">
        <v>2960</v>
      </c>
      <c r="E885" s="81" t="s">
        <v>2961</v>
      </c>
      <c r="F885" s="81" t="s">
        <v>40</v>
      </c>
      <c r="G885" s="16">
        <v>45208.947222222225</v>
      </c>
      <c r="H885" s="16">
        <v>45208.99722222222</v>
      </c>
      <c r="I885" s="82" t="s">
        <v>52</v>
      </c>
      <c r="J885" s="83" t="s">
        <v>72</v>
      </c>
      <c r="K885" s="83"/>
      <c r="L885" s="84"/>
    </row>
    <row r="886" spans="1:12">
      <c r="A886" s="19" t="s">
        <v>95</v>
      </c>
      <c r="B886" s="20" t="s">
        <v>2962</v>
      </c>
      <c r="C886" s="77" t="s">
        <v>97</v>
      </c>
      <c r="D886" s="77" t="s">
        <v>2963</v>
      </c>
      <c r="E886" s="77" t="s">
        <v>2964</v>
      </c>
      <c r="F886" s="77" t="s">
        <v>40</v>
      </c>
      <c r="G886" s="22">
        <v>45209.01666666667</v>
      </c>
      <c r="H886" s="22">
        <v>45209.069444444445</v>
      </c>
      <c r="I886" s="78" t="s">
        <v>1164</v>
      </c>
      <c r="J886" s="79" t="s">
        <v>72</v>
      </c>
      <c r="K886" s="79"/>
      <c r="L886" s="80"/>
    </row>
    <row r="887" spans="1:12">
      <c r="A887" s="1" t="s">
        <v>95</v>
      </c>
      <c r="B887" s="14" t="s">
        <v>2965</v>
      </c>
      <c r="C887" s="81" t="s">
        <v>118</v>
      </c>
      <c r="D887" s="81" t="s">
        <v>2966</v>
      </c>
      <c r="E887" s="81" t="s">
        <v>2967</v>
      </c>
      <c r="F887" s="81" t="s">
        <v>40</v>
      </c>
      <c r="G887" s="16">
        <v>45209.042361111111</v>
      </c>
      <c r="H887" s="16">
        <v>45209.076388888891</v>
      </c>
      <c r="I887" s="82" t="s">
        <v>2119</v>
      </c>
      <c r="J887" s="83" t="s">
        <v>72</v>
      </c>
      <c r="K887" s="83"/>
      <c r="L887" s="84"/>
    </row>
    <row r="888" spans="1:12">
      <c r="A888" s="19" t="s">
        <v>106</v>
      </c>
      <c r="B888" s="20" t="s">
        <v>2968</v>
      </c>
      <c r="C888" s="77" t="s">
        <v>108</v>
      </c>
      <c r="D888" s="77" t="s">
        <v>2969</v>
      </c>
      <c r="E888" s="77" t="s">
        <v>276</v>
      </c>
      <c r="F888" s="77" t="s">
        <v>40</v>
      </c>
      <c r="G888" s="22">
        <v>45209.129166666666</v>
      </c>
      <c r="H888" s="22">
        <v>45209.165277777778</v>
      </c>
      <c r="I888" s="78" t="s">
        <v>946</v>
      </c>
      <c r="J888" s="79" t="s">
        <v>72</v>
      </c>
      <c r="K888" s="79"/>
      <c r="L888" s="80"/>
    </row>
    <row r="889" spans="1:12">
      <c r="A889" s="1" t="s">
        <v>20</v>
      </c>
      <c r="B889" s="14" t="s">
        <v>2970</v>
      </c>
      <c r="C889" s="81" t="s">
        <v>21</v>
      </c>
      <c r="D889" s="81" t="s">
        <v>2971</v>
      </c>
      <c r="E889" s="81" t="s">
        <v>2972</v>
      </c>
      <c r="F889" s="81" t="s">
        <v>40</v>
      </c>
      <c r="G889" s="16">
        <v>45209.15902777778</v>
      </c>
      <c r="H889" s="16">
        <v>45209.180555555555</v>
      </c>
      <c r="I889" s="82" t="s">
        <v>52</v>
      </c>
      <c r="J889" s="83" t="s">
        <v>72</v>
      </c>
      <c r="K889" s="83"/>
      <c r="L889" s="84"/>
    </row>
    <row r="890" spans="1:12">
      <c r="A890" s="19" t="s">
        <v>106</v>
      </c>
      <c r="B890" s="20" t="s">
        <v>2973</v>
      </c>
      <c r="C890" s="77" t="s">
        <v>108</v>
      </c>
      <c r="D890" s="77" t="s">
        <v>2974</v>
      </c>
      <c r="E890" s="77" t="s">
        <v>2975</v>
      </c>
      <c r="F890" s="77" t="s">
        <v>40</v>
      </c>
      <c r="G890" s="22">
        <v>45209.606944444444</v>
      </c>
      <c r="H890" s="22" t="s">
        <v>2976</v>
      </c>
      <c r="I890" s="78" t="s">
        <v>111</v>
      </c>
      <c r="J890" s="79" t="s">
        <v>61</v>
      </c>
      <c r="K890" s="79" t="s">
        <v>94</v>
      </c>
      <c r="L890" s="80">
        <v>45215</v>
      </c>
    </row>
    <row r="891" spans="1:12">
      <c r="A891" s="1" t="s">
        <v>95</v>
      </c>
      <c r="B891" s="14" t="s">
        <v>2977</v>
      </c>
      <c r="C891" s="81" t="s">
        <v>1763</v>
      </c>
      <c r="D891" s="81" t="s">
        <v>2978</v>
      </c>
      <c r="E891" s="81" t="s">
        <v>2979</v>
      </c>
      <c r="F891" s="81" t="s">
        <v>40</v>
      </c>
      <c r="G891" s="16">
        <v>45209.85</v>
      </c>
      <c r="H891" s="16">
        <v>45209.870833333334</v>
      </c>
      <c r="I891" s="82" t="s">
        <v>2980</v>
      </c>
      <c r="J891" s="83" t="s">
        <v>72</v>
      </c>
      <c r="K891" s="83"/>
      <c r="L891" s="84"/>
    </row>
    <row r="892" spans="1:12">
      <c r="A892" s="19" t="s">
        <v>20</v>
      </c>
      <c r="B892" s="20" t="s">
        <v>2981</v>
      </c>
      <c r="C892" s="77" t="s">
        <v>21</v>
      </c>
      <c r="D892" s="77" t="s">
        <v>2982</v>
      </c>
      <c r="E892" s="77" t="s">
        <v>2983</v>
      </c>
      <c r="F892" s="77" t="s">
        <v>40</v>
      </c>
      <c r="G892" s="22">
        <v>45209.904861111114</v>
      </c>
      <c r="H892" s="22">
        <v>45209.986111111109</v>
      </c>
      <c r="I892" s="78" t="s">
        <v>52</v>
      </c>
      <c r="J892" s="79" t="s">
        <v>72</v>
      </c>
      <c r="K892" s="79"/>
      <c r="L892" s="80"/>
    </row>
    <row r="893" spans="1:12">
      <c r="A893" s="1" t="s">
        <v>20</v>
      </c>
      <c r="B893" s="14" t="s">
        <v>2984</v>
      </c>
      <c r="C893" s="81" t="s">
        <v>21</v>
      </c>
      <c r="D893" s="81" t="s">
        <v>2985</v>
      </c>
      <c r="E893" s="81" t="s">
        <v>2986</v>
      </c>
      <c r="F893" s="81" t="s">
        <v>40</v>
      </c>
      <c r="G893" s="16">
        <v>45209.913194444445</v>
      </c>
      <c r="H893" s="16">
        <v>45209.94027777778</v>
      </c>
      <c r="I893" s="82" t="s">
        <v>2987</v>
      </c>
      <c r="J893" s="83" t="s">
        <v>72</v>
      </c>
      <c r="K893" s="83"/>
      <c r="L893" s="84"/>
    </row>
    <row r="894" spans="1:12">
      <c r="A894" s="19" t="s">
        <v>20</v>
      </c>
      <c r="B894" s="30" t="s">
        <v>2988</v>
      </c>
      <c r="C894" s="77" t="s">
        <v>21</v>
      </c>
      <c r="D894" s="77" t="s">
        <v>2989</v>
      </c>
      <c r="E894" s="77" t="s">
        <v>2990</v>
      </c>
      <c r="F894" s="77" t="s">
        <v>40</v>
      </c>
      <c r="G894" s="22">
        <v>45210.236805555556</v>
      </c>
      <c r="H894" s="22">
        <v>45210.253472222219</v>
      </c>
      <c r="I894" s="78" t="s">
        <v>52</v>
      </c>
      <c r="J894" s="79" t="s">
        <v>72</v>
      </c>
      <c r="K894" s="79"/>
      <c r="L894" s="80"/>
    </row>
    <row r="895" spans="1:12">
      <c r="A895" s="1" t="s">
        <v>106</v>
      </c>
      <c r="B895" s="14" t="s">
        <v>2991</v>
      </c>
      <c r="C895" s="81" t="s">
        <v>108</v>
      </c>
      <c r="D895" s="81" t="s">
        <v>2992</v>
      </c>
      <c r="E895" s="53" t="s">
        <v>2993</v>
      </c>
      <c r="F895" s="81" t="s">
        <v>40</v>
      </c>
      <c r="G895" s="16">
        <v>45210.436111111114</v>
      </c>
      <c r="H895" s="16">
        <v>45210.481944444444</v>
      </c>
      <c r="I895" s="82" t="s">
        <v>111</v>
      </c>
      <c r="J895" s="83" t="s">
        <v>94</v>
      </c>
      <c r="K895" s="83"/>
      <c r="L895" s="84"/>
    </row>
    <row r="896" spans="1:12">
      <c r="A896" s="19" t="s">
        <v>106</v>
      </c>
      <c r="B896" s="20" t="s">
        <v>2994</v>
      </c>
      <c r="C896" s="77" t="s">
        <v>108</v>
      </c>
      <c r="D896" s="77" t="s">
        <v>2995</v>
      </c>
      <c r="E896" s="77" t="s">
        <v>2996</v>
      </c>
      <c r="F896" s="77" t="s">
        <v>214</v>
      </c>
      <c r="G896" s="22">
        <v>45210.734027777777</v>
      </c>
      <c r="H896" s="22" t="s">
        <v>2997</v>
      </c>
      <c r="I896" s="78" t="s">
        <v>111</v>
      </c>
      <c r="J896" s="79" t="s">
        <v>94</v>
      </c>
      <c r="K896" s="79"/>
      <c r="L896" s="80"/>
    </row>
    <row r="897" spans="1:12">
      <c r="A897" s="42" t="s">
        <v>2998</v>
      </c>
      <c r="B897" s="14" t="s">
        <v>2994</v>
      </c>
      <c r="C897" s="81" t="s">
        <v>108</v>
      </c>
      <c r="D897" s="81" t="s">
        <v>2995</v>
      </c>
      <c r="E897" s="81" t="s">
        <v>2999</v>
      </c>
      <c r="F897" s="81" t="s">
        <v>308</v>
      </c>
      <c r="G897" s="16">
        <v>45240.609027777777</v>
      </c>
      <c r="H897" s="16" t="s">
        <v>2997</v>
      </c>
      <c r="I897" s="82" t="s">
        <v>111</v>
      </c>
      <c r="J897" s="83" t="s">
        <v>94</v>
      </c>
      <c r="K897" s="83"/>
      <c r="L897" s="84"/>
    </row>
    <row r="898" spans="1:12">
      <c r="A898" s="41" t="s">
        <v>106</v>
      </c>
      <c r="B898" s="30" t="s">
        <v>2994</v>
      </c>
      <c r="C898" s="61" t="s">
        <v>108</v>
      </c>
      <c r="D898" s="61" t="s">
        <v>2995</v>
      </c>
      <c r="E898" s="61" t="s">
        <v>3000</v>
      </c>
      <c r="F898" s="61" t="s">
        <v>40</v>
      </c>
      <c r="G898" s="22">
        <v>45240.609027777777</v>
      </c>
      <c r="H898" s="22" t="s">
        <v>2997</v>
      </c>
      <c r="I898" s="62" t="s">
        <v>111</v>
      </c>
      <c r="J898" s="63" t="s">
        <v>94</v>
      </c>
      <c r="K898" s="63"/>
      <c r="L898" s="64"/>
    </row>
    <row r="899" spans="1:12">
      <c r="A899" s="42" t="s">
        <v>95</v>
      </c>
      <c r="B899" s="34" t="s">
        <v>3001</v>
      </c>
      <c r="C899" s="53" t="s">
        <v>113</v>
      </c>
      <c r="D899" s="53" t="s">
        <v>3002</v>
      </c>
      <c r="E899" s="53" t="s">
        <v>3003</v>
      </c>
      <c r="F899" s="53" t="s">
        <v>40</v>
      </c>
      <c r="G899" s="16">
        <v>45210.679861111108</v>
      </c>
      <c r="H899" s="16">
        <v>45210.6875</v>
      </c>
      <c r="I899" s="58" t="s">
        <v>2585</v>
      </c>
      <c r="J899" s="59" t="s">
        <v>88</v>
      </c>
      <c r="K899" s="59"/>
      <c r="L899" s="60"/>
    </row>
    <row r="900" spans="1:12">
      <c r="A900" s="41" t="s">
        <v>95</v>
      </c>
      <c r="B900" s="30" t="s">
        <v>3004</v>
      </c>
      <c r="C900" s="61" t="s">
        <v>113</v>
      </c>
      <c r="D900" s="61" t="s">
        <v>3005</v>
      </c>
      <c r="E900" s="61" t="s">
        <v>3006</v>
      </c>
      <c r="F900" s="61" t="s">
        <v>40</v>
      </c>
      <c r="G900" s="22">
        <v>45210.704861111109</v>
      </c>
      <c r="H900" s="22">
        <v>45210.74722222222</v>
      </c>
      <c r="I900" s="62" t="s">
        <v>2387</v>
      </c>
      <c r="J900" s="63" t="s">
        <v>88</v>
      </c>
      <c r="K900" s="63"/>
      <c r="L900" s="64"/>
    </row>
    <row r="901" spans="1:12">
      <c r="A901" s="42" t="s">
        <v>95</v>
      </c>
      <c r="B901" s="34" t="s">
        <v>3007</v>
      </c>
      <c r="C901" s="53" t="s">
        <v>118</v>
      </c>
      <c r="D901" s="53" t="s">
        <v>3008</v>
      </c>
      <c r="E901" s="53" t="s">
        <v>3009</v>
      </c>
      <c r="F901" s="53" t="s">
        <v>40</v>
      </c>
      <c r="G901" s="16">
        <v>45210.762499999997</v>
      </c>
      <c r="H901" s="16">
        <v>45211.142361111109</v>
      </c>
      <c r="I901" s="58" t="s">
        <v>3010</v>
      </c>
      <c r="J901" s="59" t="s">
        <v>88</v>
      </c>
      <c r="K901" s="59"/>
      <c r="L901" s="60"/>
    </row>
    <row r="902" spans="1:12">
      <c r="A902" s="41" t="s">
        <v>20</v>
      </c>
      <c r="B902" s="30" t="s">
        <v>3011</v>
      </c>
      <c r="C902" s="61" t="s">
        <v>13</v>
      </c>
      <c r="D902" s="61" t="s">
        <v>3012</v>
      </c>
      <c r="E902" s="61" t="s">
        <v>3013</v>
      </c>
      <c r="F902" s="61" t="s">
        <v>40</v>
      </c>
      <c r="G902" s="22">
        <v>45210.945138888892</v>
      </c>
      <c r="H902" s="22">
        <v>45211.525000000001</v>
      </c>
      <c r="I902" s="62" t="s">
        <v>3014</v>
      </c>
      <c r="J902" s="63" t="s">
        <v>88</v>
      </c>
      <c r="K902" s="63"/>
      <c r="L902" s="64"/>
    </row>
    <row r="903" spans="1:12">
      <c r="A903" s="42" t="s">
        <v>20</v>
      </c>
      <c r="B903" s="34" t="s">
        <v>3015</v>
      </c>
      <c r="C903" s="53" t="s">
        <v>13</v>
      </c>
      <c r="D903" s="53" t="s">
        <v>3016</v>
      </c>
      <c r="E903" s="53" t="s">
        <v>3017</v>
      </c>
      <c r="F903" s="53" t="s">
        <v>40</v>
      </c>
      <c r="G903" s="16">
        <v>45211.066666666666</v>
      </c>
      <c r="H903" s="16">
        <v>45211.066666666666</v>
      </c>
      <c r="I903" s="58" t="s">
        <v>3014</v>
      </c>
      <c r="J903" s="59" t="s">
        <v>88</v>
      </c>
      <c r="K903" s="59"/>
      <c r="L903" s="60"/>
    </row>
    <row r="904" spans="1:12">
      <c r="A904" s="41" t="s">
        <v>20</v>
      </c>
      <c r="B904" s="30" t="s">
        <v>3018</v>
      </c>
      <c r="C904" s="61" t="s">
        <v>21</v>
      </c>
      <c r="D904" s="61" t="s">
        <v>3019</v>
      </c>
      <c r="E904" s="61" t="s">
        <v>3020</v>
      </c>
      <c r="F904" s="61" t="s">
        <v>40</v>
      </c>
      <c r="G904" s="22">
        <v>45211.143055555556</v>
      </c>
      <c r="H904" s="22">
        <v>45211.145833333336</v>
      </c>
      <c r="I904" s="62" t="s">
        <v>2585</v>
      </c>
      <c r="J904" s="63" t="s">
        <v>88</v>
      </c>
      <c r="K904" s="63"/>
      <c r="L904" s="64"/>
    </row>
    <row r="905" spans="1:12">
      <c r="A905" s="42" t="s">
        <v>106</v>
      </c>
      <c r="B905" s="34" t="s">
        <v>3021</v>
      </c>
      <c r="C905" s="53" t="s">
        <v>333</v>
      </c>
      <c r="D905" s="53" t="s">
        <v>3022</v>
      </c>
      <c r="E905" s="53" t="s">
        <v>3023</v>
      </c>
      <c r="F905" s="53" t="s">
        <v>40</v>
      </c>
      <c r="G905" s="16">
        <v>45270.334027777775</v>
      </c>
      <c r="H905" s="16">
        <v>45270.480555555558</v>
      </c>
      <c r="I905" s="58" t="s">
        <v>2646</v>
      </c>
      <c r="J905" s="59" t="s">
        <v>94</v>
      </c>
      <c r="K905" s="59"/>
      <c r="L905" s="60"/>
    </row>
    <row r="906" spans="1:12">
      <c r="A906" s="19" t="s">
        <v>106</v>
      </c>
      <c r="B906" s="30" t="s">
        <v>3024</v>
      </c>
      <c r="C906" s="61" t="s">
        <v>108</v>
      </c>
      <c r="D906" s="61" t="s">
        <v>3025</v>
      </c>
      <c r="E906" s="61" t="s">
        <v>3026</v>
      </c>
      <c r="F906" s="61" t="s">
        <v>40</v>
      </c>
      <c r="G906" s="22">
        <v>45270.479166666664</v>
      </c>
      <c r="H906" s="22">
        <v>45270.479166666664</v>
      </c>
      <c r="I906" s="62" t="s">
        <v>1373</v>
      </c>
      <c r="J906" s="63" t="s">
        <v>94</v>
      </c>
      <c r="K906" s="63"/>
      <c r="L906" s="64"/>
    </row>
    <row r="907" spans="1:12" ht="58">
      <c r="A907" s="1" t="s">
        <v>106</v>
      </c>
      <c r="B907" s="34" t="s">
        <v>3027</v>
      </c>
      <c r="C907" s="53" t="s">
        <v>78</v>
      </c>
      <c r="D907" s="53" t="s">
        <v>3028</v>
      </c>
      <c r="E907" s="65" t="s">
        <v>3029</v>
      </c>
      <c r="F907" s="53" t="s">
        <v>40</v>
      </c>
      <c r="G907" s="16">
        <v>45270.467361111114</v>
      </c>
      <c r="H907" s="16">
        <v>45270.467361111114</v>
      </c>
      <c r="I907" s="58" t="s">
        <v>258</v>
      </c>
      <c r="J907" s="59" t="s">
        <v>94</v>
      </c>
      <c r="K907" s="59"/>
      <c r="L907" s="60"/>
    </row>
    <row r="908" spans="1:12">
      <c r="A908" s="19" t="s">
        <v>106</v>
      </c>
      <c r="B908" s="30" t="s">
        <v>3030</v>
      </c>
      <c r="C908" s="61" t="s">
        <v>108</v>
      </c>
      <c r="D908" s="61" t="s">
        <v>3031</v>
      </c>
      <c r="E908" s="61" t="s">
        <v>3032</v>
      </c>
      <c r="F908" s="61" t="s">
        <v>40</v>
      </c>
      <c r="G908" s="22">
        <v>45270.594444444447</v>
      </c>
      <c r="H908" s="22">
        <v>45270.6</v>
      </c>
      <c r="I908" s="62" t="s">
        <v>396</v>
      </c>
      <c r="J908" s="63" t="s">
        <v>94</v>
      </c>
      <c r="K908" s="63"/>
      <c r="L908" s="64"/>
    </row>
    <row r="909" spans="1:12" ht="409.5">
      <c r="A909" s="42" t="s">
        <v>20</v>
      </c>
      <c r="B909" s="34" t="s">
        <v>3033</v>
      </c>
      <c r="C909" s="53" t="s">
        <v>13</v>
      </c>
      <c r="D909" s="53" t="s">
        <v>3034</v>
      </c>
      <c r="E909" s="65" t="s">
        <v>3035</v>
      </c>
      <c r="F909" s="53" t="s">
        <v>40</v>
      </c>
      <c r="G909" s="16">
        <v>45211.9375</v>
      </c>
      <c r="H909" s="16">
        <v>45212.004166666666</v>
      </c>
      <c r="I909" s="58" t="s">
        <v>3014</v>
      </c>
      <c r="J909" s="59" t="s">
        <v>88</v>
      </c>
      <c r="K909" s="59"/>
      <c r="L909" s="60"/>
    </row>
    <row r="910" spans="1:12">
      <c r="A910" s="41" t="s">
        <v>20</v>
      </c>
      <c r="B910" s="30" t="s">
        <v>3036</v>
      </c>
      <c r="C910" s="61" t="s">
        <v>21</v>
      </c>
      <c r="D910" s="61" t="s">
        <v>3037</v>
      </c>
      <c r="E910" s="61" t="s">
        <v>3038</v>
      </c>
      <c r="F910" s="61" t="s">
        <v>40</v>
      </c>
      <c r="G910" s="22">
        <v>45211.964583333334</v>
      </c>
      <c r="H910" s="22">
        <v>45212.00277777778</v>
      </c>
      <c r="I910" s="62" t="s">
        <v>2329</v>
      </c>
      <c r="J910" s="63" t="s">
        <v>88</v>
      </c>
      <c r="K910" s="63"/>
      <c r="L910" s="64"/>
    </row>
    <row r="911" spans="1:12">
      <c r="A911" s="42" t="s">
        <v>106</v>
      </c>
      <c r="B911" s="34" t="s">
        <v>3039</v>
      </c>
      <c r="C911" s="53" t="s">
        <v>108</v>
      </c>
      <c r="D911" s="53" t="s">
        <v>3040</v>
      </c>
      <c r="E911" s="53"/>
      <c r="F911" s="53" t="s">
        <v>214</v>
      </c>
      <c r="G911" s="16">
        <v>45212.145833333336</v>
      </c>
      <c r="H911" s="16"/>
      <c r="I911" s="58" t="s">
        <v>3041</v>
      </c>
      <c r="J911" s="59" t="s">
        <v>88</v>
      </c>
      <c r="K911" s="59" t="s">
        <v>94</v>
      </c>
      <c r="L911" s="60"/>
    </row>
    <row r="912" spans="1:12">
      <c r="A912" s="41" t="s">
        <v>20</v>
      </c>
      <c r="B912" s="30" t="s">
        <v>3042</v>
      </c>
      <c r="C912" s="61" t="s">
        <v>13</v>
      </c>
      <c r="D912" s="61" t="s">
        <v>3043</v>
      </c>
      <c r="E912" s="61" t="s">
        <v>3044</v>
      </c>
      <c r="F912" s="61" t="s">
        <v>40</v>
      </c>
      <c r="G912" s="22" t="s">
        <v>3045</v>
      </c>
      <c r="H912" s="22" t="s">
        <v>3046</v>
      </c>
      <c r="I912" s="62" t="s">
        <v>3047</v>
      </c>
      <c r="J912" s="63"/>
      <c r="K912" s="63"/>
      <c r="L912" s="64"/>
    </row>
    <row r="913" spans="1:12">
      <c r="A913" s="42" t="s">
        <v>106</v>
      </c>
      <c r="B913" s="34" t="s">
        <v>3048</v>
      </c>
      <c r="C913" s="53" t="s">
        <v>108</v>
      </c>
      <c r="D913" s="53" t="s">
        <v>3049</v>
      </c>
      <c r="E913" s="53" t="s">
        <v>3050</v>
      </c>
      <c r="F913" s="53" t="s">
        <v>40</v>
      </c>
      <c r="G913" s="16" t="s">
        <v>3051</v>
      </c>
      <c r="H913" s="16" t="s">
        <v>3052</v>
      </c>
      <c r="I913" s="58" t="s">
        <v>1373</v>
      </c>
      <c r="J913" s="59" t="s">
        <v>94</v>
      </c>
      <c r="K913" s="59"/>
      <c r="L913" s="60"/>
    </row>
    <row r="914" spans="1:12">
      <c r="A914" s="19" t="s">
        <v>106</v>
      </c>
      <c r="B914" s="30" t="s">
        <v>3053</v>
      </c>
      <c r="C914" s="61" t="s">
        <v>108</v>
      </c>
      <c r="D914" s="61" t="s">
        <v>3054</v>
      </c>
      <c r="E914" s="61" t="s">
        <v>3055</v>
      </c>
      <c r="F914" s="61" t="s">
        <v>40</v>
      </c>
      <c r="G914" s="22" t="s">
        <v>3056</v>
      </c>
      <c r="H914" s="22" t="s">
        <v>3057</v>
      </c>
      <c r="I914" s="62" t="s">
        <v>1373</v>
      </c>
      <c r="J914" s="63" t="s">
        <v>94</v>
      </c>
      <c r="K914" s="63"/>
      <c r="L914" s="64"/>
    </row>
    <row r="915" spans="1:12">
      <c r="A915" s="1" t="s">
        <v>106</v>
      </c>
      <c r="B915" s="34" t="s">
        <v>3058</v>
      </c>
      <c r="C915" s="53" t="s">
        <v>108</v>
      </c>
      <c r="D915" s="53" t="s">
        <v>3059</v>
      </c>
      <c r="E915" s="53" t="s">
        <v>3060</v>
      </c>
      <c r="F915" s="53" t="s">
        <v>214</v>
      </c>
      <c r="G915" s="16" t="s">
        <v>3061</v>
      </c>
      <c r="H915" s="16"/>
      <c r="I915" s="58"/>
      <c r="J915" s="59"/>
      <c r="K915" s="59"/>
      <c r="L915" s="60"/>
    </row>
    <row r="916" spans="1:12">
      <c r="A916" s="19" t="s">
        <v>20</v>
      </c>
      <c r="B916" s="30" t="s">
        <v>3062</v>
      </c>
      <c r="C916" s="61" t="s">
        <v>21</v>
      </c>
      <c r="D916" s="61" t="s">
        <v>3063</v>
      </c>
      <c r="E916" s="61" t="s">
        <v>3064</v>
      </c>
      <c r="F916" s="61" t="s">
        <v>40</v>
      </c>
      <c r="G916" s="22" t="s">
        <v>3065</v>
      </c>
      <c r="H916" s="22" t="s">
        <v>3066</v>
      </c>
      <c r="I916" s="62" t="s">
        <v>2329</v>
      </c>
      <c r="J916" s="63" t="s">
        <v>88</v>
      </c>
      <c r="K916" s="63"/>
      <c r="L916" s="64"/>
    </row>
    <row r="917" spans="1:12">
      <c r="A917" s="1" t="s">
        <v>106</v>
      </c>
      <c r="B917" s="34" t="s">
        <v>3067</v>
      </c>
      <c r="C917" s="53" t="s">
        <v>108</v>
      </c>
      <c r="D917" s="53" t="s">
        <v>1767</v>
      </c>
      <c r="E917" s="53" t="s">
        <v>3068</v>
      </c>
      <c r="F917" s="53" t="s">
        <v>40</v>
      </c>
      <c r="G917" s="16" t="s">
        <v>3069</v>
      </c>
      <c r="H917" s="16" t="s">
        <v>3070</v>
      </c>
      <c r="I917" s="58" t="s">
        <v>3041</v>
      </c>
      <c r="J917" s="59" t="s">
        <v>88</v>
      </c>
      <c r="K917" s="59" t="s">
        <v>94</v>
      </c>
      <c r="L917" s="60"/>
    </row>
    <row r="918" spans="1:12">
      <c r="A918" s="19" t="s">
        <v>106</v>
      </c>
      <c r="B918" s="30" t="s">
        <v>3071</v>
      </c>
      <c r="C918" s="61" t="s">
        <v>37</v>
      </c>
      <c r="D918" s="61" t="s">
        <v>3072</v>
      </c>
      <c r="E918" s="61" t="s">
        <v>3073</v>
      </c>
      <c r="F918" s="61" t="s">
        <v>214</v>
      </c>
      <c r="G918" s="22" t="s">
        <v>3074</v>
      </c>
      <c r="H918" s="22" t="s">
        <v>3075</v>
      </c>
      <c r="I918" s="62" t="s">
        <v>2585</v>
      </c>
      <c r="J918" s="63" t="s">
        <v>94</v>
      </c>
      <c r="K918" s="63"/>
      <c r="L918" s="64"/>
    </row>
    <row r="919" spans="1:12">
      <c r="A919" s="1" t="s">
        <v>106</v>
      </c>
      <c r="B919" s="34" t="s">
        <v>3071</v>
      </c>
      <c r="C919" s="53" t="s">
        <v>37</v>
      </c>
      <c r="D919" s="53" t="s">
        <v>3072</v>
      </c>
      <c r="E919" s="53" t="s">
        <v>3076</v>
      </c>
      <c r="F919" s="53" t="s">
        <v>40</v>
      </c>
      <c r="G919" s="16" t="s">
        <v>3074</v>
      </c>
      <c r="H919" s="16" t="s">
        <v>3075</v>
      </c>
      <c r="I919" s="58" t="s">
        <v>3077</v>
      </c>
      <c r="J919" s="59" t="s">
        <v>94</v>
      </c>
      <c r="K919" s="59"/>
      <c r="L919" s="60"/>
    </row>
    <row r="920" spans="1:12">
      <c r="A920" s="41" t="s">
        <v>95</v>
      </c>
      <c r="B920" s="30" t="s">
        <v>3078</v>
      </c>
      <c r="C920" s="61" t="s">
        <v>97</v>
      </c>
      <c r="D920" s="61" t="s">
        <v>3079</v>
      </c>
      <c r="E920" s="61" t="s">
        <v>3080</v>
      </c>
      <c r="F920" s="61" t="s">
        <v>40</v>
      </c>
      <c r="G920" s="22" t="s">
        <v>3081</v>
      </c>
      <c r="H920" s="22" t="s">
        <v>3082</v>
      </c>
      <c r="I920" s="62" t="s">
        <v>991</v>
      </c>
      <c r="J920" s="63" t="s">
        <v>94</v>
      </c>
      <c r="K920" s="63"/>
      <c r="L920" s="64"/>
    </row>
    <row r="921" spans="1:12">
      <c r="A921" s="42" t="s">
        <v>20</v>
      </c>
      <c r="B921" s="34" t="s">
        <v>3083</v>
      </c>
      <c r="C921" s="53" t="s">
        <v>49</v>
      </c>
      <c r="D921" s="53" t="s">
        <v>3084</v>
      </c>
      <c r="E921" s="53" t="s">
        <v>3085</v>
      </c>
      <c r="F921" s="53" t="s">
        <v>40</v>
      </c>
      <c r="G921" s="16" t="s">
        <v>3086</v>
      </c>
      <c r="H921" s="16" t="s">
        <v>3087</v>
      </c>
      <c r="I921" s="58" t="s">
        <v>2585</v>
      </c>
      <c r="J921" s="59" t="s">
        <v>94</v>
      </c>
      <c r="K921" s="59"/>
      <c r="L921" s="60"/>
    </row>
    <row r="922" spans="1:12">
      <c r="A922" s="41" t="s">
        <v>106</v>
      </c>
      <c r="B922" s="30" t="s">
        <v>3088</v>
      </c>
      <c r="C922" s="61" t="s">
        <v>333</v>
      </c>
      <c r="D922" s="61" t="s">
        <v>3089</v>
      </c>
      <c r="E922" s="61" t="s">
        <v>3090</v>
      </c>
      <c r="F922" s="61" t="s">
        <v>40</v>
      </c>
      <c r="G922" s="22" t="s">
        <v>3091</v>
      </c>
      <c r="H922" s="22" t="s">
        <v>3092</v>
      </c>
      <c r="I922" s="62" t="s">
        <v>3093</v>
      </c>
      <c r="J922" s="63" t="s">
        <v>94</v>
      </c>
      <c r="K922" s="63"/>
      <c r="L922" s="64"/>
    </row>
    <row r="923" spans="1:12">
      <c r="A923" s="42" t="s">
        <v>20</v>
      </c>
      <c r="B923" s="34" t="s">
        <v>3094</v>
      </c>
      <c r="C923" s="53" t="s">
        <v>49</v>
      </c>
      <c r="D923" s="53" t="s">
        <v>3095</v>
      </c>
      <c r="E923" s="53" t="s">
        <v>3096</v>
      </c>
      <c r="F923" s="53" t="s">
        <v>40</v>
      </c>
      <c r="G923" s="16" t="s">
        <v>3097</v>
      </c>
      <c r="H923" s="16" t="s">
        <v>3098</v>
      </c>
      <c r="I923" s="58" t="s">
        <v>3099</v>
      </c>
      <c r="J923" s="59" t="s">
        <v>94</v>
      </c>
      <c r="K923" s="59"/>
      <c r="L923" s="60"/>
    </row>
    <row r="924" spans="1:12">
      <c r="A924" s="41" t="s">
        <v>95</v>
      </c>
      <c r="B924" s="30" t="s">
        <v>3100</v>
      </c>
      <c r="C924" s="61" t="s">
        <v>97</v>
      </c>
      <c r="D924" s="61" t="s">
        <v>3101</v>
      </c>
      <c r="E924" s="61" t="s">
        <v>3102</v>
      </c>
      <c r="F924" s="61" t="s">
        <v>40</v>
      </c>
      <c r="G924" s="22" t="s">
        <v>3103</v>
      </c>
      <c r="H924" s="22" t="s">
        <v>3104</v>
      </c>
      <c r="I924" s="62"/>
      <c r="J924" s="63" t="s">
        <v>88</v>
      </c>
      <c r="K924" s="63"/>
      <c r="L924" s="64"/>
    </row>
    <row r="925" spans="1:12">
      <c r="A925" s="42" t="s">
        <v>106</v>
      </c>
      <c r="B925" s="34" t="s">
        <v>3105</v>
      </c>
      <c r="C925" s="53" t="s">
        <v>333</v>
      </c>
      <c r="D925" s="53" t="s">
        <v>3106</v>
      </c>
      <c r="E925" s="53" t="s">
        <v>3107</v>
      </c>
      <c r="F925" s="53" t="s">
        <v>40</v>
      </c>
      <c r="G925" s="16" t="s">
        <v>3108</v>
      </c>
      <c r="H925" s="16" t="s">
        <v>3109</v>
      </c>
      <c r="I925" s="58" t="s">
        <v>2724</v>
      </c>
      <c r="J925" s="59" t="s">
        <v>88</v>
      </c>
      <c r="K925" s="59"/>
      <c r="L925" s="60"/>
    </row>
    <row r="926" spans="1:12">
      <c r="A926" s="19" t="s">
        <v>20</v>
      </c>
      <c r="B926" s="30" t="s">
        <v>3110</v>
      </c>
      <c r="C926" s="61" t="s">
        <v>21</v>
      </c>
      <c r="D926" s="61" t="s">
        <v>3111</v>
      </c>
      <c r="E926" s="61" t="s">
        <v>3112</v>
      </c>
      <c r="F926" s="61" t="s">
        <v>40</v>
      </c>
      <c r="G926" s="22" t="s">
        <v>3113</v>
      </c>
      <c r="H926" s="22" t="s">
        <v>3114</v>
      </c>
      <c r="I926" s="62" t="s">
        <v>3115</v>
      </c>
      <c r="J926" s="63" t="s">
        <v>88</v>
      </c>
      <c r="K926" s="63"/>
      <c r="L926" s="64"/>
    </row>
    <row r="927" spans="1:12">
      <c r="A927" s="1" t="s">
        <v>106</v>
      </c>
      <c r="B927" s="34" t="s">
        <v>3116</v>
      </c>
      <c r="C927" s="53" t="s">
        <v>108</v>
      </c>
      <c r="D927" s="53" t="s">
        <v>1767</v>
      </c>
      <c r="E927" s="53" t="s">
        <v>3117</v>
      </c>
      <c r="F927" s="53" t="s">
        <v>40</v>
      </c>
      <c r="G927" s="16" t="s">
        <v>3118</v>
      </c>
      <c r="H927" s="16" t="s">
        <v>3119</v>
      </c>
      <c r="I927" s="58" t="s">
        <v>3041</v>
      </c>
      <c r="J927" s="59" t="s">
        <v>88</v>
      </c>
      <c r="K927" s="59"/>
      <c r="L927" s="60"/>
    </row>
    <row r="928" spans="1:12">
      <c r="A928" s="41" t="s">
        <v>20</v>
      </c>
      <c r="B928" s="30" t="s">
        <v>3120</v>
      </c>
      <c r="C928" s="61" t="s">
        <v>13</v>
      </c>
      <c r="D928" s="61" t="s">
        <v>3043</v>
      </c>
      <c r="E928" s="61" t="s">
        <v>3121</v>
      </c>
      <c r="F928" s="61" t="s">
        <v>40</v>
      </c>
      <c r="G928" s="22" t="s">
        <v>3122</v>
      </c>
      <c r="H928" s="22" t="s">
        <v>3123</v>
      </c>
      <c r="I928" s="62" t="s">
        <v>3047</v>
      </c>
      <c r="J928" s="63" t="s">
        <v>94</v>
      </c>
      <c r="K928" s="63"/>
      <c r="L928" s="64"/>
    </row>
    <row r="929" spans="1:12">
      <c r="A929" s="42" t="s">
        <v>106</v>
      </c>
      <c r="B929" s="34" t="s">
        <v>3124</v>
      </c>
      <c r="C929" s="53" t="s">
        <v>313</v>
      </c>
      <c r="D929" s="53" t="s">
        <v>3125</v>
      </c>
      <c r="E929" s="53" t="s">
        <v>3126</v>
      </c>
      <c r="F929" s="53" t="s">
        <v>40</v>
      </c>
      <c r="G929" s="16"/>
      <c r="H929" s="16"/>
      <c r="I929" s="58"/>
      <c r="J929" s="59"/>
      <c r="K929" s="59"/>
      <c r="L929" s="60"/>
    </row>
    <row r="930" spans="1:12">
      <c r="A930" s="41" t="s">
        <v>20</v>
      </c>
      <c r="B930" s="30" t="s">
        <v>3127</v>
      </c>
      <c r="C930" s="61" t="s">
        <v>13</v>
      </c>
      <c r="D930" s="61" t="s">
        <v>3128</v>
      </c>
      <c r="E930" s="61" t="s">
        <v>3129</v>
      </c>
      <c r="F930" s="61" t="s">
        <v>40</v>
      </c>
      <c r="G930" s="22" t="s">
        <v>3130</v>
      </c>
      <c r="H930" s="22" t="s">
        <v>3131</v>
      </c>
      <c r="I930" s="62" t="s">
        <v>3132</v>
      </c>
      <c r="J930" s="63" t="s">
        <v>94</v>
      </c>
      <c r="K930" s="63"/>
      <c r="L930" s="64"/>
    </row>
    <row r="931" spans="1:12">
      <c r="A931" s="42" t="s">
        <v>20</v>
      </c>
      <c r="B931" s="34" t="s">
        <v>3133</v>
      </c>
      <c r="C931" s="53" t="s">
        <v>13</v>
      </c>
      <c r="D931" s="53" t="s">
        <v>3134</v>
      </c>
      <c r="E931" s="53" t="s">
        <v>3135</v>
      </c>
      <c r="F931" s="53" t="s">
        <v>40</v>
      </c>
      <c r="G931" s="16" t="s">
        <v>3136</v>
      </c>
      <c r="H931" s="16" t="s">
        <v>3137</v>
      </c>
      <c r="I931" s="58" t="s">
        <v>17</v>
      </c>
      <c r="J931" s="59" t="s">
        <v>88</v>
      </c>
      <c r="K931" s="59"/>
      <c r="L931" s="60"/>
    </row>
    <row r="932" spans="1:12">
      <c r="A932" s="41" t="s">
        <v>20</v>
      </c>
      <c r="B932" s="30" t="s">
        <v>3138</v>
      </c>
      <c r="C932" s="61" t="s">
        <v>21</v>
      </c>
      <c r="D932" s="61" t="s">
        <v>3139</v>
      </c>
      <c r="E932" s="61" t="s">
        <v>3140</v>
      </c>
      <c r="F932" s="61" t="s">
        <v>40</v>
      </c>
      <c r="G932" s="22" t="s">
        <v>3141</v>
      </c>
      <c r="H932" s="22" t="s">
        <v>3142</v>
      </c>
      <c r="I932" s="62" t="s">
        <v>2329</v>
      </c>
      <c r="J932" s="63" t="s">
        <v>88</v>
      </c>
      <c r="K932" s="63"/>
      <c r="L932" s="64"/>
    </row>
    <row r="933" spans="1:12">
      <c r="A933" s="42" t="s">
        <v>106</v>
      </c>
      <c r="B933" s="34" t="s">
        <v>3143</v>
      </c>
      <c r="C933" s="53" t="s">
        <v>333</v>
      </c>
      <c r="D933" s="53" t="s">
        <v>3144</v>
      </c>
      <c r="E933" s="53" t="s">
        <v>3145</v>
      </c>
      <c r="F933" s="53" t="s">
        <v>40</v>
      </c>
      <c r="G933" s="16" t="s">
        <v>3146</v>
      </c>
      <c r="H933" s="16" t="s">
        <v>3147</v>
      </c>
      <c r="I933" s="58" t="s">
        <v>2646</v>
      </c>
      <c r="J933" s="59" t="s">
        <v>94</v>
      </c>
      <c r="K933" s="59"/>
      <c r="L933" s="60"/>
    </row>
    <row r="934" spans="1:12">
      <c r="A934" s="19" t="s">
        <v>106</v>
      </c>
      <c r="B934" s="30" t="s">
        <v>3148</v>
      </c>
      <c r="C934" s="61" t="s">
        <v>108</v>
      </c>
      <c r="D934" s="61" t="s">
        <v>3149</v>
      </c>
      <c r="E934" s="61" t="s">
        <v>3150</v>
      </c>
      <c r="F934" s="61" t="s">
        <v>214</v>
      </c>
      <c r="G934" s="22" t="s">
        <v>3151</v>
      </c>
      <c r="H934" s="22"/>
      <c r="I934" s="62" t="s">
        <v>111</v>
      </c>
      <c r="J934" s="63" t="s">
        <v>94</v>
      </c>
      <c r="K934" s="63"/>
      <c r="L934" s="64"/>
    </row>
    <row r="935" spans="1:12">
      <c r="A935" s="1" t="s">
        <v>106</v>
      </c>
      <c r="B935" s="34" t="s">
        <v>3152</v>
      </c>
      <c r="C935" s="53" t="s">
        <v>108</v>
      </c>
      <c r="D935" s="53" t="s">
        <v>3153</v>
      </c>
      <c r="E935" s="53" t="s">
        <v>3154</v>
      </c>
      <c r="F935" s="53" t="s">
        <v>40</v>
      </c>
      <c r="G935" s="16" t="s">
        <v>3155</v>
      </c>
      <c r="H935" s="16" t="s">
        <v>3156</v>
      </c>
      <c r="I935" s="58" t="s">
        <v>3077</v>
      </c>
      <c r="J935" s="59" t="s">
        <v>94</v>
      </c>
      <c r="K935" s="59"/>
      <c r="L935" s="60"/>
    </row>
    <row r="936" spans="1:12">
      <c r="A936" s="19" t="s">
        <v>95</v>
      </c>
      <c r="B936" s="30" t="s">
        <v>3157</v>
      </c>
      <c r="C936" s="61" t="s">
        <v>97</v>
      </c>
      <c r="D936" s="61" t="s">
        <v>3158</v>
      </c>
      <c r="E936" s="61" t="s">
        <v>3159</v>
      </c>
      <c r="F936" s="61" t="s">
        <v>40</v>
      </c>
      <c r="G936" s="22" t="s">
        <v>3160</v>
      </c>
      <c r="H936" s="22" t="s">
        <v>3156</v>
      </c>
      <c r="I936" s="62" t="s">
        <v>2951</v>
      </c>
      <c r="J936" s="63" t="s">
        <v>94</v>
      </c>
      <c r="K936" s="63"/>
      <c r="L936" s="64"/>
    </row>
    <row r="937" spans="1:12">
      <c r="A937" s="42" t="s">
        <v>20</v>
      </c>
      <c r="B937" s="34" t="s">
        <v>3161</v>
      </c>
      <c r="C937" s="53" t="s">
        <v>13</v>
      </c>
      <c r="D937" s="53" t="s">
        <v>3162</v>
      </c>
      <c r="E937" s="53" t="s">
        <v>3163</v>
      </c>
      <c r="F937" s="53" t="s">
        <v>40</v>
      </c>
      <c r="G937" s="16" t="s">
        <v>3164</v>
      </c>
      <c r="H937" s="16" t="s">
        <v>3165</v>
      </c>
      <c r="I937" s="58" t="s">
        <v>3166</v>
      </c>
      <c r="J937" s="59" t="s">
        <v>94</v>
      </c>
      <c r="K937" s="59"/>
      <c r="L937" s="60"/>
    </row>
    <row r="938" spans="1:12">
      <c r="A938" s="41" t="s">
        <v>20</v>
      </c>
      <c r="B938" s="30" t="s">
        <v>3167</v>
      </c>
      <c r="C938" s="61" t="s">
        <v>21</v>
      </c>
      <c r="D938" s="61" t="s">
        <v>3168</v>
      </c>
      <c r="E938" s="61" t="s">
        <v>3169</v>
      </c>
      <c r="F938" s="61" t="s">
        <v>40</v>
      </c>
      <c r="G938" s="22" t="s">
        <v>3170</v>
      </c>
      <c r="H938" s="22" t="s">
        <v>3171</v>
      </c>
      <c r="I938" s="62" t="s">
        <v>2329</v>
      </c>
      <c r="J938" s="63" t="s">
        <v>88</v>
      </c>
      <c r="K938" s="63"/>
      <c r="L938" s="64"/>
    </row>
    <row r="939" spans="1:12">
      <c r="A939" s="42" t="s">
        <v>20</v>
      </c>
      <c r="B939" s="34" t="s">
        <v>3172</v>
      </c>
      <c r="C939" s="53" t="s">
        <v>21</v>
      </c>
      <c r="D939" s="53" t="s">
        <v>3173</v>
      </c>
      <c r="E939" s="53" t="s">
        <v>3174</v>
      </c>
      <c r="F939" s="53" t="s">
        <v>40</v>
      </c>
      <c r="G939" s="16" t="s">
        <v>3175</v>
      </c>
      <c r="H939" s="16" t="s">
        <v>3176</v>
      </c>
      <c r="I939" s="58" t="s">
        <v>2329</v>
      </c>
      <c r="J939" s="59" t="s">
        <v>88</v>
      </c>
      <c r="K939" s="59"/>
      <c r="L939" s="60"/>
    </row>
    <row r="940" spans="1:12">
      <c r="A940" s="41" t="s">
        <v>20</v>
      </c>
      <c r="B940" s="30" t="s">
        <v>3177</v>
      </c>
      <c r="C940" s="61" t="s">
        <v>21</v>
      </c>
      <c r="D940" s="61" t="s">
        <v>3178</v>
      </c>
      <c r="E940" s="61" t="s">
        <v>3179</v>
      </c>
      <c r="F940" s="61" t="s">
        <v>40</v>
      </c>
      <c r="G940" s="22" t="s">
        <v>3180</v>
      </c>
      <c r="H940" s="22" t="s">
        <v>3181</v>
      </c>
      <c r="I940" s="62" t="s">
        <v>2329</v>
      </c>
      <c r="J940" s="63" t="s">
        <v>88</v>
      </c>
      <c r="K940" s="63"/>
      <c r="L940" s="64"/>
    </row>
    <row r="941" spans="1:12">
      <c r="A941" s="42" t="s">
        <v>106</v>
      </c>
      <c r="B941" s="34" t="s">
        <v>3182</v>
      </c>
      <c r="C941" s="53" t="s">
        <v>37</v>
      </c>
      <c r="D941" s="53" t="s">
        <v>3183</v>
      </c>
      <c r="E941" s="53" t="s">
        <v>3184</v>
      </c>
      <c r="F941" s="53" t="s">
        <v>40</v>
      </c>
      <c r="G941" s="16" t="s">
        <v>3185</v>
      </c>
      <c r="H941" s="16" t="s">
        <v>3181</v>
      </c>
      <c r="I941" s="58" t="s">
        <v>3186</v>
      </c>
      <c r="J941" s="59" t="s">
        <v>88</v>
      </c>
      <c r="K941" s="59"/>
      <c r="L941" s="60"/>
    </row>
    <row r="942" spans="1:12">
      <c r="A942" s="41" t="s">
        <v>106</v>
      </c>
      <c r="B942" s="30" t="s">
        <v>3187</v>
      </c>
      <c r="C942" s="61" t="s">
        <v>108</v>
      </c>
      <c r="D942" s="61" t="s">
        <v>3188</v>
      </c>
      <c r="E942" s="61" t="s">
        <v>3189</v>
      </c>
      <c r="F942" s="61" t="s">
        <v>40</v>
      </c>
      <c r="G942" s="22" t="s">
        <v>3190</v>
      </c>
      <c r="H942" s="22" t="s">
        <v>3191</v>
      </c>
      <c r="I942" s="62"/>
      <c r="J942" s="63" t="s">
        <v>72</v>
      </c>
      <c r="K942" s="63"/>
      <c r="L942" s="64"/>
    </row>
    <row r="943" spans="1:12">
      <c r="A943" s="42" t="s">
        <v>106</v>
      </c>
      <c r="B943" s="34" t="s">
        <v>3192</v>
      </c>
      <c r="C943" s="53" t="s">
        <v>108</v>
      </c>
      <c r="D943" s="53" t="s">
        <v>3193</v>
      </c>
      <c r="E943" s="53" t="s">
        <v>3194</v>
      </c>
      <c r="F943" s="53" t="s">
        <v>40</v>
      </c>
      <c r="G943" s="16" t="s">
        <v>3195</v>
      </c>
      <c r="H943" s="16" t="s">
        <v>3196</v>
      </c>
      <c r="I943" s="58"/>
      <c r="J943" s="59" t="s">
        <v>72</v>
      </c>
      <c r="K943" s="59"/>
      <c r="L943" s="60"/>
    </row>
    <row r="944" spans="1:12">
      <c r="A944" s="41" t="s">
        <v>106</v>
      </c>
      <c r="B944" s="30" t="s">
        <v>3197</v>
      </c>
      <c r="C944" s="61" t="s">
        <v>108</v>
      </c>
      <c r="D944" s="61" t="s">
        <v>3198</v>
      </c>
      <c r="E944" s="61" t="s">
        <v>3199</v>
      </c>
      <c r="F944" s="61" t="s">
        <v>40</v>
      </c>
      <c r="G944" s="22" t="s">
        <v>3200</v>
      </c>
      <c r="H944" s="22" t="s">
        <v>3201</v>
      </c>
      <c r="I944" s="62"/>
      <c r="J944" s="63" t="s">
        <v>72</v>
      </c>
      <c r="K944" s="63"/>
      <c r="L944" s="64"/>
    </row>
    <row r="945" spans="1:12">
      <c r="A945" s="42" t="s">
        <v>106</v>
      </c>
      <c r="B945" s="34" t="s">
        <v>3202</v>
      </c>
      <c r="C945" s="53" t="s">
        <v>108</v>
      </c>
      <c r="D945" s="53" t="s">
        <v>3203</v>
      </c>
      <c r="E945" s="53" t="s">
        <v>276</v>
      </c>
      <c r="F945" s="53" t="s">
        <v>40</v>
      </c>
      <c r="G945" s="16" t="s">
        <v>3204</v>
      </c>
      <c r="H945" s="16" t="s">
        <v>3205</v>
      </c>
      <c r="I945" s="58"/>
      <c r="J945" s="59" t="s">
        <v>72</v>
      </c>
      <c r="K945" s="59"/>
      <c r="L945" s="60"/>
    </row>
    <row r="946" spans="1:12">
      <c r="A946" s="19" t="s">
        <v>20</v>
      </c>
      <c r="B946" s="30" t="s">
        <v>3206</v>
      </c>
      <c r="C946" s="61" t="s">
        <v>21</v>
      </c>
      <c r="D946" s="21" t="s">
        <v>3207</v>
      </c>
      <c r="E946" s="21" t="s">
        <v>3208</v>
      </c>
      <c r="F946" s="61" t="s">
        <v>40</v>
      </c>
      <c r="G946" s="22" t="s">
        <v>3209</v>
      </c>
      <c r="H946" s="22" t="s">
        <v>3210</v>
      </c>
      <c r="I946" s="62" t="s">
        <v>64</v>
      </c>
      <c r="J946" s="63" t="s">
        <v>61</v>
      </c>
      <c r="K946" s="63"/>
      <c r="L946" s="64"/>
    </row>
    <row r="947" spans="1:12">
      <c r="A947" s="1" t="s">
        <v>20</v>
      </c>
      <c r="B947" s="34" t="s">
        <v>3211</v>
      </c>
      <c r="C947" s="53" t="s">
        <v>49</v>
      </c>
      <c r="D947" s="15" t="s">
        <v>3212</v>
      </c>
      <c r="E947" s="15" t="s">
        <v>3213</v>
      </c>
      <c r="F947" s="53" t="s">
        <v>40</v>
      </c>
      <c r="G947" s="16" t="s">
        <v>3214</v>
      </c>
      <c r="H947" s="16" t="s">
        <v>3215</v>
      </c>
      <c r="I947" s="58" t="s">
        <v>3216</v>
      </c>
      <c r="J947" s="59" t="s">
        <v>61</v>
      </c>
      <c r="K947" s="59"/>
      <c r="L947" s="60"/>
    </row>
    <row r="948" spans="1:12">
      <c r="A948" s="19" t="s">
        <v>20</v>
      </c>
      <c r="B948" s="30" t="s">
        <v>3217</v>
      </c>
      <c r="C948" s="61" t="s">
        <v>21</v>
      </c>
      <c r="D948" s="21" t="s">
        <v>3218</v>
      </c>
      <c r="E948" s="21" t="s">
        <v>3219</v>
      </c>
      <c r="F948" s="61" t="s">
        <v>40</v>
      </c>
      <c r="G948" s="22" t="s">
        <v>3220</v>
      </c>
      <c r="H948" s="22" t="s">
        <v>3221</v>
      </c>
      <c r="I948" s="62" t="s">
        <v>64</v>
      </c>
      <c r="J948" s="63" t="s">
        <v>61</v>
      </c>
      <c r="K948" s="63"/>
      <c r="L948" s="64"/>
    </row>
    <row r="949" spans="1:12">
      <c r="A949" s="1" t="s">
        <v>106</v>
      </c>
      <c r="B949" s="34" t="s">
        <v>3222</v>
      </c>
      <c r="C949" s="53" t="s">
        <v>333</v>
      </c>
      <c r="D949" s="15" t="s">
        <v>3223</v>
      </c>
      <c r="E949" s="15" t="s">
        <v>3224</v>
      </c>
      <c r="F949" s="53" t="s">
        <v>40</v>
      </c>
      <c r="G949" s="16" t="s">
        <v>3225</v>
      </c>
      <c r="H949" s="16" t="s">
        <v>3226</v>
      </c>
      <c r="I949" s="58" t="s">
        <v>3227</v>
      </c>
      <c r="J949" s="59" t="s">
        <v>61</v>
      </c>
      <c r="K949" s="59"/>
      <c r="L949" s="60"/>
    </row>
    <row r="950" spans="1:12">
      <c r="A950" s="41" t="s">
        <v>95</v>
      </c>
      <c r="B950" s="30" t="s">
        <v>3228</v>
      </c>
      <c r="C950" s="61" t="s">
        <v>1763</v>
      </c>
      <c r="D950" s="61" t="s">
        <v>3229</v>
      </c>
      <c r="E950" s="61" t="s">
        <v>3230</v>
      </c>
      <c r="F950" s="61" t="s">
        <v>40</v>
      </c>
      <c r="G950" s="22" t="s">
        <v>3231</v>
      </c>
      <c r="H950" s="22" t="s">
        <v>3232</v>
      </c>
      <c r="I950" s="62" t="s">
        <v>32</v>
      </c>
      <c r="J950" s="63" t="s">
        <v>72</v>
      </c>
      <c r="K950" s="63"/>
      <c r="L950" s="64"/>
    </row>
    <row r="951" spans="1:12">
      <c r="A951" s="42" t="s">
        <v>106</v>
      </c>
      <c r="B951" s="34" t="s">
        <v>3233</v>
      </c>
      <c r="C951" s="53" t="s">
        <v>108</v>
      </c>
      <c r="D951" s="53" t="s">
        <v>3234</v>
      </c>
      <c r="E951" s="53" t="s">
        <v>2209</v>
      </c>
      <c r="F951" s="53" t="s">
        <v>40</v>
      </c>
      <c r="G951" s="16" t="s">
        <v>3235</v>
      </c>
      <c r="H951" s="16" t="s">
        <v>3236</v>
      </c>
      <c r="I951" s="58" t="s">
        <v>946</v>
      </c>
      <c r="J951" s="59" t="s">
        <v>72</v>
      </c>
      <c r="K951" s="59"/>
      <c r="L951" s="60"/>
    </row>
    <row r="952" spans="1:12">
      <c r="A952" s="41" t="s">
        <v>106</v>
      </c>
      <c r="B952" s="30" t="s">
        <v>3237</v>
      </c>
      <c r="C952" s="61" t="s">
        <v>108</v>
      </c>
      <c r="D952" s="61" t="s">
        <v>3238</v>
      </c>
      <c r="E952" s="61" t="s">
        <v>3239</v>
      </c>
      <c r="F952" s="61" t="s">
        <v>40</v>
      </c>
      <c r="G952" s="22" t="s">
        <v>3231</v>
      </c>
      <c r="H952" s="22" t="s">
        <v>3240</v>
      </c>
      <c r="I952" s="62" t="s">
        <v>111</v>
      </c>
      <c r="J952" s="63" t="s">
        <v>72</v>
      </c>
      <c r="K952" s="63"/>
      <c r="L952" s="64"/>
    </row>
    <row r="953" spans="1:12">
      <c r="A953" s="42" t="s">
        <v>106</v>
      </c>
      <c r="B953" s="34" t="s">
        <v>3241</v>
      </c>
      <c r="C953" s="53" t="s">
        <v>108</v>
      </c>
      <c r="D953" s="53" t="s">
        <v>3242</v>
      </c>
      <c r="E953" s="53" t="s">
        <v>3243</v>
      </c>
      <c r="F953" s="53" t="s">
        <v>40</v>
      </c>
      <c r="G953" s="16" t="s">
        <v>3244</v>
      </c>
      <c r="H953" s="16" t="s">
        <v>3245</v>
      </c>
      <c r="I953" s="58" t="s">
        <v>946</v>
      </c>
      <c r="J953" s="59" t="s">
        <v>72</v>
      </c>
      <c r="K953" s="59"/>
      <c r="L953" s="60"/>
    </row>
    <row r="954" spans="1:12">
      <c r="A954" s="41" t="s">
        <v>106</v>
      </c>
      <c r="B954" s="30" t="s">
        <v>3246</v>
      </c>
      <c r="C954" s="61" t="s">
        <v>78</v>
      </c>
      <c r="D954" s="61" t="s">
        <v>3247</v>
      </c>
      <c r="E954" s="61" t="s">
        <v>3248</v>
      </c>
      <c r="F954" s="61" t="s">
        <v>40</v>
      </c>
      <c r="G954" s="22" t="s">
        <v>3249</v>
      </c>
      <c r="H954" s="22" t="s">
        <v>3250</v>
      </c>
      <c r="I954" s="62" t="s">
        <v>258</v>
      </c>
      <c r="J954" s="63" t="s">
        <v>72</v>
      </c>
      <c r="K954" s="63"/>
      <c r="L954" s="64"/>
    </row>
    <row r="955" spans="1:12">
      <c r="A955" s="81" t="s">
        <v>20</v>
      </c>
      <c r="B955" s="92" t="s">
        <v>3251</v>
      </c>
      <c r="C955" s="15" t="s">
        <v>49</v>
      </c>
      <c r="D955" s="15" t="s">
        <v>3252</v>
      </c>
      <c r="E955" s="15" t="s">
        <v>3213</v>
      </c>
      <c r="F955" s="15" t="s">
        <v>40</v>
      </c>
      <c r="G955" s="16" t="s">
        <v>3253</v>
      </c>
      <c r="H955" s="16" t="s">
        <v>3254</v>
      </c>
      <c r="I955" s="17" t="s">
        <v>3255</v>
      </c>
      <c r="J955" s="18" t="s">
        <v>61</v>
      </c>
      <c r="K955" s="59"/>
      <c r="L955" s="60"/>
    </row>
    <row r="956" spans="1:12">
      <c r="A956" s="19" t="s">
        <v>95</v>
      </c>
      <c r="B956" s="93" t="s">
        <v>3256</v>
      </c>
      <c r="C956" s="61" t="s">
        <v>1763</v>
      </c>
      <c r="D956" s="21" t="s">
        <v>3257</v>
      </c>
      <c r="E956" s="77" t="s">
        <v>3258</v>
      </c>
      <c r="F956" s="61" t="s">
        <v>40</v>
      </c>
      <c r="G956" s="22" t="s">
        <v>3259</v>
      </c>
      <c r="H956" s="22" t="s">
        <v>3260</v>
      </c>
      <c r="I956" s="62" t="s">
        <v>3261</v>
      </c>
      <c r="J956" s="63" t="s">
        <v>61</v>
      </c>
      <c r="K956" s="63"/>
      <c r="L956" s="64"/>
    </row>
    <row r="957" spans="1:12">
      <c r="A957" s="1" t="s">
        <v>20</v>
      </c>
      <c r="B957" s="14" t="s">
        <v>3262</v>
      </c>
      <c r="C957" s="81" t="s">
        <v>21</v>
      </c>
      <c r="D957" s="15" t="s">
        <v>3263</v>
      </c>
      <c r="E957" s="15" t="s">
        <v>3264</v>
      </c>
      <c r="F957" s="81" t="s">
        <v>40</v>
      </c>
      <c r="G957" s="16" t="s">
        <v>3265</v>
      </c>
      <c r="H957" s="16" t="s">
        <v>3266</v>
      </c>
      <c r="I957" s="82" t="s">
        <v>64</v>
      </c>
      <c r="J957" s="83" t="s">
        <v>61</v>
      </c>
      <c r="K957" s="83"/>
      <c r="L957" s="84"/>
    </row>
    <row r="958" spans="1:12">
      <c r="A958" s="41" t="s">
        <v>20</v>
      </c>
      <c r="B958" s="20" t="s">
        <v>3267</v>
      </c>
      <c r="C958" s="77" t="s">
        <v>49</v>
      </c>
      <c r="D958" s="21" t="s">
        <v>3212</v>
      </c>
      <c r="E958" s="21" t="s">
        <v>3268</v>
      </c>
      <c r="F958" s="77" t="s">
        <v>40</v>
      </c>
      <c r="G958" s="22" t="s">
        <v>3269</v>
      </c>
      <c r="H958" s="22" t="s">
        <v>3270</v>
      </c>
      <c r="I958" s="78" t="s">
        <v>3255</v>
      </c>
      <c r="J958" s="79" t="s">
        <v>61</v>
      </c>
      <c r="K958" s="79"/>
      <c r="L958" s="80"/>
    </row>
    <row r="959" spans="1:12">
      <c r="A959" s="42" t="s">
        <v>20</v>
      </c>
      <c r="B959" s="34" t="s">
        <v>3271</v>
      </c>
      <c r="C959" s="53" t="s">
        <v>13</v>
      </c>
      <c r="D959" s="53" t="s">
        <v>3272</v>
      </c>
      <c r="E959" s="53" t="s">
        <v>3273</v>
      </c>
      <c r="F959" s="53" t="s">
        <v>40</v>
      </c>
      <c r="G959" s="16" t="s">
        <v>3274</v>
      </c>
      <c r="H959" s="16" t="s">
        <v>3275</v>
      </c>
      <c r="I959" s="58" t="s">
        <v>17</v>
      </c>
      <c r="J959" s="59" t="s">
        <v>72</v>
      </c>
      <c r="K959" s="59"/>
      <c r="L959" s="60"/>
    </row>
    <row r="960" spans="1:12">
      <c r="A960" s="41" t="s">
        <v>106</v>
      </c>
      <c r="B960" s="30" t="s">
        <v>3276</v>
      </c>
      <c r="C960" s="61" t="s">
        <v>108</v>
      </c>
      <c r="D960" s="61" t="s">
        <v>2838</v>
      </c>
      <c r="E960" s="61"/>
      <c r="F960" s="61" t="s">
        <v>40</v>
      </c>
      <c r="G960" s="22" t="s">
        <v>3277</v>
      </c>
      <c r="H960" s="22" t="s">
        <v>3278</v>
      </c>
      <c r="I960" s="62" t="s">
        <v>32</v>
      </c>
      <c r="J960" s="63" t="s">
        <v>72</v>
      </c>
      <c r="K960" s="63"/>
      <c r="L960" s="64"/>
    </row>
    <row r="961" spans="1:12">
      <c r="A961" s="1" t="s">
        <v>95</v>
      </c>
      <c r="B961" s="34" t="s">
        <v>3279</v>
      </c>
      <c r="C961" s="53" t="s">
        <v>113</v>
      </c>
      <c r="D961" s="15" t="s">
        <v>3280</v>
      </c>
      <c r="E961" s="15" t="s">
        <v>3281</v>
      </c>
      <c r="F961" s="53" t="s">
        <v>40</v>
      </c>
      <c r="G961" s="16" t="s">
        <v>3282</v>
      </c>
      <c r="H961" s="16" t="s">
        <v>3283</v>
      </c>
      <c r="I961" s="58" t="s">
        <v>3284</v>
      </c>
      <c r="J961" s="59" t="s">
        <v>61</v>
      </c>
      <c r="K961" s="59"/>
      <c r="L961" s="60"/>
    </row>
    <row r="962" spans="1:12">
      <c r="A962" s="19" t="s">
        <v>95</v>
      </c>
      <c r="B962" s="20" t="s">
        <v>3285</v>
      </c>
      <c r="C962" s="77" t="s">
        <v>97</v>
      </c>
      <c r="D962" s="21" t="s">
        <v>3286</v>
      </c>
      <c r="E962" s="21" t="s">
        <v>3287</v>
      </c>
      <c r="F962" s="77" t="s">
        <v>40</v>
      </c>
      <c r="G962" s="22" t="s">
        <v>3288</v>
      </c>
      <c r="H962" s="22" t="s">
        <v>3289</v>
      </c>
      <c r="I962" s="78" t="s">
        <v>3290</v>
      </c>
      <c r="J962" s="79" t="s">
        <v>61</v>
      </c>
      <c r="K962" s="79"/>
      <c r="L962" s="80"/>
    </row>
    <row r="963" spans="1:12">
      <c r="A963" s="1" t="s">
        <v>106</v>
      </c>
      <c r="B963" s="14" t="s">
        <v>3291</v>
      </c>
      <c r="C963" s="81" t="s">
        <v>333</v>
      </c>
      <c r="D963" s="15" t="s">
        <v>3292</v>
      </c>
      <c r="E963" s="15" t="s">
        <v>3293</v>
      </c>
      <c r="F963" s="81" t="s">
        <v>40</v>
      </c>
      <c r="G963" s="16" t="s">
        <v>3294</v>
      </c>
      <c r="H963" s="16" t="s">
        <v>3295</v>
      </c>
      <c r="I963" s="82" t="s">
        <v>3296</v>
      </c>
      <c r="J963" s="83" t="s">
        <v>61</v>
      </c>
      <c r="K963" s="83"/>
      <c r="L963" s="84"/>
    </row>
    <row r="964" spans="1:12">
      <c r="A964" s="19" t="s">
        <v>20</v>
      </c>
      <c r="B964" s="20" t="s">
        <v>3297</v>
      </c>
      <c r="C964" s="77" t="s">
        <v>21</v>
      </c>
      <c r="D964" s="21" t="s">
        <v>3298</v>
      </c>
      <c r="E964" s="21" t="s">
        <v>3299</v>
      </c>
      <c r="F964" s="77" t="s">
        <v>40</v>
      </c>
      <c r="G964" s="22" t="s">
        <v>3300</v>
      </c>
      <c r="H964" s="22" t="s">
        <v>3301</v>
      </c>
      <c r="I964" s="78" t="s">
        <v>2071</v>
      </c>
      <c r="J964" s="79" t="s">
        <v>61</v>
      </c>
      <c r="K964" s="79"/>
      <c r="L964" s="80"/>
    </row>
    <row r="965" spans="1:12">
      <c r="A965" s="1" t="s">
        <v>106</v>
      </c>
      <c r="B965" s="14" t="s">
        <v>3302</v>
      </c>
      <c r="C965" s="81" t="s">
        <v>108</v>
      </c>
      <c r="D965" s="81" t="s">
        <v>2838</v>
      </c>
      <c r="E965" s="81" t="s">
        <v>3230</v>
      </c>
      <c r="F965" s="81" t="s">
        <v>40</v>
      </c>
      <c r="G965" s="16" t="s">
        <v>3303</v>
      </c>
      <c r="H965" s="16" t="s">
        <v>3304</v>
      </c>
      <c r="I965" s="82" t="s">
        <v>32</v>
      </c>
      <c r="J965" s="83" t="s">
        <v>72</v>
      </c>
      <c r="K965" s="83"/>
      <c r="L965" s="84"/>
    </row>
    <row r="966" spans="1:12">
      <c r="A966" s="41" t="s">
        <v>95</v>
      </c>
      <c r="B966" s="20" t="s">
        <v>3305</v>
      </c>
      <c r="C966" s="77" t="s">
        <v>97</v>
      </c>
      <c r="D966" s="77" t="s">
        <v>3306</v>
      </c>
      <c r="E966" s="77" t="s">
        <v>3307</v>
      </c>
      <c r="F966" s="77" t="s">
        <v>40</v>
      </c>
      <c r="G966" s="22" t="s">
        <v>3308</v>
      </c>
      <c r="H966" s="22" t="s">
        <v>3309</v>
      </c>
      <c r="I966" s="78" t="s">
        <v>32</v>
      </c>
      <c r="J966" s="79" t="s">
        <v>72</v>
      </c>
      <c r="K966" s="79"/>
      <c r="L966" s="80"/>
    </row>
    <row r="967" spans="1:12">
      <c r="A967" s="42" t="s">
        <v>95</v>
      </c>
      <c r="B967" s="34" t="s">
        <v>3310</v>
      </c>
      <c r="C967" s="53" t="s">
        <v>97</v>
      </c>
      <c r="D967" s="53" t="s">
        <v>3311</v>
      </c>
      <c r="E967" s="53" t="s">
        <v>3312</v>
      </c>
      <c r="F967" s="81" t="s">
        <v>40</v>
      </c>
      <c r="G967" s="16" t="s">
        <v>3313</v>
      </c>
      <c r="H967" s="16" t="s">
        <v>3314</v>
      </c>
      <c r="I967" s="58" t="s">
        <v>2833</v>
      </c>
      <c r="J967" s="83" t="s">
        <v>72</v>
      </c>
      <c r="K967" s="59"/>
      <c r="L967" s="60"/>
    </row>
    <row r="968" spans="1:12">
      <c r="A968" s="41" t="s">
        <v>106</v>
      </c>
      <c r="B968" s="30" t="s">
        <v>3315</v>
      </c>
      <c r="C968" s="61" t="s">
        <v>108</v>
      </c>
      <c r="D968" s="61" t="s">
        <v>3316</v>
      </c>
      <c r="E968" s="61" t="s">
        <v>3317</v>
      </c>
      <c r="F968" s="77" t="s">
        <v>40</v>
      </c>
      <c r="G968" s="22" t="s">
        <v>3318</v>
      </c>
      <c r="H968" s="22" t="s">
        <v>3319</v>
      </c>
      <c r="I968" s="62" t="s">
        <v>3320</v>
      </c>
      <c r="J968" s="79" t="s">
        <v>72</v>
      </c>
      <c r="K968" s="63"/>
      <c r="L968" s="64"/>
    </row>
    <row r="969" spans="1:12">
      <c r="A969" s="42" t="s">
        <v>95</v>
      </c>
      <c r="B969" s="34" t="s">
        <v>3321</v>
      </c>
      <c r="C969" s="53" t="s">
        <v>113</v>
      </c>
      <c r="D969" s="53" t="s">
        <v>3322</v>
      </c>
      <c r="E969" s="53" t="s">
        <v>3323</v>
      </c>
      <c r="F969" s="81" t="s">
        <v>40</v>
      </c>
      <c r="G969" s="16" t="s">
        <v>3324</v>
      </c>
      <c r="H969" s="16" t="s">
        <v>3325</v>
      </c>
      <c r="I969" s="58" t="s">
        <v>3326</v>
      </c>
      <c r="J969" s="83" t="s">
        <v>72</v>
      </c>
      <c r="K969" s="59"/>
      <c r="L969" s="60"/>
    </row>
    <row r="970" spans="1:12">
      <c r="A970" s="41" t="s">
        <v>95</v>
      </c>
      <c r="B970" s="30" t="s">
        <v>3327</v>
      </c>
      <c r="C970" s="61" t="s">
        <v>113</v>
      </c>
      <c r="D970" s="61" t="s">
        <v>3328</v>
      </c>
      <c r="E970" s="61" t="s">
        <v>3329</v>
      </c>
      <c r="F970" s="77" t="s">
        <v>40</v>
      </c>
      <c r="G970" s="22" t="s">
        <v>3324</v>
      </c>
      <c r="H970" s="22" t="s">
        <v>3324</v>
      </c>
      <c r="I970" s="62" t="s">
        <v>2833</v>
      </c>
      <c r="J970" s="79" t="s">
        <v>72</v>
      </c>
      <c r="K970" s="63"/>
      <c r="L970" s="64"/>
    </row>
    <row r="971" spans="1:12">
      <c r="A971" s="42" t="s">
        <v>106</v>
      </c>
      <c r="B971" s="34" t="s">
        <v>3330</v>
      </c>
      <c r="C971" s="53" t="s">
        <v>333</v>
      </c>
      <c r="D971" s="53" t="s">
        <v>3331</v>
      </c>
      <c r="E971" s="53" t="s">
        <v>3332</v>
      </c>
      <c r="F971" s="81" t="s">
        <v>40</v>
      </c>
      <c r="G971" s="16" t="s">
        <v>3324</v>
      </c>
      <c r="H971" s="16" t="s">
        <v>3324</v>
      </c>
      <c r="I971" s="58" t="s">
        <v>3333</v>
      </c>
      <c r="J971" s="83" t="s">
        <v>72</v>
      </c>
      <c r="K971" s="59"/>
      <c r="L971" s="60"/>
    </row>
    <row r="972" spans="1:12">
      <c r="A972" s="19" t="s">
        <v>95</v>
      </c>
      <c r="B972" s="30" t="s">
        <v>3334</v>
      </c>
      <c r="C972" s="61" t="s">
        <v>113</v>
      </c>
      <c r="D972" s="21" t="s">
        <v>3335</v>
      </c>
      <c r="E972" s="21" t="s">
        <v>3336</v>
      </c>
      <c r="F972" s="61" t="s">
        <v>40</v>
      </c>
      <c r="G972" s="22" t="s">
        <v>3337</v>
      </c>
      <c r="H972" s="22" t="s">
        <v>3338</v>
      </c>
      <c r="I972" s="62" t="s">
        <v>866</v>
      </c>
      <c r="J972" s="63" t="s">
        <v>61</v>
      </c>
      <c r="K972" s="63"/>
      <c r="L972" s="64"/>
    </row>
    <row r="973" spans="1:12">
      <c r="A973" s="1" t="s">
        <v>20</v>
      </c>
      <c r="B973" s="14" t="s">
        <v>3339</v>
      </c>
      <c r="C973" s="81" t="s">
        <v>21</v>
      </c>
      <c r="D973" s="15" t="s">
        <v>3340</v>
      </c>
      <c r="E973" s="15" t="s">
        <v>3341</v>
      </c>
      <c r="F973" s="81" t="s">
        <v>40</v>
      </c>
      <c r="G973" s="16" t="s">
        <v>3342</v>
      </c>
      <c r="H973" s="16" t="s">
        <v>3343</v>
      </c>
      <c r="I973" s="82" t="s">
        <v>3344</v>
      </c>
      <c r="J973" s="83" t="s">
        <v>61</v>
      </c>
      <c r="K973" s="83"/>
      <c r="L973" s="84"/>
    </row>
    <row r="974" spans="1:12">
      <c r="A974" s="19" t="s">
        <v>20</v>
      </c>
      <c r="B974" s="20" t="s">
        <v>3345</v>
      </c>
      <c r="C974" s="77" t="s">
        <v>21</v>
      </c>
      <c r="D974" s="21" t="s">
        <v>3346</v>
      </c>
      <c r="E974" s="21" t="s">
        <v>3347</v>
      </c>
      <c r="F974" s="77" t="s">
        <v>40</v>
      </c>
      <c r="G974" s="22" t="s">
        <v>3343</v>
      </c>
      <c r="H974" s="22" t="s">
        <v>3348</v>
      </c>
      <c r="I974" s="78" t="s">
        <v>3344</v>
      </c>
      <c r="J974" s="79" t="s">
        <v>61</v>
      </c>
      <c r="K974" s="79"/>
      <c r="L974" s="80"/>
    </row>
    <row r="975" spans="1:12">
      <c r="A975" s="1" t="s">
        <v>95</v>
      </c>
      <c r="B975" s="14" t="s">
        <v>3349</v>
      </c>
      <c r="C975" s="81" t="s">
        <v>118</v>
      </c>
      <c r="D975" s="15" t="s">
        <v>3350</v>
      </c>
      <c r="E975" s="15" t="s">
        <v>3351</v>
      </c>
      <c r="F975" s="81" t="s">
        <v>40</v>
      </c>
      <c r="G975" s="16" t="s">
        <v>3352</v>
      </c>
      <c r="H975" s="16" t="s">
        <v>3353</v>
      </c>
      <c r="I975" s="82" t="s">
        <v>325</v>
      </c>
      <c r="J975" s="83" t="s">
        <v>61</v>
      </c>
      <c r="K975" s="83"/>
      <c r="L975" s="84"/>
    </row>
    <row r="976" spans="1:12">
      <c r="A976" s="19" t="s">
        <v>106</v>
      </c>
      <c r="B976" s="20" t="s">
        <v>3354</v>
      </c>
      <c r="C976" s="77" t="s">
        <v>108</v>
      </c>
      <c r="D976" s="21" t="s">
        <v>3355</v>
      </c>
      <c r="E976" s="21" t="s">
        <v>3356</v>
      </c>
      <c r="F976" s="77" t="s">
        <v>40</v>
      </c>
      <c r="G976" s="22" t="s">
        <v>3357</v>
      </c>
      <c r="H976" s="22" t="s">
        <v>3358</v>
      </c>
      <c r="I976" s="78" t="s">
        <v>3359</v>
      </c>
      <c r="J976" s="79" t="s">
        <v>61</v>
      </c>
      <c r="K976" s="79"/>
      <c r="L976" s="80"/>
    </row>
    <row r="977" spans="1:12">
      <c r="A977" s="1" t="s">
        <v>20</v>
      </c>
      <c r="B977" s="14" t="s">
        <v>3360</v>
      </c>
      <c r="C977" s="81" t="s">
        <v>21</v>
      </c>
      <c r="D977" s="15" t="s">
        <v>3361</v>
      </c>
      <c r="E977" s="15" t="s">
        <v>3362</v>
      </c>
      <c r="F977" s="81" t="s">
        <v>40</v>
      </c>
      <c r="G977" s="16" t="s">
        <v>3363</v>
      </c>
      <c r="H977" s="16" t="s">
        <v>3364</v>
      </c>
      <c r="I977" s="82" t="s">
        <v>3344</v>
      </c>
      <c r="J977" s="83" t="s">
        <v>61</v>
      </c>
      <c r="K977" s="83"/>
      <c r="L977" s="84"/>
    </row>
    <row r="978" spans="1:12">
      <c r="A978" s="19" t="s">
        <v>95</v>
      </c>
      <c r="B978" s="20" t="s">
        <v>3365</v>
      </c>
      <c r="C978" s="77" t="s">
        <v>97</v>
      </c>
      <c r="D978" s="77" t="s">
        <v>3366</v>
      </c>
      <c r="E978" s="77" t="s">
        <v>3367</v>
      </c>
      <c r="F978" s="77" t="s">
        <v>40</v>
      </c>
      <c r="G978" s="22" t="s">
        <v>3368</v>
      </c>
      <c r="H978" s="22" t="s">
        <v>3369</v>
      </c>
      <c r="I978" s="78" t="s">
        <v>187</v>
      </c>
      <c r="J978" s="79" t="s">
        <v>72</v>
      </c>
      <c r="K978" s="79"/>
      <c r="L978" s="80"/>
    </row>
    <row r="979" spans="1:12">
      <c r="A979" s="1" t="s">
        <v>20</v>
      </c>
      <c r="B979" s="14" t="s">
        <v>3370</v>
      </c>
      <c r="C979" s="81" t="s">
        <v>13</v>
      </c>
      <c r="D979" s="81" t="s">
        <v>3371</v>
      </c>
      <c r="E979" s="81" t="s">
        <v>3372</v>
      </c>
      <c r="F979" s="81" t="s">
        <v>40</v>
      </c>
      <c r="G979" s="16" t="s">
        <v>3373</v>
      </c>
      <c r="H979" s="16" t="s">
        <v>3374</v>
      </c>
      <c r="I979" s="82" t="s">
        <v>17</v>
      </c>
      <c r="J979" s="83" t="s">
        <v>72</v>
      </c>
      <c r="K979" s="83"/>
      <c r="L979" s="84"/>
    </row>
    <row r="980" spans="1:12">
      <c r="A980" s="19" t="s">
        <v>20</v>
      </c>
      <c r="B980" s="20" t="s">
        <v>3375</v>
      </c>
      <c r="C980" s="77" t="s">
        <v>49</v>
      </c>
      <c r="D980" s="77" t="s">
        <v>3376</v>
      </c>
      <c r="E980" s="77" t="s">
        <v>3377</v>
      </c>
      <c r="F980" s="77" t="s">
        <v>40</v>
      </c>
      <c r="G980" s="22" t="s">
        <v>3378</v>
      </c>
      <c r="H980" s="22" t="s">
        <v>3378</v>
      </c>
      <c r="I980" s="78" t="s">
        <v>32</v>
      </c>
      <c r="J980" s="79" t="s">
        <v>72</v>
      </c>
      <c r="K980" s="79"/>
      <c r="L980" s="80"/>
    </row>
    <row r="981" spans="1:12">
      <c r="A981" s="1" t="s">
        <v>106</v>
      </c>
      <c r="B981" s="14" t="s">
        <v>3379</v>
      </c>
      <c r="C981" s="81" t="s">
        <v>108</v>
      </c>
      <c r="D981" s="81" t="s">
        <v>2838</v>
      </c>
      <c r="E981" s="81" t="s">
        <v>2839</v>
      </c>
      <c r="F981" s="81" t="s">
        <v>40</v>
      </c>
      <c r="G981" s="16" t="s">
        <v>3380</v>
      </c>
      <c r="H981" s="16" t="s">
        <v>3381</v>
      </c>
      <c r="I981" s="82" t="s">
        <v>32</v>
      </c>
      <c r="J981" s="83" t="s">
        <v>72</v>
      </c>
      <c r="K981" s="83"/>
      <c r="L981" s="84"/>
    </row>
    <row r="982" spans="1:12">
      <c r="A982" s="19" t="s">
        <v>106</v>
      </c>
      <c r="B982" s="20" t="s">
        <v>3382</v>
      </c>
      <c r="C982" s="77" t="s">
        <v>313</v>
      </c>
      <c r="D982" s="77" t="s">
        <v>3383</v>
      </c>
      <c r="E982" s="21" t="s">
        <v>3384</v>
      </c>
      <c r="F982" s="77" t="s">
        <v>214</v>
      </c>
      <c r="G982" s="22" t="s">
        <v>3385</v>
      </c>
      <c r="H982" s="22"/>
      <c r="I982" s="78" t="s">
        <v>3386</v>
      </c>
      <c r="J982" s="79" t="s">
        <v>72</v>
      </c>
      <c r="K982" s="79"/>
      <c r="L982" s="80"/>
    </row>
    <row r="983" spans="1:12">
      <c r="A983" s="1" t="s">
        <v>20</v>
      </c>
      <c r="B983" s="14" t="s">
        <v>3387</v>
      </c>
      <c r="C983" s="81" t="s">
        <v>13</v>
      </c>
      <c r="D983" s="15" t="s">
        <v>3388</v>
      </c>
      <c r="E983" s="15" t="s">
        <v>3389</v>
      </c>
      <c r="F983" s="81" t="s">
        <v>40</v>
      </c>
      <c r="G983" s="16" t="s">
        <v>3390</v>
      </c>
      <c r="H983" s="16" t="s">
        <v>3391</v>
      </c>
      <c r="I983" s="82" t="s">
        <v>2902</v>
      </c>
      <c r="J983" s="83" t="s">
        <v>61</v>
      </c>
      <c r="K983" s="83"/>
      <c r="L983" s="84"/>
    </row>
    <row r="984" spans="1:12">
      <c r="A984" s="41" t="s">
        <v>20</v>
      </c>
      <c r="B984" s="20" t="s">
        <v>3392</v>
      </c>
      <c r="C984" s="77" t="s">
        <v>21</v>
      </c>
      <c r="D984" s="21" t="s">
        <v>3393</v>
      </c>
      <c r="E984" s="21" t="s">
        <v>3394</v>
      </c>
      <c r="F984" s="77" t="s">
        <v>40</v>
      </c>
      <c r="G984" s="22" t="s">
        <v>3395</v>
      </c>
      <c r="H984" s="22" t="s">
        <v>3396</v>
      </c>
      <c r="I984" s="78" t="s">
        <v>3397</v>
      </c>
      <c r="J984" s="79" t="s">
        <v>61</v>
      </c>
      <c r="K984" s="79"/>
      <c r="L984" s="80"/>
    </row>
    <row r="985" spans="1:12">
      <c r="A985" s="42" t="s">
        <v>20</v>
      </c>
      <c r="B985" s="14" t="s">
        <v>3398</v>
      </c>
      <c r="C985" s="81" t="s">
        <v>21</v>
      </c>
      <c r="D985" s="15" t="s">
        <v>3399</v>
      </c>
      <c r="E985" s="15" t="s">
        <v>3394</v>
      </c>
      <c r="F985" s="81" t="s">
        <v>40</v>
      </c>
      <c r="G985" s="16" t="s">
        <v>3395</v>
      </c>
      <c r="H985" s="16" t="s">
        <v>3396</v>
      </c>
      <c r="I985" s="82" t="s">
        <v>3397</v>
      </c>
      <c r="J985" s="83" t="s">
        <v>61</v>
      </c>
      <c r="K985" s="59"/>
      <c r="L985" s="60"/>
    </row>
    <row r="986" spans="1:12">
      <c r="A986" s="41" t="s">
        <v>20</v>
      </c>
      <c r="B986" s="20" t="s">
        <v>3400</v>
      </c>
      <c r="C986" s="77" t="s">
        <v>21</v>
      </c>
      <c r="D986" s="21" t="s">
        <v>3401</v>
      </c>
      <c r="E986" s="21" t="s">
        <v>3394</v>
      </c>
      <c r="F986" s="77" t="s">
        <v>40</v>
      </c>
      <c r="G986" s="22" t="s">
        <v>3395</v>
      </c>
      <c r="H986" s="22" t="s">
        <v>3396</v>
      </c>
      <c r="I986" s="78" t="s">
        <v>3397</v>
      </c>
      <c r="J986" s="79" t="s">
        <v>61</v>
      </c>
      <c r="K986" s="79"/>
      <c r="L986" s="80"/>
    </row>
    <row r="987" spans="1:12">
      <c r="A987" s="1" t="s">
        <v>106</v>
      </c>
      <c r="B987" s="14" t="s">
        <v>3402</v>
      </c>
      <c r="C987" s="81" t="s">
        <v>78</v>
      </c>
      <c r="D987" s="81" t="s">
        <v>3403</v>
      </c>
      <c r="E987" s="81" t="s">
        <v>3404</v>
      </c>
      <c r="F987" s="81" t="s">
        <v>40</v>
      </c>
      <c r="G987" s="16" t="s">
        <v>3405</v>
      </c>
      <c r="H987" s="16" t="s">
        <v>3406</v>
      </c>
      <c r="I987" s="82" t="s">
        <v>258</v>
      </c>
      <c r="J987" s="83" t="s">
        <v>72</v>
      </c>
      <c r="K987" s="83"/>
      <c r="L987" s="84"/>
    </row>
    <row r="988" spans="1:12">
      <c r="A988" s="19" t="s">
        <v>106</v>
      </c>
      <c r="B988" s="20" t="s">
        <v>3407</v>
      </c>
      <c r="C988" s="77" t="s">
        <v>108</v>
      </c>
      <c r="D988" s="77" t="s">
        <v>3408</v>
      </c>
      <c r="E988" s="77" t="s">
        <v>3409</v>
      </c>
      <c r="F988" s="77" t="s">
        <v>40</v>
      </c>
      <c r="G988" s="22" t="s">
        <v>3410</v>
      </c>
      <c r="H988" s="22" t="s">
        <v>3411</v>
      </c>
      <c r="I988" s="78" t="s">
        <v>946</v>
      </c>
      <c r="J988" s="79" t="s">
        <v>72</v>
      </c>
      <c r="K988" s="79"/>
      <c r="L988" s="80"/>
    </row>
    <row r="989" spans="1:12">
      <c r="A989" s="1" t="s">
        <v>106</v>
      </c>
      <c r="B989" s="14" t="s">
        <v>3412</v>
      </c>
      <c r="C989" s="81" t="s">
        <v>108</v>
      </c>
      <c r="D989" s="81" t="s">
        <v>2838</v>
      </c>
      <c r="E989" s="81" t="s">
        <v>2839</v>
      </c>
      <c r="F989" s="81"/>
      <c r="G989" s="16" t="s">
        <v>3413</v>
      </c>
      <c r="H989" s="16" t="s">
        <v>3414</v>
      </c>
      <c r="I989" s="82" t="s">
        <v>32</v>
      </c>
      <c r="J989" s="83" t="s">
        <v>72</v>
      </c>
      <c r="K989" s="83"/>
      <c r="L989" s="84"/>
    </row>
    <row r="990" spans="1:12">
      <c r="A990" s="19" t="s">
        <v>95</v>
      </c>
      <c r="B990" s="20" t="s">
        <v>3415</v>
      </c>
      <c r="C990" s="77" t="s">
        <v>113</v>
      </c>
      <c r="D990" s="77" t="s">
        <v>3416</v>
      </c>
      <c r="E990" s="77" t="s">
        <v>3417</v>
      </c>
      <c r="F990" s="77" t="s">
        <v>40</v>
      </c>
      <c r="G990" s="22" t="s">
        <v>3418</v>
      </c>
      <c r="H990" s="22" t="s">
        <v>3419</v>
      </c>
      <c r="I990" s="78" t="s">
        <v>32</v>
      </c>
      <c r="J990" s="79" t="s">
        <v>88</v>
      </c>
      <c r="K990" s="79"/>
      <c r="L990" s="80"/>
    </row>
    <row r="991" spans="1:12">
      <c r="A991" s="42" t="s">
        <v>20</v>
      </c>
      <c r="B991" s="14" t="s">
        <v>3420</v>
      </c>
      <c r="C991" s="81" t="s">
        <v>13</v>
      </c>
      <c r="D991" s="81" t="s">
        <v>2094</v>
      </c>
      <c r="E991" s="81" t="s">
        <v>3421</v>
      </c>
      <c r="F991" s="81" t="s">
        <v>40</v>
      </c>
      <c r="G991" s="16" t="s">
        <v>3422</v>
      </c>
      <c r="H991" s="16" t="s">
        <v>3423</v>
      </c>
      <c r="I991" s="82" t="s">
        <v>3047</v>
      </c>
      <c r="J991" s="83" t="s">
        <v>88</v>
      </c>
      <c r="K991" s="83"/>
      <c r="L991" s="84"/>
    </row>
    <row r="992" spans="1:12">
      <c r="A992" s="41" t="s">
        <v>95</v>
      </c>
      <c r="B992" s="30" t="s">
        <v>3424</v>
      </c>
      <c r="C992" s="61" t="s">
        <v>97</v>
      </c>
      <c r="D992" s="61" t="s">
        <v>3425</v>
      </c>
      <c r="E992" s="61" t="s">
        <v>3426</v>
      </c>
      <c r="F992" s="61" t="s">
        <v>40</v>
      </c>
      <c r="G992" s="22" t="s">
        <v>3427</v>
      </c>
      <c r="H992" s="22" t="s">
        <v>3428</v>
      </c>
      <c r="I992" s="62" t="s">
        <v>3429</v>
      </c>
      <c r="J992" s="63" t="s">
        <v>88</v>
      </c>
      <c r="K992" s="63"/>
      <c r="L992" s="64"/>
    </row>
    <row r="993" spans="1:12">
      <c r="A993" s="42" t="s">
        <v>106</v>
      </c>
      <c r="B993" s="34" t="s">
        <v>3430</v>
      </c>
      <c r="C993" s="53" t="s">
        <v>108</v>
      </c>
      <c r="D993" s="53" t="s">
        <v>2340</v>
      </c>
      <c r="E993" s="53" t="s">
        <v>3431</v>
      </c>
      <c r="F993" s="53" t="s">
        <v>40</v>
      </c>
      <c r="G993" s="16" t="s">
        <v>3432</v>
      </c>
      <c r="H993" s="16" t="s">
        <v>3433</v>
      </c>
      <c r="I993" s="58" t="s">
        <v>32</v>
      </c>
      <c r="J993" s="59" t="s">
        <v>88</v>
      </c>
      <c r="K993" s="59"/>
      <c r="L993" s="60"/>
    </row>
    <row r="994" spans="1:12">
      <c r="A994" s="41" t="s">
        <v>106</v>
      </c>
      <c r="B994" s="30" t="s">
        <v>3434</v>
      </c>
      <c r="C994" s="61" t="s">
        <v>333</v>
      </c>
      <c r="D994" s="61" t="s">
        <v>3435</v>
      </c>
      <c r="E994" s="61" t="s">
        <v>3436</v>
      </c>
      <c r="F994" s="61" t="s">
        <v>40</v>
      </c>
      <c r="G994" s="22" t="s">
        <v>3437</v>
      </c>
      <c r="H994" s="22" t="s">
        <v>3438</v>
      </c>
      <c r="I994" s="62" t="s">
        <v>3439</v>
      </c>
      <c r="J994" s="63" t="s">
        <v>88</v>
      </c>
      <c r="K994" s="63"/>
      <c r="L994" s="64"/>
    </row>
    <row r="995" spans="1:12">
      <c r="A995" s="42" t="s">
        <v>106</v>
      </c>
      <c r="B995" s="34" t="s">
        <v>3440</v>
      </c>
      <c r="C995" s="53" t="s">
        <v>313</v>
      </c>
      <c r="D995" s="53" t="s">
        <v>3441</v>
      </c>
      <c r="E995" s="53" t="s">
        <v>3442</v>
      </c>
      <c r="F995" s="53" t="s">
        <v>40</v>
      </c>
      <c r="G995" s="16" t="s">
        <v>3443</v>
      </c>
      <c r="H995" s="16" t="s">
        <v>3444</v>
      </c>
      <c r="I995" s="58" t="s">
        <v>32</v>
      </c>
      <c r="J995" s="59" t="s">
        <v>94</v>
      </c>
      <c r="K995" s="59"/>
      <c r="L995" s="60"/>
    </row>
    <row r="996" spans="1:12">
      <c r="A996" s="41" t="s">
        <v>106</v>
      </c>
      <c r="B996" s="30" t="s">
        <v>3445</v>
      </c>
      <c r="C996" s="61" t="s">
        <v>108</v>
      </c>
      <c r="D996" s="61" t="s">
        <v>3446</v>
      </c>
      <c r="E996" s="61" t="s">
        <v>3442</v>
      </c>
      <c r="F996" s="61" t="s">
        <v>40</v>
      </c>
      <c r="G996" s="22" t="s">
        <v>3443</v>
      </c>
      <c r="H996" s="22" t="s">
        <v>3444</v>
      </c>
      <c r="I996" s="62" t="s">
        <v>32</v>
      </c>
      <c r="J996" s="63" t="s">
        <v>94</v>
      </c>
      <c r="K996" s="63"/>
      <c r="L996" s="64"/>
    </row>
    <row r="997" spans="1:12">
      <c r="A997" s="42" t="s">
        <v>106</v>
      </c>
      <c r="B997" s="34" t="s">
        <v>3447</v>
      </c>
      <c r="C997" s="53" t="s">
        <v>108</v>
      </c>
      <c r="D997" s="53" t="s">
        <v>3448</v>
      </c>
      <c r="E997" s="53" t="s">
        <v>3449</v>
      </c>
      <c r="F997" s="53" t="s">
        <v>40</v>
      </c>
      <c r="G997" s="16" t="s">
        <v>3450</v>
      </c>
      <c r="H997" s="16" t="s">
        <v>3451</v>
      </c>
      <c r="I997" s="58" t="s">
        <v>32</v>
      </c>
      <c r="J997" s="59" t="s">
        <v>94</v>
      </c>
      <c r="K997" s="59"/>
      <c r="L997" s="60"/>
    </row>
    <row r="998" spans="1:12">
      <c r="A998" s="19" t="s">
        <v>106</v>
      </c>
      <c r="B998" s="30" t="s">
        <v>3452</v>
      </c>
      <c r="C998" s="61" t="s">
        <v>333</v>
      </c>
      <c r="D998" s="61" t="s">
        <v>3453</v>
      </c>
      <c r="E998" s="61" t="s">
        <v>3454</v>
      </c>
      <c r="F998" s="61" t="s">
        <v>40</v>
      </c>
      <c r="G998" s="22" t="s">
        <v>3455</v>
      </c>
      <c r="H998" s="22" t="s">
        <v>3456</v>
      </c>
      <c r="I998" s="62" t="s">
        <v>346</v>
      </c>
      <c r="J998" s="63" t="s">
        <v>94</v>
      </c>
      <c r="K998" s="63"/>
      <c r="L998" s="64"/>
    </row>
    <row r="999" spans="1:12">
      <c r="A999" s="1" t="s">
        <v>106</v>
      </c>
      <c r="B999" s="34" t="s">
        <v>3457</v>
      </c>
      <c r="C999" s="53" t="s">
        <v>380</v>
      </c>
      <c r="D999" s="53" t="s">
        <v>3458</v>
      </c>
      <c r="E999" s="53" t="s">
        <v>3459</v>
      </c>
      <c r="F999" s="53" t="s">
        <v>40</v>
      </c>
      <c r="G999" s="16" t="s">
        <v>3460</v>
      </c>
      <c r="H999" s="16" t="s">
        <v>3461</v>
      </c>
      <c r="I999" s="58" t="s">
        <v>2951</v>
      </c>
      <c r="J999" s="59" t="s">
        <v>88</v>
      </c>
      <c r="K999" s="59"/>
      <c r="L999" s="60"/>
    </row>
    <row r="1000" spans="1:12">
      <c r="A1000" s="41" t="s">
        <v>106</v>
      </c>
      <c r="B1000" s="30" t="s">
        <v>3462</v>
      </c>
      <c r="C1000" s="61" t="s">
        <v>108</v>
      </c>
      <c r="D1000" s="61" t="s">
        <v>3463</v>
      </c>
      <c r="E1000" s="61" t="s">
        <v>3464</v>
      </c>
      <c r="F1000" s="61" t="s">
        <v>40</v>
      </c>
      <c r="G1000" s="22" t="s">
        <v>3465</v>
      </c>
      <c r="H1000" s="22" t="s">
        <v>3466</v>
      </c>
      <c r="I1000" s="62" t="s">
        <v>3467</v>
      </c>
      <c r="J1000" s="63" t="s">
        <v>88</v>
      </c>
      <c r="K1000" s="63"/>
      <c r="L1000" s="64"/>
    </row>
    <row r="1001" spans="1:12">
      <c r="A1001" s="42" t="s">
        <v>95</v>
      </c>
      <c r="B1001" s="34" t="s">
        <v>3468</v>
      </c>
      <c r="C1001" s="53" t="s">
        <v>97</v>
      </c>
      <c r="D1001" s="53" t="s">
        <v>3469</v>
      </c>
      <c r="E1001" s="53" t="s">
        <v>3470</v>
      </c>
      <c r="F1001" s="53" t="s">
        <v>40</v>
      </c>
      <c r="G1001" s="16" t="s">
        <v>3471</v>
      </c>
      <c r="H1001" s="16" t="s">
        <v>3472</v>
      </c>
      <c r="I1001" s="58" t="s">
        <v>1251</v>
      </c>
      <c r="J1001" s="59" t="s">
        <v>88</v>
      </c>
      <c r="K1001" s="59"/>
      <c r="L1001" s="60"/>
    </row>
    <row r="1002" spans="1:12">
      <c r="A1002" s="41" t="s">
        <v>95</v>
      </c>
      <c r="B1002" s="30" t="s">
        <v>3473</v>
      </c>
      <c r="C1002" s="61" t="s">
        <v>97</v>
      </c>
      <c r="D1002" s="61" t="s">
        <v>3474</v>
      </c>
      <c r="E1002" s="61" t="s">
        <v>3475</v>
      </c>
      <c r="F1002" s="61" t="s">
        <v>40</v>
      </c>
      <c r="G1002" s="22" t="s">
        <v>3476</v>
      </c>
      <c r="H1002" s="22" t="s">
        <v>3477</v>
      </c>
      <c r="I1002" s="62" t="s">
        <v>2951</v>
      </c>
      <c r="J1002" s="63" t="s">
        <v>94</v>
      </c>
      <c r="K1002" s="63"/>
      <c r="L1002" s="64"/>
    </row>
    <row r="1003" spans="1:12">
      <c r="A1003" s="42" t="s">
        <v>106</v>
      </c>
      <c r="B1003" s="34" t="s">
        <v>3478</v>
      </c>
      <c r="C1003" s="53" t="s">
        <v>78</v>
      </c>
      <c r="D1003" s="53" t="s">
        <v>3479</v>
      </c>
      <c r="E1003" s="53" t="s">
        <v>3480</v>
      </c>
      <c r="F1003" s="53" t="s">
        <v>40</v>
      </c>
      <c r="G1003" s="16" t="s">
        <v>3477</v>
      </c>
      <c r="H1003" s="16" t="s">
        <v>3481</v>
      </c>
      <c r="I1003" s="58" t="s">
        <v>2951</v>
      </c>
      <c r="J1003" s="59" t="s">
        <v>94</v>
      </c>
      <c r="K1003" s="59"/>
      <c r="L1003" s="60"/>
    </row>
    <row r="1004" spans="1:12">
      <c r="A1004" s="19" t="s">
        <v>20</v>
      </c>
      <c r="B1004" s="30" t="s">
        <v>3482</v>
      </c>
      <c r="C1004" s="61" t="s">
        <v>21</v>
      </c>
      <c r="D1004" s="61" t="s">
        <v>3483</v>
      </c>
      <c r="E1004" s="61" t="s">
        <v>3484</v>
      </c>
      <c r="F1004" s="61" t="s">
        <v>40</v>
      </c>
      <c r="G1004" s="22" t="s">
        <v>3485</v>
      </c>
      <c r="H1004" s="22" t="s">
        <v>3486</v>
      </c>
      <c r="I1004" s="62" t="s">
        <v>3487</v>
      </c>
      <c r="J1004" s="63" t="s">
        <v>94</v>
      </c>
      <c r="K1004" s="63"/>
      <c r="L1004" s="64"/>
    </row>
    <row r="1005" spans="1:12">
      <c r="A1005" s="1" t="s">
        <v>106</v>
      </c>
      <c r="B1005" s="34" t="s">
        <v>3488</v>
      </c>
      <c r="C1005" s="53" t="s">
        <v>333</v>
      </c>
      <c r="D1005" s="53" t="s">
        <v>3489</v>
      </c>
      <c r="E1005" s="53" t="s">
        <v>3490</v>
      </c>
      <c r="F1005" s="53" t="s">
        <v>40</v>
      </c>
      <c r="G1005" s="16" t="s">
        <v>3491</v>
      </c>
      <c r="H1005" s="16" t="s">
        <v>3492</v>
      </c>
      <c r="I1005" s="58" t="s">
        <v>2646</v>
      </c>
      <c r="J1005" s="59" t="s">
        <v>94</v>
      </c>
      <c r="K1005" s="59"/>
      <c r="L1005" s="60"/>
    </row>
    <row r="1006" spans="1:12">
      <c r="A1006" s="19" t="s">
        <v>106</v>
      </c>
      <c r="B1006" s="30" t="s">
        <v>3493</v>
      </c>
      <c r="C1006" s="61" t="s">
        <v>37</v>
      </c>
      <c r="D1006" s="61" t="s">
        <v>3494</v>
      </c>
      <c r="E1006" s="61" t="s">
        <v>3495</v>
      </c>
      <c r="F1006" s="61" t="s">
        <v>40</v>
      </c>
      <c r="G1006" s="22" t="s">
        <v>3496</v>
      </c>
      <c r="H1006" s="22" t="s">
        <v>3497</v>
      </c>
      <c r="I1006" s="62" t="s">
        <v>3498</v>
      </c>
      <c r="J1006" s="63" t="s">
        <v>94</v>
      </c>
      <c r="K1006" s="63"/>
      <c r="L1006" s="64"/>
    </row>
    <row r="1007" spans="1:12">
      <c r="A1007" s="42" t="s">
        <v>20</v>
      </c>
      <c r="B1007" s="34" t="s">
        <v>3499</v>
      </c>
      <c r="C1007" s="53" t="s">
        <v>21</v>
      </c>
      <c r="D1007" s="53" t="s">
        <v>3500</v>
      </c>
      <c r="E1007" s="53" t="s">
        <v>3501</v>
      </c>
      <c r="F1007" s="53" t="s">
        <v>40</v>
      </c>
      <c r="G1007" s="16" t="s">
        <v>3502</v>
      </c>
      <c r="H1007" s="16" t="s">
        <v>3503</v>
      </c>
      <c r="I1007" s="58" t="s">
        <v>3504</v>
      </c>
      <c r="J1007" s="59" t="s">
        <v>94</v>
      </c>
      <c r="K1007" s="59"/>
      <c r="L1007" s="60"/>
    </row>
    <row r="1008" spans="1:12">
      <c r="A1008" s="41" t="s">
        <v>106</v>
      </c>
      <c r="B1008" s="30" t="s">
        <v>3505</v>
      </c>
      <c r="C1008" s="61" t="s">
        <v>108</v>
      </c>
      <c r="D1008" s="61" t="s">
        <v>3506</v>
      </c>
      <c r="E1008" s="61" t="s">
        <v>3507</v>
      </c>
      <c r="F1008" s="61" t="s">
        <v>214</v>
      </c>
      <c r="G1008" s="22" t="s">
        <v>3508</v>
      </c>
      <c r="H1008" s="22" t="s">
        <v>3509</v>
      </c>
      <c r="I1008" s="62" t="s">
        <v>3510</v>
      </c>
      <c r="J1008" s="63" t="s">
        <v>94</v>
      </c>
      <c r="K1008" s="63"/>
      <c r="L1008" s="64"/>
    </row>
    <row r="1009" spans="1:12">
      <c r="A1009" s="42" t="s">
        <v>106</v>
      </c>
      <c r="B1009" s="34" t="s">
        <v>3511</v>
      </c>
      <c r="C1009" s="53" t="s">
        <v>108</v>
      </c>
      <c r="D1009" s="53" t="s">
        <v>3512</v>
      </c>
      <c r="E1009" s="53" t="s">
        <v>3513</v>
      </c>
      <c r="F1009" s="53" t="s">
        <v>40</v>
      </c>
      <c r="G1009" s="16" t="s">
        <v>3514</v>
      </c>
      <c r="H1009" s="16" t="s">
        <v>3515</v>
      </c>
      <c r="I1009" s="58" t="s">
        <v>3516</v>
      </c>
      <c r="J1009" s="59" t="s">
        <v>88</v>
      </c>
      <c r="K1009" s="59"/>
      <c r="L1009" s="60"/>
    </row>
    <row r="1010" spans="1:12">
      <c r="A1010" s="41" t="s">
        <v>106</v>
      </c>
      <c r="B1010" s="30" t="s">
        <v>3517</v>
      </c>
      <c r="C1010" s="61" t="s">
        <v>37</v>
      </c>
      <c r="D1010" s="61" t="s">
        <v>3518</v>
      </c>
      <c r="E1010" s="61" t="s">
        <v>3519</v>
      </c>
      <c r="F1010" s="61" t="s">
        <v>40</v>
      </c>
      <c r="G1010" s="22" t="s">
        <v>3520</v>
      </c>
      <c r="H1010" s="22" t="s">
        <v>3521</v>
      </c>
      <c r="I1010" s="62" t="s">
        <v>3498</v>
      </c>
      <c r="J1010" s="63" t="s">
        <v>94</v>
      </c>
      <c r="K1010" s="63"/>
      <c r="L1010" s="64"/>
    </row>
    <row r="1011" spans="1:12">
      <c r="A1011" s="1" t="s">
        <v>106</v>
      </c>
      <c r="B1011" s="34" t="s">
        <v>3522</v>
      </c>
      <c r="C1011" s="53" t="s">
        <v>333</v>
      </c>
      <c r="D1011" s="53" t="s">
        <v>3523</v>
      </c>
      <c r="E1011" s="53" t="s">
        <v>3524</v>
      </c>
      <c r="F1011" s="53" t="s">
        <v>40</v>
      </c>
      <c r="G1011" s="16" t="s">
        <v>3525</v>
      </c>
      <c r="H1011" s="16" t="s">
        <v>3526</v>
      </c>
      <c r="I1011" s="58" t="s">
        <v>3093</v>
      </c>
      <c r="J1011" s="59" t="s">
        <v>94</v>
      </c>
      <c r="K1011" s="59"/>
      <c r="L1011" s="60"/>
    </row>
    <row r="1012" spans="1:12">
      <c r="A1012" s="19" t="s">
        <v>20</v>
      </c>
      <c r="B1012" s="30" t="s">
        <v>3527</v>
      </c>
      <c r="C1012" s="61" t="s">
        <v>21</v>
      </c>
      <c r="D1012" s="61" t="s">
        <v>3528</v>
      </c>
      <c r="E1012" s="61" t="s">
        <v>3529</v>
      </c>
      <c r="F1012" s="61" t="s">
        <v>40</v>
      </c>
      <c r="G1012" s="22" t="s">
        <v>3530</v>
      </c>
      <c r="H1012" s="22" t="s">
        <v>3531</v>
      </c>
      <c r="I1012" s="62" t="s">
        <v>3532</v>
      </c>
      <c r="J1012" s="63" t="s">
        <v>94</v>
      </c>
      <c r="K1012" s="63"/>
      <c r="L1012" s="64"/>
    </row>
    <row r="1013" spans="1:12">
      <c r="A1013" s="42" t="s">
        <v>20</v>
      </c>
      <c r="B1013" s="34" t="s">
        <v>3533</v>
      </c>
      <c r="C1013" s="53" t="s">
        <v>21</v>
      </c>
      <c r="D1013" s="53" t="s">
        <v>3534</v>
      </c>
      <c r="E1013" s="53" t="s">
        <v>3535</v>
      </c>
      <c r="F1013" s="53" t="s">
        <v>40</v>
      </c>
      <c r="G1013" s="16" t="s">
        <v>3536</v>
      </c>
      <c r="H1013" s="16" t="s">
        <v>3537</v>
      </c>
      <c r="I1013" s="58" t="s">
        <v>3538</v>
      </c>
      <c r="J1013" s="59" t="s">
        <v>94</v>
      </c>
      <c r="K1013" s="59"/>
      <c r="L1013" s="60"/>
    </row>
    <row r="1014" spans="1:12">
      <c r="A1014" s="19" t="s">
        <v>106</v>
      </c>
      <c r="B1014" s="30" t="s">
        <v>3539</v>
      </c>
      <c r="C1014" s="61" t="s">
        <v>108</v>
      </c>
      <c r="D1014" s="61" t="s">
        <v>2626</v>
      </c>
      <c r="E1014" s="61" t="s">
        <v>3540</v>
      </c>
      <c r="F1014" s="61" t="s">
        <v>40</v>
      </c>
      <c r="G1014" s="22" t="s">
        <v>3541</v>
      </c>
      <c r="H1014" s="22" t="s">
        <v>3542</v>
      </c>
      <c r="I1014" s="62" t="s">
        <v>2585</v>
      </c>
      <c r="J1014" s="63" t="s">
        <v>88</v>
      </c>
      <c r="K1014" s="63"/>
      <c r="L1014" s="64"/>
    </row>
    <row r="1015" spans="1:12">
      <c r="A1015" s="42" t="s">
        <v>95</v>
      </c>
      <c r="B1015" s="34" t="s">
        <v>3543</v>
      </c>
      <c r="C1015" s="53" t="s">
        <v>97</v>
      </c>
      <c r="D1015" s="53" t="s">
        <v>2684</v>
      </c>
      <c r="E1015" s="53" t="s">
        <v>3544</v>
      </c>
      <c r="F1015" s="53" t="s">
        <v>40</v>
      </c>
      <c r="G1015" s="16" t="s">
        <v>3545</v>
      </c>
      <c r="H1015" s="16" t="s">
        <v>3546</v>
      </c>
      <c r="I1015" s="58" t="s">
        <v>2585</v>
      </c>
      <c r="J1015" s="59" t="s">
        <v>88</v>
      </c>
      <c r="K1015" s="59"/>
      <c r="L1015" s="60"/>
    </row>
    <row r="1016" spans="1:12">
      <c r="A1016" s="41" t="s">
        <v>95</v>
      </c>
      <c r="B1016" s="30" t="s">
        <v>3547</v>
      </c>
      <c r="C1016" s="61" t="s">
        <v>118</v>
      </c>
      <c r="D1016" s="61" t="s">
        <v>3548</v>
      </c>
      <c r="E1016" s="61" t="s">
        <v>3549</v>
      </c>
      <c r="F1016" s="61" t="s">
        <v>40</v>
      </c>
      <c r="G1016" s="22" t="s">
        <v>3550</v>
      </c>
      <c r="H1016" s="22" t="s">
        <v>3551</v>
      </c>
      <c r="I1016" s="62" t="s">
        <v>3552</v>
      </c>
      <c r="J1016" s="63" t="s">
        <v>88</v>
      </c>
      <c r="K1016" s="63"/>
      <c r="L1016" s="64"/>
    </row>
    <row r="1017" spans="1:12">
      <c r="A1017" s="42" t="s">
        <v>20</v>
      </c>
      <c r="B1017" s="34" t="s">
        <v>3553</v>
      </c>
      <c r="C1017" s="53" t="s">
        <v>13</v>
      </c>
      <c r="D1017" s="53" t="s">
        <v>3554</v>
      </c>
      <c r="E1017" s="53" t="s">
        <v>3555</v>
      </c>
      <c r="F1017" s="53" t="s">
        <v>40</v>
      </c>
      <c r="G1017" s="16" t="s">
        <v>3556</v>
      </c>
      <c r="H1017" s="16" t="s">
        <v>3557</v>
      </c>
      <c r="I1017" s="58" t="s">
        <v>3047</v>
      </c>
      <c r="J1017" s="59" t="s">
        <v>88</v>
      </c>
      <c r="K1017" s="59"/>
      <c r="L1017" s="60"/>
    </row>
    <row r="1018" spans="1:12">
      <c r="A1018" s="41" t="s">
        <v>106</v>
      </c>
      <c r="B1018" s="30" t="s">
        <v>3558</v>
      </c>
      <c r="C1018" s="61" t="s">
        <v>108</v>
      </c>
      <c r="D1018" s="61" t="s">
        <v>3559</v>
      </c>
      <c r="E1018" s="61" t="s">
        <v>3560</v>
      </c>
      <c r="F1018" s="61" t="s">
        <v>40</v>
      </c>
      <c r="G1018" s="22" t="s">
        <v>3561</v>
      </c>
      <c r="H1018" s="22" t="s">
        <v>3562</v>
      </c>
      <c r="I1018" s="62" t="s">
        <v>2951</v>
      </c>
      <c r="J1018" s="63" t="s">
        <v>94</v>
      </c>
      <c r="K1018" s="63"/>
      <c r="L1018" s="64"/>
    </row>
    <row r="1019" spans="1:12">
      <c r="A1019" s="42" t="s">
        <v>95</v>
      </c>
      <c r="B1019" s="34" t="s">
        <v>3563</v>
      </c>
      <c r="C1019" s="53" t="s">
        <v>118</v>
      </c>
      <c r="D1019" s="53" t="s">
        <v>3564</v>
      </c>
      <c r="E1019" s="53" t="s">
        <v>3565</v>
      </c>
      <c r="F1019" s="53" t="s">
        <v>40</v>
      </c>
      <c r="G1019" s="16" t="s">
        <v>3566</v>
      </c>
      <c r="H1019" s="16" t="s">
        <v>3567</v>
      </c>
      <c r="I1019" s="58" t="s">
        <v>2951</v>
      </c>
      <c r="J1019" s="59" t="s">
        <v>94</v>
      </c>
      <c r="K1019" s="59"/>
      <c r="L1019" s="60"/>
    </row>
    <row r="1020" spans="1:12">
      <c r="A1020" s="41" t="s">
        <v>106</v>
      </c>
      <c r="B1020" s="30" t="s">
        <v>3568</v>
      </c>
      <c r="C1020" s="61" t="s">
        <v>37</v>
      </c>
      <c r="D1020" s="61" t="s">
        <v>3569</v>
      </c>
      <c r="E1020" s="61" t="s">
        <v>3570</v>
      </c>
      <c r="F1020" s="61" t="s">
        <v>40</v>
      </c>
      <c r="G1020" s="22" t="s">
        <v>3571</v>
      </c>
      <c r="H1020" s="22" t="s">
        <v>3572</v>
      </c>
      <c r="I1020" s="62" t="s">
        <v>2951</v>
      </c>
      <c r="J1020" s="63" t="s">
        <v>94</v>
      </c>
      <c r="K1020" s="63"/>
      <c r="L1020" s="64"/>
    </row>
    <row r="1021" spans="1:12">
      <c r="A1021" s="42" t="s">
        <v>20</v>
      </c>
      <c r="B1021" s="34" t="s">
        <v>3573</v>
      </c>
      <c r="C1021" s="53" t="s">
        <v>21</v>
      </c>
      <c r="D1021" s="53" t="s">
        <v>3574</v>
      </c>
      <c r="E1021" s="53" t="s">
        <v>3575</v>
      </c>
      <c r="F1021" s="53" t="s">
        <v>40</v>
      </c>
      <c r="G1021" s="16" t="s">
        <v>3576</v>
      </c>
      <c r="H1021" s="16" t="s">
        <v>3577</v>
      </c>
      <c r="I1021" s="58" t="s">
        <v>3578</v>
      </c>
      <c r="J1021" s="59" t="s">
        <v>94</v>
      </c>
      <c r="K1021" s="59"/>
      <c r="L1021" s="60"/>
    </row>
    <row r="1022" spans="1:12">
      <c r="A1022" s="19" t="s">
        <v>20</v>
      </c>
      <c r="B1022" s="30" t="s">
        <v>3579</v>
      </c>
      <c r="C1022" s="61" t="s">
        <v>21</v>
      </c>
      <c r="D1022" s="61" t="s">
        <v>3580</v>
      </c>
      <c r="E1022" s="61" t="s">
        <v>3581</v>
      </c>
      <c r="F1022" s="61" t="s">
        <v>40</v>
      </c>
      <c r="G1022" s="22" t="s">
        <v>3582</v>
      </c>
      <c r="H1022" s="22" t="s">
        <v>3583</v>
      </c>
      <c r="I1022" s="62" t="s">
        <v>3578</v>
      </c>
      <c r="J1022" s="63" t="s">
        <v>94</v>
      </c>
      <c r="K1022" s="63"/>
      <c r="L1022" s="64"/>
    </row>
    <row r="1023" spans="1:12">
      <c r="A1023" s="42" t="s">
        <v>106</v>
      </c>
      <c r="B1023" s="34" t="s">
        <v>3584</v>
      </c>
      <c r="C1023" s="53" t="s">
        <v>108</v>
      </c>
      <c r="D1023" s="53" t="s">
        <v>3585</v>
      </c>
      <c r="E1023" s="53" t="s">
        <v>3586</v>
      </c>
      <c r="F1023" s="53" t="s">
        <v>40</v>
      </c>
      <c r="G1023" s="16" t="s">
        <v>3587</v>
      </c>
      <c r="H1023" s="16" t="s">
        <v>3588</v>
      </c>
      <c r="I1023" s="58" t="s">
        <v>3589</v>
      </c>
      <c r="J1023" s="59" t="s">
        <v>94</v>
      </c>
      <c r="K1023" s="59" t="s">
        <v>88</v>
      </c>
      <c r="L1023" s="60"/>
    </row>
    <row r="1024" spans="1:12">
      <c r="A1024" s="41" t="s">
        <v>95</v>
      </c>
      <c r="B1024" s="30" t="s">
        <v>3590</v>
      </c>
      <c r="C1024" s="61" t="s">
        <v>97</v>
      </c>
      <c r="D1024" s="61" t="s">
        <v>3591</v>
      </c>
      <c r="E1024" s="61" t="s">
        <v>3592</v>
      </c>
      <c r="F1024" s="61" t="s">
        <v>40</v>
      </c>
      <c r="G1024" s="22" t="s">
        <v>3593</v>
      </c>
      <c r="H1024" s="22" t="s">
        <v>3594</v>
      </c>
      <c r="I1024" s="62" t="s">
        <v>2951</v>
      </c>
      <c r="J1024" s="63" t="s">
        <v>88</v>
      </c>
      <c r="K1024" s="63"/>
      <c r="L1024" s="64"/>
    </row>
    <row r="1025" spans="1:12">
      <c r="A1025" s="42" t="s">
        <v>95</v>
      </c>
      <c r="B1025" s="34" t="s">
        <v>3595</v>
      </c>
      <c r="C1025" s="53" t="s">
        <v>97</v>
      </c>
      <c r="D1025" s="53" t="s">
        <v>3596</v>
      </c>
      <c r="E1025" s="53" t="s">
        <v>3597</v>
      </c>
      <c r="F1025" s="53" t="s">
        <v>40</v>
      </c>
      <c r="G1025" s="16" t="s">
        <v>3598</v>
      </c>
      <c r="H1025" s="16" t="s">
        <v>3599</v>
      </c>
      <c r="I1025" s="58" t="s">
        <v>991</v>
      </c>
      <c r="J1025" s="59" t="s">
        <v>88</v>
      </c>
      <c r="K1025" s="59"/>
      <c r="L1025" s="60"/>
    </row>
    <row r="1026" spans="1:12">
      <c r="A1026" s="41" t="s">
        <v>20</v>
      </c>
      <c r="B1026" s="30" t="s">
        <v>3600</v>
      </c>
      <c r="C1026" s="61" t="s">
        <v>49</v>
      </c>
      <c r="D1026" s="61" t="s">
        <v>3601</v>
      </c>
      <c r="E1026" s="61" t="s">
        <v>3602</v>
      </c>
      <c r="F1026" s="61" t="s">
        <v>40</v>
      </c>
      <c r="G1026" s="22" t="s">
        <v>3603</v>
      </c>
      <c r="H1026" s="22" t="s">
        <v>3604</v>
      </c>
      <c r="I1026" s="62" t="s">
        <v>3605</v>
      </c>
      <c r="J1026" s="63" t="s">
        <v>88</v>
      </c>
      <c r="K1026" s="63"/>
      <c r="L1026" s="64"/>
    </row>
    <row r="1027" spans="1:12">
      <c r="A1027" s="42" t="s">
        <v>20</v>
      </c>
      <c r="B1027" s="34" t="s">
        <v>3606</v>
      </c>
      <c r="C1027" s="53" t="s">
        <v>21</v>
      </c>
      <c r="D1027" s="53" t="s">
        <v>3607</v>
      </c>
      <c r="E1027" s="53" t="s">
        <v>3608</v>
      </c>
      <c r="F1027" s="53" t="s">
        <v>40</v>
      </c>
      <c r="G1027" s="16" t="s">
        <v>3609</v>
      </c>
      <c r="H1027" s="16" t="s">
        <v>3610</v>
      </c>
      <c r="I1027" s="58" t="s">
        <v>3611</v>
      </c>
      <c r="J1027" s="59" t="s">
        <v>94</v>
      </c>
      <c r="K1027" s="59"/>
      <c r="L1027" s="60"/>
    </row>
    <row r="1028" spans="1:12">
      <c r="A1028" s="19" t="s">
        <v>20</v>
      </c>
      <c r="B1028" s="30" t="s">
        <v>3612</v>
      </c>
      <c r="C1028" s="61" t="s">
        <v>49</v>
      </c>
      <c r="D1028" s="61" t="s">
        <v>3613</v>
      </c>
      <c r="E1028" s="61" t="s">
        <v>3614</v>
      </c>
      <c r="F1028" s="61" t="s">
        <v>40</v>
      </c>
      <c r="G1028" s="22" t="s">
        <v>3615</v>
      </c>
      <c r="H1028" s="22" t="s">
        <v>3616</v>
      </c>
      <c r="I1028" s="62" t="s">
        <v>3617</v>
      </c>
      <c r="J1028" s="63" t="s">
        <v>94</v>
      </c>
      <c r="K1028" s="63"/>
      <c r="L1028" s="64"/>
    </row>
    <row r="1029" spans="1:12">
      <c r="A1029" s="1" t="s">
        <v>106</v>
      </c>
      <c r="B1029" s="34" t="s">
        <v>3618</v>
      </c>
      <c r="C1029" s="53" t="s">
        <v>37</v>
      </c>
      <c r="D1029" s="53" t="s">
        <v>3569</v>
      </c>
      <c r="E1029" s="53" t="s">
        <v>3619</v>
      </c>
      <c r="F1029" s="53" t="s">
        <v>40</v>
      </c>
      <c r="G1029" s="16" t="s">
        <v>3620</v>
      </c>
      <c r="H1029" s="16" t="s">
        <v>3616</v>
      </c>
      <c r="I1029" s="58" t="s">
        <v>2951</v>
      </c>
      <c r="J1029" s="59" t="s">
        <v>94</v>
      </c>
      <c r="K1029" s="59"/>
      <c r="L1029" s="60"/>
    </row>
    <row r="1030" spans="1:12">
      <c r="A1030" s="19" t="s">
        <v>106</v>
      </c>
      <c r="B1030" s="30" t="s">
        <v>3621</v>
      </c>
      <c r="C1030" s="61" t="s">
        <v>108</v>
      </c>
      <c r="D1030" s="61" t="s">
        <v>1767</v>
      </c>
      <c r="E1030" s="61" t="s">
        <v>3622</v>
      </c>
      <c r="F1030" s="61" t="s">
        <v>40</v>
      </c>
      <c r="G1030" s="22" t="s">
        <v>3623</v>
      </c>
      <c r="H1030" s="22" t="s">
        <v>3624</v>
      </c>
      <c r="I1030" s="62" t="s">
        <v>111</v>
      </c>
      <c r="J1030" s="63" t="s">
        <v>88</v>
      </c>
      <c r="K1030" s="63"/>
      <c r="L1030" s="64"/>
    </row>
    <row r="1031" spans="1:12">
      <c r="A1031" s="42" t="s">
        <v>106</v>
      </c>
      <c r="B1031" s="34" t="s">
        <v>3625</v>
      </c>
      <c r="C1031" s="53" t="s">
        <v>108</v>
      </c>
      <c r="D1031" s="53" t="s">
        <v>3626</v>
      </c>
      <c r="E1031" s="53" t="s">
        <v>3627</v>
      </c>
      <c r="F1031" s="53" t="s">
        <v>40</v>
      </c>
      <c r="G1031" s="16" t="s">
        <v>3628</v>
      </c>
      <c r="H1031" s="16" t="s">
        <v>3629</v>
      </c>
      <c r="I1031" s="58" t="s">
        <v>3630</v>
      </c>
      <c r="J1031" s="59" t="s">
        <v>88</v>
      </c>
      <c r="K1031" s="59"/>
      <c r="L1031" s="60"/>
    </row>
    <row r="1032" spans="1:12">
      <c r="A1032" s="41" t="s">
        <v>106</v>
      </c>
      <c r="B1032" s="30" t="s">
        <v>3631</v>
      </c>
      <c r="C1032" s="61" t="s">
        <v>108</v>
      </c>
      <c r="D1032" s="61" t="s">
        <v>3632</v>
      </c>
      <c r="E1032" s="61" t="s">
        <v>3633</v>
      </c>
      <c r="F1032" s="61" t="s">
        <v>40</v>
      </c>
      <c r="G1032" s="22" t="s">
        <v>3634</v>
      </c>
      <c r="H1032" s="22" t="s">
        <v>3635</v>
      </c>
      <c r="I1032" s="62" t="s">
        <v>111</v>
      </c>
      <c r="J1032" s="63" t="s">
        <v>88</v>
      </c>
      <c r="K1032" s="63" t="s">
        <v>94</v>
      </c>
      <c r="L1032" s="64"/>
    </row>
    <row r="1033" spans="1:12">
      <c r="A1033" s="42" t="s">
        <v>106</v>
      </c>
      <c r="B1033" s="34" t="s">
        <v>3636</v>
      </c>
      <c r="C1033" s="53" t="s">
        <v>108</v>
      </c>
      <c r="D1033" s="53" t="s">
        <v>1767</v>
      </c>
      <c r="E1033" s="53" t="s">
        <v>3637</v>
      </c>
      <c r="F1033" s="53" t="s">
        <v>40</v>
      </c>
      <c r="G1033" s="16" t="s">
        <v>3638</v>
      </c>
      <c r="H1033" s="16" t="s">
        <v>3639</v>
      </c>
      <c r="I1033" s="58" t="s">
        <v>1373</v>
      </c>
      <c r="J1033" s="59" t="s">
        <v>94</v>
      </c>
      <c r="K1033" s="59"/>
      <c r="L1033" s="60"/>
    </row>
    <row r="1034" spans="1:12">
      <c r="A1034" s="41" t="s">
        <v>95</v>
      </c>
      <c r="B1034" s="30" t="s">
        <v>3640</v>
      </c>
      <c r="C1034" s="61" t="s">
        <v>97</v>
      </c>
      <c r="D1034" s="61" t="s">
        <v>1089</v>
      </c>
      <c r="E1034" s="61" t="s">
        <v>3641</v>
      </c>
      <c r="F1034" s="61" t="s">
        <v>40</v>
      </c>
      <c r="G1034" s="22" t="s">
        <v>3642</v>
      </c>
      <c r="H1034" s="22" t="s">
        <v>3643</v>
      </c>
      <c r="I1034" s="62" t="s">
        <v>3644</v>
      </c>
      <c r="J1034" s="63" t="s">
        <v>94</v>
      </c>
      <c r="K1034" s="63"/>
      <c r="L1034" s="64"/>
    </row>
    <row r="1035" spans="1:12">
      <c r="A1035" s="42" t="s">
        <v>106</v>
      </c>
      <c r="B1035" s="34" t="s">
        <v>3645</v>
      </c>
      <c r="C1035" s="53" t="s">
        <v>37</v>
      </c>
      <c r="D1035" s="53" t="s">
        <v>3569</v>
      </c>
      <c r="E1035" s="53" t="s">
        <v>3646</v>
      </c>
      <c r="F1035" s="53" t="s">
        <v>40</v>
      </c>
      <c r="G1035" s="16" t="s">
        <v>3647</v>
      </c>
      <c r="H1035" s="16" t="s">
        <v>3648</v>
      </c>
      <c r="I1035" s="58" t="s">
        <v>2951</v>
      </c>
      <c r="J1035" s="59" t="s">
        <v>94</v>
      </c>
      <c r="K1035" s="59"/>
      <c r="L1035" s="60"/>
    </row>
    <row r="1036" spans="1:12">
      <c r="A1036" s="41" t="s">
        <v>106</v>
      </c>
      <c r="B1036" s="30" t="s">
        <v>3649</v>
      </c>
      <c r="C1036" s="61" t="s">
        <v>108</v>
      </c>
      <c r="D1036" s="61" t="s">
        <v>3448</v>
      </c>
      <c r="E1036" s="61" t="s">
        <v>3650</v>
      </c>
      <c r="F1036" s="61" t="s">
        <v>40</v>
      </c>
      <c r="G1036" s="22" t="s">
        <v>3651</v>
      </c>
      <c r="H1036" s="22" t="s">
        <v>3652</v>
      </c>
      <c r="I1036" s="62" t="s">
        <v>2951</v>
      </c>
      <c r="J1036" s="63" t="s">
        <v>94</v>
      </c>
      <c r="K1036" s="63"/>
      <c r="L1036" s="64"/>
    </row>
    <row r="1037" spans="1:12">
      <c r="A1037" s="42" t="s">
        <v>20</v>
      </c>
      <c r="B1037" s="34" t="s">
        <v>3653</v>
      </c>
      <c r="C1037" s="53" t="s">
        <v>49</v>
      </c>
      <c r="D1037" s="53" t="s">
        <v>3601</v>
      </c>
      <c r="E1037" s="53" t="s">
        <v>3654</v>
      </c>
      <c r="F1037" s="53" t="s">
        <v>40</v>
      </c>
      <c r="G1037" s="16" t="s">
        <v>3655</v>
      </c>
      <c r="H1037" s="16" t="s">
        <v>3656</v>
      </c>
      <c r="I1037" s="58" t="s">
        <v>3605</v>
      </c>
      <c r="J1037" s="59" t="s">
        <v>88</v>
      </c>
      <c r="K1037" s="59"/>
      <c r="L1037" s="60"/>
    </row>
    <row r="1038" spans="1:12">
      <c r="A1038" s="41" t="s">
        <v>106</v>
      </c>
      <c r="B1038" s="30" t="s">
        <v>3657</v>
      </c>
      <c r="C1038" s="61" t="s">
        <v>108</v>
      </c>
      <c r="D1038" s="61" t="s">
        <v>3658</v>
      </c>
      <c r="E1038" s="61" t="s">
        <v>3659</v>
      </c>
      <c r="F1038" s="61" t="s">
        <v>40</v>
      </c>
      <c r="G1038" s="22" t="s">
        <v>3660</v>
      </c>
      <c r="H1038" s="22" t="s">
        <v>3661</v>
      </c>
      <c r="I1038" s="62" t="s">
        <v>111</v>
      </c>
      <c r="J1038" s="63" t="s">
        <v>88</v>
      </c>
      <c r="K1038" s="63"/>
      <c r="L1038" s="64"/>
    </row>
    <row r="1039" spans="1:12">
      <c r="A1039" s="42" t="s">
        <v>20</v>
      </c>
      <c r="B1039" s="34" t="s">
        <v>3662</v>
      </c>
      <c r="C1039" s="53" t="s">
        <v>21</v>
      </c>
      <c r="D1039" s="53" t="s">
        <v>3663</v>
      </c>
      <c r="E1039" s="53" t="s">
        <v>3664</v>
      </c>
      <c r="F1039" s="53" t="s">
        <v>40</v>
      </c>
      <c r="G1039" s="16" t="s">
        <v>3665</v>
      </c>
      <c r="H1039" s="16" t="s">
        <v>3666</v>
      </c>
      <c r="I1039" s="58" t="s">
        <v>848</v>
      </c>
      <c r="J1039" s="59" t="s">
        <v>94</v>
      </c>
      <c r="K1039" s="59"/>
      <c r="L1039" s="60"/>
    </row>
    <row r="1040" spans="1:12">
      <c r="A1040" s="19" t="s">
        <v>106</v>
      </c>
      <c r="B1040" s="30" t="s">
        <v>3667</v>
      </c>
      <c r="C1040" s="61" t="s">
        <v>108</v>
      </c>
      <c r="D1040" s="61" t="s">
        <v>1767</v>
      </c>
      <c r="E1040" s="61" t="s">
        <v>3668</v>
      </c>
      <c r="F1040" s="61" t="s">
        <v>40</v>
      </c>
      <c r="G1040" s="22" t="s">
        <v>3669</v>
      </c>
      <c r="H1040" s="22">
        <v>44937.070138888892</v>
      </c>
      <c r="I1040" s="62" t="s">
        <v>1373</v>
      </c>
      <c r="J1040" s="63" t="s">
        <v>94</v>
      </c>
      <c r="K1040" s="63"/>
      <c r="L1040" s="64"/>
    </row>
    <row r="1041" spans="1:12">
      <c r="A1041" s="42" t="s">
        <v>106</v>
      </c>
      <c r="B1041" s="34" t="s">
        <v>3670</v>
      </c>
      <c r="C1041" s="53" t="s">
        <v>108</v>
      </c>
      <c r="D1041" s="53" t="s">
        <v>3632</v>
      </c>
      <c r="E1041" s="53" t="s">
        <v>3671</v>
      </c>
      <c r="F1041" s="53" t="s">
        <v>40</v>
      </c>
      <c r="G1041" s="16" t="s">
        <v>3672</v>
      </c>
      <c r="H1041" s="16">
        <v>44937.094444444447</v>
      </c>
      <c r="I1041" s="58" t="s">
        <v>111</v>
      </c>
      <c r="J1041" s="59" t="s">
        <v>94</v>
      </c>
      <c r="K1041" s="59"/>
      <c r="L1041" s="60"/>
    </row>
    <row r="1042" spans="1:12">
      <c r="A1042" s="41" t="s">
        <v>106</v>
      </c>
      <c r="B1042" s="30" t="s">
        <v>3673</v>
      </c>
      <c r="C1042" s="61" t="s">
        <v>37</v>
      </c>
      <c r="D1042" s="61" t="s">
        <v>3569</v>
      </c>
      <c r="E1042" s="61" t="s">
        <v>3674</v>
      </c>
      <c r="F1042" s="61" t="s">
        <v>40</v>
      </c>
      <c r="G1042" s="22">
        <v>44937.111111111109</v>
      </c>
      <c r="H1042" s="22">
        <v>44937.125694444447</v>
      </c>
      <c r="I1042" s="62" t="s">
        <v>2951</v>
      </c>
      <c r="J1042" s="63" t="s">
        <v>94</v>
      </c>
      <c r="K1042" s="63"/>
      <c r="L1042" s="64"/>
    </row>
    <row r="1043" spans="1:12">
      <c r="A1043" s="1" t="s">
        <v>20</v>
      </c>
      <c r="B1043" s="34" t="s">
        <v>3675</v>
      </c>
      <c r="C1043" s="53" t="s">
        <v>13</v>
      </c>
      <c r="D1043" s="15" t="s">
        <v>3676</v>
      </c>
      <c r="E1043" s="15" t="s">
        <v>3677</v>
      </c>
      <c r="F1043" s="53" t="s">
        <v>40</v>
      </c>
      <c r="G1043" s="16">
        <v>44937.364583333336</v>
      </c>
      <c r="H1043" s="16">
        <v>44937.447916666664</v>
      </c>
      <c r="I1043" s="58" t="s">
        <v>149</v>
      </c>
      <c r="J1043" s="59" t="s">
        <v>61</v>
      </c>
      <c r="K1043" s="59"/>
      <c r="L1043" s="60"/>
    </row>
    <row r="1044" spans="1:12">
      <c r="A1044" s="19" t="s">
        <v>106</v>
      </c>
      <c r="B1044" s="30" t="s">
        <v>3678</v>
      </c>
      <c r="C1044" s="61" t="s">
        <v>108</v>
      </c>
      <c r="D1044" s="21" t="s">
        <v>3679</v>
      </c>
      <c r="E1044" s="21" t="s">
        <v>3677</v>
      </c>
      <c r="F1044" s="61" t="s">
        <v>40</v>
      </c>
      <c r="G1044" s="22">
        <v>44937.634027777778</v>
      </c>
      <c r="H1044" s="22">
        <v>44937.759027777778</v>
      </c>
      <c r="I1044" s="62" t="s">
        <v>111</v>
      </c>
      <c r="J1044" s="63" t="s">
        <v>61</v>
      </c>
      <c r="K1044" s="63"/>
      <c r="L1044" s="64"/>
    </row>
    <row r="1045" spans="1:12">
      <c r="A1045" s="42" t="s">
        <v>106</v>
      </c>
      <c r="B1045" s="34" t="s">
        <v>3680</v>
      </c>
      <c r="C1045" s="53" t="s">
        <v>108</v>
      </c>
      <c r="D1045" s="53" t="s">
        <v>2838</v>
      </c>
      <c r="E1045" s="53" t="s">
        <v>2839</v>
      </c>
      <c r="F1045" s="53" t="s">
        <v>40</v>
      </c>
      <c r="G1045" s="16">
        <v>45231.833333333336</v>
      </c>
      <c r="H1045" s="16">
        <v>45232.229166666664</v>
      </c>
      <c r="I1045" s="58" t="s">
        <v>32</v>
      </c>
      <c r="J1045" s="59" t="s">
        <v>72</v>
      </c>
      <c r="K1045" s="59"/>
      <c r="L1045" s="60"/>
    </row>
    <row r="1046" spans="1:12">
      <c r="A1046" s="41" t="s">
        <v>106</v>
      </c>
      <c r="B1046" s="30" t="s">
        <v>3681</v>
      </c>
      <c r="C1046" s="61" t="s">
        <v>108</v>
      </c>
      <c r="D1046" s="61" t="s">
        <v>3682</v>
      </c>
      <c r="E1046" s="61" t="s">
        <v>2209</v>
      </c>
      <c r="F1046" s="61" t="s">
        <v>40</v>
      </c>
      <c r="G1046" s="22">
        <v>45231.890277777777</v>
      </c>
      <c r="H1046" s="22">
        <v>45231.902777777781</v>
      </c>
      <c r="I1046" s="62" t="s">
        <v>946</v>
      </c>
      <c r="J1046" s="63" t="s">
        <v>72</v>
      </c>
      <c r="K1046" s="63"/>
      <c r="L1046" s="64"/>
    </row>
    <row r="1047" spans="1:12">
      <c r="A1047" s="1" t="s">
        <v>20</v>
      </c>
      <c r="B1047" s="14" t="s">
        <v>3683</v>
      </c>
      <c r="C1047" s="81" t="s">
        <v>21</v>
      </c>
      <c r="D1047" s="81" t="s">
        <v>3684</v>
      </c>
      <c r="E1047" s="81" t="s">
        <v>3685</v>
      </c>
      <c r="F1047" s="81" t="s">
        <v>40</v>
      </c>
      <c r="G1047" s="16">
        <v>45231.896527777775</v>
      </c>
      <c r="H1047" s="16">
        <v>45231.906944444447</v>
      </c>
      <c r="I1047" s="82" t="s">
        <v>52</v>
      </c>
      <c r="J1047" s="59" t="s">
        <v>72</v>
      </c>
      <c r="K1047" s="83"/>
      <c r="L1047" s="84"/>
    </row>
    <row r="1048" spans="1:12">
      <c r="A1048" s="41" t="s">
        <v>95</v>
      </c>
      <c r="B1048" s="20" t="s">
        <v>3686</v>
      </c>
      <c r="C1048" s="77" t="s">
        <v>97</v>
      </c>
      <c r="D1048" s="77" t="s">
        <v>3687</v>
      </c>
      <c r="E1048" s="77" t="s">
        <v>3688</v>
      </c>
      <c r="F1048" s="77" t="s">
        <v>40</v>
      </c>
      <c r="G1048" s="22">
        <v>45231.919444444444</v>
      </c>
      <c r="H1048" s="22">
        <v>45231.938194444447</v>
      </c>
      <c r="I1048" s="78" t="s">
        <v>3689</v>
      </c>
      <c r="J1048" s="63" t="s">
        <v>72</v>
      </c>
      <c r="K1048" s="79"/>
      <c r="L1048" s="80"/>
    </row>
    <row r="1049" spans="1:12">
      <c r="A1049" s="1" t="s">
        <v>95</v>
      </c>
      <c r="B1049" s="34" t="s">
        <v>3690</v>
      </c>
      <c r="C1049" s="53" t="s">
        <v>113</v>
      </c>
      <c r="D1049" s="53" t="s">
        <v>3691</v>
      </c>
      <c r="E1049" s="53" t="s">
        <v>3692</v>
      </c>
      <c r="F1049" s="53" t="s">
        <v>214</v>
      </c>
      <c r="G1049" s="16">
        <v>45232.043055555558</v>
      </c>
      <c r="H1049" s="16"/>
      <c r="I1049" s="58" t="s">
        <v>498</v>
      </c>
      <c r="J1049" s="59" t="s">
        <v>72</v>
      </c>
      <c r="K1049" s="59"/>
      <c r="L1049" s="60"/>
    </row>
    <row r="1050" spans="1:12">
      <c r="A1050" s="19" t="s">
        <v>95</v>
      </c>
      <c r="B1050" s="20" t="s">
        <v>3693</v>
      </c>
      <c r="C1050" s="77" t="s">
        <v>118</v>
      </c>
      <c r="D1050" s="77" t="s">
        <v>3694</v>
      </c>
      <c r="E1050" s="77" t="s">
        <v>3695</v>
      </c>
      <c r="F1050" s="77" t="s">
        <v>40</v>
      </c>
      <c r="G1050" s="22">
        <v>45232.208333333336</v>
      </c>
      <c r="H1050" s="22">
        <v>45232.322916666664</v>
      </c>
      <c r="I1050" s="78" t="s">
        <v>502</v>
      </c>
      <c r="J1050" s="79" t="s">
        <v>72</v>
      </c>
      <c r="K1050" s="79"/>
      <c r="L1050" s="80"/>
    </row>
    <row r="1051" spans="1:12">
      <c r="A1051" s="1" t="s">
        <v>20</v>
      </c>
      <c r="B1051" s="14" t="s">
        <v>3696</v>
      </c>
      <c r="C1051" s="53" t="s">
        <v>13</v>
      </c>
      <c r="D1051" s="15" t="s">
        <v>3697</v>
      </c>
      <c r="E1051" s="15" t="s">
        <v>3698</v>
      </c>
      <c r="F1051" s="53" t="s">
        <v>40</v>
      </c>
      <c r="G1051" s="16">
        <v>45232.493750000001</v>
      </c>
      <c r="H1051" s="16">
        <v>45232.57708333333</v>
      </c>
      <c r="I1051" s="58" t="s">
        <v>149</v>
      </c>
      <c r="J1051" s="59" t="s">
        <v>61</v>
      </c>
      <c r="K1051" s="59"/>
      <c r="L1051" s="60"/>
    </row>
    <row r="1052" spans="1:12">
      <c r="A1052" s="19" t="s">
        <v>20</v>
      </c>
      <c r="B1052" s="30" t="s">
        <v>3699</v>
      </c>
      <c r="C1052" s="61" t="s">
        <v>13</v>
      </c>
      <c r="D1052" s="21" t="s">
        <v>3700</v>
      </c>
      <c r="E1052" s="21" t="s">
        <v>3701</v>
      </c>
      <c r="F1052" s="61" t="s">
        <v>40</v>
      </c>
      <c r="G1052" s="22">
        <v>45232.666666666664</v>
      </c>
      <c r="H1052" s="22">
        <v>45232.708333333336</v>
      </c>
      <c r="I1052" s="62" t="s">
        <v>3702</v>
      </c>
      <c r="J1052" s="63" t="s">
        <v>61</v>
      </c>
      <c r="K1052" s="63"/>
      <c r="L1052" s="64"/>
    </row>
    <row r="1053" spans="1:12">
      <c r="A1053" s="1" t="s">
        <v>20</v>
      </c>
      <c r="B1053" s="14" t="s">
        <v>3703</v>
      </c>
      <c r="C1053" s="81" t="s">
        <v>21</v>
      </c>
      <c r="D1053" s="81" t="s">
        <v>3704</v>
      </c>
      <c r="E1053" s="81" t="s">
        <v>3705</v>
      </c>
      <c r="F1053" s="81" t="s">
        <v>40</v>
      </c>
      <c r="G1053" s="16">
        <v>45232.972222222219</v>
      </c>
      <c r="H1053" s="16">
        <v>45232.996527777781</v>
      </c>
      <c r="I1053" s="82" t="s">
        <v>52</v>
      </c>
      <c r="J1053" s="83" t="s">
        <v>72</v>
      </c>
      <c r="K1053" s="83"/>
      <c r="L1053" s="84"/>
    </row>
    <row r="1054" spans="1:12">
      <c r="A1054" s="19" t="s">
        <v>106</v>
      </c>
      <c r="B1054" s="20" t="s">
        <v>3706</v>
      </c>
      <c r="C1054" s="77" t="s">
        <v>108</v>
      </c>
      <c r="D1054" s="77" t="s">
        <v>3707</v>
      </c>
      <c r="E1054" s="77" t="s">
        <v>2209</v>
      </c>
      <c r="F1054" s="77" t="s">
        <v>40</v>
      </c>
      <c r="G1054" s="22">
        <v>45232.998611111114</v>
      </c>
      <c r="H1054" s="22">
        <v>45233.015972222223</v>
      </c>
      <c r="I1054" s="78" t="s">
        <v>946</v>
      </c>
      <c r="J1054" s="79" t="s">
        <v>72</v>
      </c>
      <c r="K1054" s="79"/>
      <c r="L1054" s="80"/>
    </row>
    <row r="1055" spans="1:12">
      <c r="A1055" s="1" t="s">
        <v>106</v>
      </c>
      <c r="B1055" s="14" t="s">
        <v>3708</v>
      </c>
      <c r="C1055" s="81" t="s">
        <v>78</v>
      </c>
      <c r="D1055" s="15" t="s">
        <v>3709</v>
      </c>
      <c r="E1055" s="81" t="s">
        <v>3710</v>
      </c>
      <c r="F1055" s="81" t="s">
        <v>40</v>
      </c>
      <c r="G1055" s="16">
        <v>45233.373611111114</v>
      </c>
      <c r="H1055" s="16">
        <v>45233.415277777778</v>
      </c>
      <c r="I1055" s="82" t="s">
        <v>3711</v>
      </c>
      <c r="J1055" s="83" t="s">
        <v>61</v>
      </c>
      <c r="K1055" s="83"/>
      <c r="L1055" s="84"/>
    </row>
    <row r="1056" spans="1:12">
      <c r="A1056" s="19" t="s">
        <v>106</v>
      </c>
      <c r="B1056" s="20" t="s">
        <v>3712</v>
      </c>
      <c r="C1056" s="77" t="s">
        <v>108</v>
      </c>
      <c r="D1056" s="21" t="s">
        <v>3679</v>
      </c>
      <c r="E1056" s="21" t="s">
        <v>3677</v>
      </c>
      <c r="F1056" s="77" t="s">
        <v>40</v>
      </c>
      <c r="G1056" s="22">
        <v>45233.388888888891</v>
      </c>
      <c r="H1056" s="22">
        <v>45233.513888888891</v>
      </c>
      <c r="I1056" s="78" t="s">
        <v>111</v>
      </c>
      <c r="J1056" s="79" t="s">
        <v>61</v>
      </c>
      <c r="K1056" s="79"/>
      <c r="L1056" s="80"/>
    </row>
    <row r="1057" spans="1:12">
      <c r="A1057" s="1" t="s">
        <v>20</v>
      </c>
      <c r="B1057" s="14" t="s">
        <v>3713</v>
      </c>
      <c r="C1057" s="81" t="s">
        <v>13</v>
      </c>
      <c r="D1057" s="15" t="s">
        <v>3714</v>
      </c>
      <c r="E1057" s="15" t="s">
        <v>3715</v>
      </c>
      <c r="F1057" s="81" t="s">
        <v>40</v>
      </c>
      <c r="G1057" s="16">
        <v>45233.428472222222</v>
      </c>
      <c r="H1057" s="16">
        <v>45233.470138888886</v>
      </c>
      <c r="I1057" s="58" t="s">
        <v>3702</v>
      </c>
      <c r="J1057" s="83" t="s">
        <v>61</v>
      </c>
      <c r="K1057" s="83"/>
      <c r="L1057" s="84"/>
    </row>
    <row r="1058" spans="1:12">
      <c r="A1058" s="19" t="s">
        <v>95</v>
      </c>
      <c r="B1058" s="20" t="s">
        <v>3716</v>
      </c>
      <c r="C1058" s="77" t="s">
        <v>97</v>
      </c>
      <c r="D1058" s="21" t="s">
        <v>3717</v>
      </c>
      <c r="E1058" s="21" t="s">
        <v>3718</v>
      </c>
      <c r="F1058" s="77" t="s">
        <v>40</v>
      </c>
      <c r="G1058" s="22">
        <v>45233.643750000003</v>
      </c>
      <c r="H1058" s="22">
        <v>45233.75</v>
      </c>
      <c r="I1058" s="78" t="s">
        <v>3719</v>
      </c>
      <c r="J1058" s="79" t="s">
        <v>61</v>
      </c>
      <c r="K1058" s="79"/>
      <c r="L1058" s="80"/>
    </row>
    <row r="1059" spans="1:12">
      <c r="A1059" s="1" t="s">
        <v>106</v>
      </c>
      <c r="B1059" s="14" t="s">
        <v>3720</v>
      </c>
      <c r="C1059" s="81" t="s">
        <v>108</v>
      </c>
      <c r="D1059" s="15" t="s">
        <v>3721</v>
      </c>
      <c r="E1059" s="15" t="s">
        <v>3722</v>
      </c>
      <c r="F1059" s="81" t="s">
        <v>40</v>
      </c>
      <c r="G1059" s="16">
        <v>45233.768750000003</v>
      </c>
      <c r="H1059" s="16">
        <v>45233.810416666667</v>
      </c>
      <c r="I1059" s="82" t="s">
        <v>111</v>
      </c>
      <c r="J1059" s="83" t="s">
        <v>61</v>
      </c>
      <c r="K1059" s="83"/>
      <c r="L1059" s="84"/>
    </row>
    <row r="1060" spans="1:12">
      <c r="A1060" s="19" t="s">
        <v>106</v>
      </c>
      <c r="B1060" s="20" t="s">
        <v>3723</v>
      </c>
      <c r="C1060" s="77" t="s">
        <v>21</v>
      </c>
      <c r="D1060" s="21" t="s">
        <v>3724</v>
      </c>
      <c r="E1060" s="21" t="s">
        <v>3725</v>
      </c>
      <c r="F1060" s="77" t="s">
        <v>40</v>
      </c>
      <c r="G1060" s="22">
        <v>45234.352083333331</v>
      </c>
      <c r="H1060" s="22">
        <v>45234.435416666667</v>
      </c>
      <c r="I1060" s="78" t="s">
        <v>2909</v>
      </c>
      <c r="J1060" s="79" t="s">
        <v>61</v>
      </c>
      <c r="K1060" s="79"/>
      <c r="L1060" s="80"/>
    </row>
    <row r="1061" spans="1:12">
      <c r="A1061" s="1" t="s">
        <v>95</v>
      </c>
      <c r="B1061" s="14" t="s">
        <v>3726</v>
      </c>
      <c r="C1061" s="81" t="s">
        <v>113</v>
      </c>
      <c r="D1061" s="15" t="s">
        <v>3727</v>
      </c>
      <c r="E1061" s="15" t="s">
        <v>3728</v>
      </c>
      <c r="F1061" s="81" t="s">
        <v>40</v>
      </c>
      <c r="G1061" s="16">
        <v>45234.473611111112</v>
      </c>
      <c r="H1061" s="16">
        <v>45234.479166666664</v>
      </c>
      <c r="I1061" s="82" t="s">
        <v>155</v>
      </c>
      <c r="J1061" s="83" t="s">
        <v>61</v>
      </c>
      <c r="K1061" s="83"/>
      <c r="L1061" s="84"/>
    </row>
    <row r="1062" spans="1:12">
      <c r="A1062" s="19" t="s">
        <v>20</v>
      </c>
      <c r="B1062" s="20" t="s">
        <v>3729</v>
      </c>
      <c r="C1062" s="77" t="s">
        <v>49</v>
      </c>
      <c r="D1062" s="21" t="s">
        <v>3730</v>
      </c>
      <c r="E1062" s="21" t="s">
        <v>3731</v>
      </c>
      <c r="F1062" s="77" t="s">
        <v>40</v>
      </c>
      <c r="G1062" s="22">
        <v>45234.770833333336</v>
      </c>
      <c r="H1062" s="22">
        <v>45234.8125</v>
      </c>
      <c r="I1062" s="78" t="s">
        <v>2220</v>
      </c>
      <c r="J1062" s="79" t="s">
        <v>61</v>
      </c>
      <c r="K1062" s="79"/>
      <c r="L1062" s="80"/>
    </row>
    <row r="1063" spans="1:12">
      <c r="A1063" s="1" t="s">
        <v>95</v>
      </c>
      <c r="B1063" s="14" t="s">
        <v>3732</v>
      </c>
      <c r="C1063" s="81" t="s">
        <v>97</v>
      </c>
      <c r="D1063" s="81" t="s">
        <v>3733</v>
      </c>
      <c r="E1063" s="81" t="s">
        <v>3734</v>
      </c>
      <c r="F1063" s="81" t="s">
        <v>40</v>
      </c>
      <c r="G1063" s="16">
        <v>45234.926388888889</v>
      </c>
      <c r="H1063" s="16">
        <v>45234.938888888886</v>
      </c>
      <c r="I1063" s="82" t="s">
        <v>1164</v>
      </c>
      <c r="J1063" s="83" t="s">
        <v>72</v>
      </c>
      <c r="K1063" s="83"/>
      <c r="L1063" s="84"/>
    </row>
    <row r="1064" spans="1:12">
      <c r="A1064" s="19" t="s">
        <v>95</v>
      </c>
      <c r="B1064" s="20" t="s">
        <v>3735</v>
      </c>
      <c r="C1064" s="77" t="s">
        <v>97</v>
      </c>
      <c r="D1064" s="77" t="s">
        <v>3736</v>
      </c>
      <c r="E1064" s="77" t="s">
        <v>3737</v>
      </c>
      <c r="F1064" s="77" t="s">
        <v>40</v>
      </c>
      <c r="G1064" s="22">
        <v>45234.938888888886</v>
      </c>
      <c r="H1064" s="22">
        <v>45234.95416666667</v>
      </c>
      <c r="I1064" s="78" t="s">
        <v>1164</v>
      </c>
      <c r="J1064" s="79" t="s">
        <v>72</v>
      </c>
      <c r="K1064" s="79"/>
      <c r="L1064" s="80"/>
    </row>
    <row r="1065" spans="1:12">
      <c r="A1065" s="1" t="s">
        <v>95</v>
      </c>
      <c r="B1065" s="14" t="s">
        <v>3738</v>
      </c>
      <c r="C1065" s="81" t="s">
        <v>118</v>
      </c>
      <c r="D1065" s="81" t="s">
        <v>3739</v>
      </c>
      <c r="E1065" s="81" t="s">
        <v>3737</v>
      </c>
      <c r="F1065" s="81" t="s">
        <v>40</v>
      </c>
      <c r="G1065" s="16">
        <v>45235.01458333333</v>
      </c>
      <c r="H1065" s="16">
        <v>45235.02847222222</v>
      </c>
      <c r="I1065" s="82" t="s">
        <v>502</v>
      </c>
      <c r="J1065" s="83" t="s">
        <v>72</v>
      </c>
      <c r="K1065" s="83"/>
      <c r="L1065" s="84"/>
    </row>
    <row r="1066" spans="1:12">
      <c r="A1066" s="19" t="s">
        <v>106</v>
      </c>
      <c r="B1066" s="20" t="s">
        <v>3740</v>
      </c>
      <c r="C1066" s="77" t="s">
        <v>108</v>
      </c>
      <c r="D1066" s="77" t="s">
        <v>1428</v>
      </c>
      <c r="E1066" s="77" t="s">
        <v>3741</v>
      </c>
      <c r="F1066" s="77" t="s">
        <v>40</v>
      </c>
      <c r="G1066" s="22">
        <v>45235.030555555553</v>
      </c>
      <c r="H1066" s="22">
        <v>45235.043749999997</v>
      </c>
      <c r="I1066" s="78" t="s">
        <v>32</v>
      </c>
      <c r="J1066" s="79" t="s">
        <v>72</v>
      </c>
      <c r="K1066" s="79"/>
      <c r="L1066" s="80"/>
    </row>
    <row r="1067" spans="1:12">
      <c r="A1067" s="1" t="s">
        <v>95</v>
      </c>
      <c r="B1067" s="14" t="s">
        <v>3742</v>
      </c>
      <c r="C1067" s="81" t="s">
        <v>118</v>
      </c>
      <c r="D1067" s="81" t="s">
        <v>3743</v>
      </c>
      <c r="E1067" s="81" t="s">
        <v>3737</v>
      </c>
      <c r="F1067" s="81" t="s">
        <v>40</v>
      </c>
      <c r="G1067" s="16">
        <v>45235.055555555555</v>
      </c>
      <c r="H1067" s="16">
        <v>45235.080555555556</v>
      </c>
      <c r="I1067" s="82" t="s">
        <v>502</v>
      </c>
      <c r="J1067" s="83" t="s">
        <v>72</v>
      </c>
      <c r="K1067" s="83"/>
      <c r="L1067" s="84"/>
    </row>
    <row r="1068" spans="1:12">
      <c r="A1068" s="19" t="s">
        <v>95</v>
      </c>
      <c r="B1068" s="20" t="s">
        <v>3744</v>
      </c>
      <c r="C1068" s="77" t="s">
        <v>97</v>
      </c>
      <c r="D1068" s="77" t="s">
        <v>3745</v>
      </c>
      <c r="E1068" s="77" t="s">
        <v>3746</v>
      </c>
      <c r="F1068" s="77" t="s">
        <v>40</v>
      </c>
      <c r="G1068" s="22">
        <v>45235.056250000001</v>
      </c>
      <c r="H1068" s="22">
        <v>45235.078472222223</v>
      </c>
      <c r="I1068" s="78" t="s">
        <v>1164</v>
      </c>
      <c r="J1068" s="79" t="s">
        <v>72</v>
      </c>
      <c r="K1068" s="79"/>
      <c r="L1068" s="80"/>
    </row>
    <row r="1069" spans="1:12">
      <c r="A1069" s="1" t="s">
        <v>95</v>
      </c>
      <c r="B1069" s="14" t="s">
        <v>3747</v>
      </c>
      <c r="C1069" s="81" t="s">
        <v>118</v>
      </c>
      <c r="D1069" s="81" t="s">
        <v>3748</v>
      </c>
      <c r="E1069" s="81" t="s">
        <v>3749</v>
      </c>
      <c r="F1069" s="81" t="s">
        <v>40</v>
      </c>
      <c r="G1069" s="16">
        <v>45235.072916666664</v>
      </c>
      <c r="H1069" s="16">
        <v>45235.082638888889</v>
      </c>
      <c r="I1069" s="82" t="s">
        <v>502</v>
      </c>
      <c r="J1069" s="83" t="s">
        <v>72</v>
      </c>
      <c r="K1069" s="83"/>
      <c r="L1069" s="84"/>
    </row>
    <row r="1070" spans="1:12">
      <c r="A1070" s="19" t="s">
        <v>95</v>
      </c>
      <c r="B1070" s="20" t="s">
        <v>3750</v>
      </c>
      <c r="C1070" s="77" t="s">
        <v>118</v>
      </c>
      <c r="D1070" s="77" t="s">
        <v>3751</v>
      </c>
      <c r="E1070" s="77" t="s">
        <v>3737</v>
      </c>
      <c r="F1070" s="77" t="s">
        <v>40</v>
      </c>
      <c r="G1070" s="22">
        <v>45235.083333333336</v>
      </c>
      <c r="H1070" s="22">
        <v>45235.097222222219</v>
      </c>
      <c r="I1070" s="78" t="s">
        <v>502</v>
      </c>
      <c r="J1070" s="79" t="s">
        <v>72</v>
      </c>
      <c r="K1070" s="79"/>
      <c r="L1070" s="80"/>
    </row>
    <row r="1071" spans="1:12">
      <c r="A1071" s="1" t="s">
        <v>20</v>
      </c>
      <c r="B1071" s="14" t="s">
        <v>3752</v>
      </c>
      <c r="C1071" s="81" t="s">
        <v>21</v>
      </c>
      <c r="D1071" s="81" t="s">
        <v>3753</v>
      </c>
      <c r="E1071" s="81" t="s">
        <v>3754</v>
      </c>
      <c r="F1071" s="81" t="s">
        <v>40</v>
      </c>
      <c r="G1071" s="16">
        <v>45235.931944444441</v>
      </c>
      <c r="H1071" s="16">
        <v>45235.956250000003</v>
      </c>
      <c r="I1071" s="82" t="s">
        <v>52</v>
      </c>
      <c r="J1071" s="83" t="s">
        <v>72</v>
      </c>
      <c r="K1071" s="83"/>
      <c r="L1071" s="84"/>
    </row>
    <row r="1072" spans="1:12">
      <c r="A1072" s="41" t="s">
        <v>106</v>
      </c>
      <c r="B1072" s="20" t="s">
        <v>3755</v>
      </c>
      <c r="C1072" s="77" t="s">
        <v>108</v>
      </c>
      <c r="D1072" s="77" t="s">
        <v>3756</v>
      </c>
      <c r="E1072" s="77" t="s">
        <v>3757</v>
      </c>
      <c r="F1072" s="77" t="s">
        <v>40</v>
      </c>
      <c r="G1072" s="22">
        <v>45235.7</v>
      </c>
      <c r="H1072" s="22">
        <v>45235.783333333333</v>
      </c>
      <c r="I1072" s="78" t="s">
        <v>3758</v>
      </c>
      <c r="J1072" s="79" t="s">
        <v>61</v>
      </c>
      <c r="K1072" s="79"/>
      <c r="L1072" s="80"/>
    </row>
    <row r="1073" spans="1:12">
      <c r="A1073" s="42" t="s">
        <v>20</v>
      </c>
      <c r="B1073" s="34" t="s">
        <v>3759</v>
      </c>
      <c r="C1073" s="81" t="s">
        <v>21</v>
      </c>
      <c r="D1073" s="53" t="s">
        <v>3760</v>
      </c>
      <c r="E1073" s="53" t="s">
        <v>3761</v>
      </c>
      <c r="F1073" s="53" t="s">
        <v>40</v>
      </c>
      <c r="G1073" s="16">
        <v>45236.068055555559</v>
      </c>
      <c r="H1073" s="16">
        <v>45236.086111111108</v>
      </c>
      <c r="I1073" s="82" t="s">
        <v>52</v>
      </c>
      <c r="J1073" s="83" t="s">
        <v>72</v>
      </c>
      <c r="K1073" s="59"/>
      <c r="L1073" s="60"/>
    </row>
    <row r="1074" spans="1:12">
      <c r="A1074" s="41" t="s">
        <v>20</v>
      </c>
      <c r="B1074" s="30" t="s">
        <v>3762</v>
      </c>
      <c r="C1074" s="77" t="s">
        <v>21</v>
      </c>
      <c r="D1074" s="61" t="s">
        <v>3763</v>
      </c>
      <c r="E1074" s="61" t="s">
        <v>3764</v>
      </c>
      <c r="F1074" s="61" t="s">
        <v>40</v>
      </c>
      <c r="G1074" s="22">
        <v>45236.23333333333</v>
      </c>
      <c r="H1074" s="22">
        <v>45236.256944444445</v>
      </c>
      <c r="I1074" s="78" t="s">
        <v>52</v>
      </c>
      <c r="J1074" s="79" t="s">
        <v>72</v>
      </c>
      <c r="K1074" s="63"/>
      <c r="L1074" s="64"/>
    </row>
    <row r="1075" spans="1:12">
      <c r="A1075" s="42" t="s">
        <v>20</v>
      </c>
      <c r="B1075" s="34" t="s">
        <v>3765</v>
      </c>
      <c r="C1075" s="81" t="s">
        <v>21</v>
      </c>
      <c r="D1075" s="53" t="s">
        <v>3766</v>
      </c>
      <c r="E1075" s="53" t="s">
        <v>3767</v>
      </c>
      <c r="F1075" s="53" t="s">
        <v>40</v>
      </c>
      <c r="G1075" s="16">
        <v>45236.265972222223</v>
      </c>
      <c r="H1075" s="16">
        <v>45236.292361111111</v>
      </c>
      <c r="I1075" s="82" t="s">
        <v>52</v>
      </c>
      <c r="J1075" s="83" t="s">
        <v>72</v>
      </c>
      <c r="K1075" s="59"/>
      <c r="L1075" s="60"/>
    </row>
    <row r="1076" spans="1:12">
      <c r="A1076" s="19" t="s">
        <v>20</v>
      </c>
      <c r="B1076" s="30" t="s">
        <v>3768</v>
      </c>
      <c r="C1076" s="61" t="s">
        <v>21</v>
      </c>
      <c r="D1076" s="61" t="s">
        <v>3769</v>
      </c>
      <c r="E1076" s="61" t="s">
        <v>3770</v>
      </c>
      <c r="F1076" s="61" t="s">
        <v>40</v>
      </c>
      <c r="G1076" s="22">
        <v>45237.426388888889</v>
      </c>
      <c r="H1076" s="22">
        <v>45237.4375</v>
      </c>
      <c r="I1076" s="62" t="s">
        <v>2909</v>
      </c>
      <c r="J1076" s="63" t="s">
        <v>61</v>
      </c>
      <c r="K1076" s="63"/>
      <c r="L1076" s="64"/>
    </row>
    <row r="1077" spans="1:12">
      <c r="A1077" s="1" t="s">
        <v>95</v>
      </c>
      <c r="B1077" s="34" t="s">
        <v>3771</v>
      </c>
      <c r="C1077" s="81" t="s">
        <v>1763</v>
      </c>
      <c r="D1077" s="15" t="s">
        <v>3772</v>
      </c>
      <c r="E1077" s="15" t="s">
        <v>3773</v>
      </c>
      <c r="F1077" s="81" t="s">
        <v>40</v>
      </c>
      <c r="G1077" s="16">
        <v>45237.390972222223</v>
      </c>
      <c r="H1077" s="16">
        <v>45237.432638888888</v>
      </c>
      <c r="I1077" s="82" t="s">
        <v>3774</v>
      </c>
      <c r="J1077" s="83" t="s">
        <v>61</v>
      </c>
      <c r="K1077" s="83"/>
      <c r="L1077" s="84"/>
    </row>
    <row r="1078" spans="1:12">
      <c r="A1078" s="19" t="s">
        <v>95</v>
      </c>
      <c r="B1078" s="20" t="s">
        <v>3775</v>
      </c>
      <c r="C1078" s="77" t="s">
        <v>1763</v>
      </c>
      <c r="D1078" s="21" t="s">
        <v>3776</v>
      </c>
      <c r="E1078" s="21" t="s">
        <v>3777</v>
      </c>
      <c r="F1078" s="77" t="s">
        <v>40</v>
      </c>
      <c r="G1078" s="22">
        <v>45237.468055555553</v>
      </c>
      <c r="H1078" s="22">
        <v>45237.509722222225</v>
      </c>
      <c r="I1078" s="62" t="s">
        <v>3774</v>
      </c>
      <c r="J1078" s="79" t="s">
        <v>61</v>
      </c>
      <c r="K1078" s="79"/>
      <c r="L1078" s="80"/>
    </row>
    <row r="1079" spans="1:12">
      <c r="A1079" s="1" t="s">
        <v>95</v>
      </c>
      <c r="B1079" s="14" t="s">
        <v>3778</v>
      </c>
      <c r="C1079" s="81" t="s">
        <v>118</v>
      </c>
      <c r="D1079" s="15" t="s">
        <v>3779</v>
      </c>
      <c r="E1079" s="15" t="s">
        <v>3780</v>
      </c>
      <c r="F1079" s="81" t="s">
        <v>40</v>
      </c>
      <c r="G1079" s="16">
        <v>45237.676388888889</v>
      </c>
      <c r="H1079" s="16">
        <v>45237.718055555553</v>
      </c>
      <c r="I1079" s="82" t="s">
        <v>1999</v>
      </c>
      <c r="J1079" s="83" t="s">
        <v>61</v>
      </c>
      <c r="K1079" s="83"/>
      <c r="L1079" s="84"/>
    </row>
    <row r="1080" spans="1:12">
      <c r="A1080" s="41" t="s">
        <v>106</v>
      </c>
      <c r="B1080" s="20" t="s">
        <v>3781</v>
      </c>
      <c r="C1080" s="77" t="s">
        <v>37</v>
      </c>
      <c r="D1080" s="77" t="s">
        <v>3782</v>
      </c>
      <c r="E1080" s="77" t="s">
        <v>3783</v>
      </c>
      <c r="F1080" s="77" t="s">
        <v>40</v>
      </c>
      <c r="G1080" s="22">
        <v>45149.375694444447</v>
      </c>
      <c r="H1080" s="22" t="s">
        <v>3784</v>
      </c>
      <c r="I1080" s="78" t="s">
        <v>2951</v>
      </c>
      <c r="J1080" s="79" t="s">
        <v>94</v>
      </c>
      <c r="K1080" s="79"/>
      <c r="L1080" s="80"/>
    </row>
    <row r="1081" spans="1:12">
      <c r="A1081" s="42" t="s">
        <v>20</v>
      </c>
      <c r="B1081" s="34" t="s">
        <v>3785</v>
      </c>
      <c r="C1081" s="53" t="s">
        <v>21</v>
      </c>
      <c r="D1081" s="53" t="s">
        <v>3786</v>
      </c>
      <c r="E1081" s="53" t="s">
        <v>3787</v>
      </c>
      <c r="F1081" s="53" t="s">
        <v>40</v>
      </c>
      <c r="G1081" s="16">
        <v>45149.679166666669</v>
      </c>
      <c r="H1081" s="16">
        <v>45149.683333333334</v>
      </c>
      <c r="I1081" s="58" t="s">
        <v>87</v>
      </c>
      <c r="J1081" s="59" t="s">
        <v>88</v>
      </c>
      <c r="K1081" s="59"/>
      <c r="L1081" s="60"/>
    </row>
    <row r="1082" spans="1:12">
      <c r="A1082" s="41" t="s">
        <v>20</v>
      </c>
      <c r="B1082" s="30" t="s">
        <v>3788</v>
      </c>
      <c r="C1082" s="61" t="s">
        <v>49</v>
      </c>
      <c r="D1082" s="61" t="s">
        <v>3789</v>
      </c>
      <c r="E1082" s="61" t="s">
        <v>3790</v>
      </c>
      <c r="F1082" s="61" t="s">
        <v>40</v>
      </c>
      <c r="G1082" s="22">
        <v>45149.700694444444</v>
      </c>
      <c r="H1082" s="22">
        <v>45180.225694444445</v>
      </c>
      <c r="I1082" s="62" t="s">
        <v>3617</v>
      </c>
      <c r="J1082" s="63" t="s">
        <v>88</v>
      </c>
      <c r="K1082" s="63" t="s">
        <v>94</v>
      </c>
      <c r="L1082" s="64"/>
    </row>
    <row r="1083" spans="1:12">
      <c r="A1083" s="42" t="s">
        <v>20</v>
      </c>
      <c r="B1083" s="34" t="s">
        <v>3791</v>
      </c>
      <c r="C1083" s="53" t="s">
        <v>21</v>
      </c>
      <c r="D1083" s="53" t="s">
        <v>3792</v>
      </c>
      <c r="E1083" s="53" t="s">
        <v>3793</v>
      </c>
      <c r="F1083" s="53" t="s">
        <v>40</v>
      </c>
      <c r="G1083" s="16">
        <v>45149.740277777775</v>
      </c>
      <c r="H1083" s="16">
        <v>45149.790277777778</v>
      </c>
      <c r="I1083" s="58" t="s">
        <v>3794</v>
      </c>
      <c r="J1083" s="59" t="s">
        <v>88</v>
      </c>
      <c r="K1083" s="59"/>
      <c r="L1083" s="60"/>
    </row>
    <row r="1084" spans="1:12">
      <c r="A1084" s="41" t="s">
        <v>20</v>
      </c>
      <c r="B1084" s="30" t="s">
        <v>3795</v>
      </c>
      <c r="C1084" s="61" t="s">
        <v>21</v>
      </c>
      <c r="D1084" s="61" t="s">
        <v>3796</v>
      </c>
      <c r="E1084" s="61" t="s">
        <v>3797</v>
      </c>
      <c r="F1084" s="61" t="s">
        <v>40</v>
      </c>
      <c r="G1084" s="22">
        <v>45149.813888888886</v>
      </c>
      <c r="H1084" s="22">
        <v>45149.865277777775</v>
      </c>
      <c r="I1084" s="62" t="s">
        <v>3794</v>
      </c>
      <c r="J1084" s="63" t="s">
        <v>88</v>
      </c>
      <c r="K1084" s="63"/>
      <c r="L1084" s="64"/>
    </row>
    <row r="1085" spans="1:12">
      <c r="A1085" s="42" t="s">
        <v>95</v>
      </c>
      <c r="B1085" s="34" t="s">
        <v>3798</v>
      </c>
      <c r="C1085" s="53" t="s">
        <v>113</v>
      </c>
      <c r="D1085" s="53" t="s">
        <v>3799</v>
      </c>
      <c r="E1085" s="53" t="s">
        <v>3800</v>
      </c>
      <c r="F1085" s="53" t="s">
        <v>40</v>
      </c>
      <c r="G1085" s="16">
        <v>45149.865972222222</v>
      </c>
      <c r="H1085" s="16">
        <v>45149.882638888892</v>
      </c>
      <c r="I1085" s="58" t="s">
        <v>2585</v>
      </c>
      <c r="J1085" s="59" t="s">
        <v>88</v>
      </c>
      <c r="K1085" s="59"/>
      <c r="L1085" s="60"/>
    </row>
    <row r="1086" spans="1:12">
      <c r="A1086" s="41" t="s">
        <v>20</v>
      </c>
      <c r="B1086" s="30" t="s">
        <v>3801</v>
      </c>
      <c r="C1086" s="61" t="s">
        <v>21</v>
      </c>
      <c r="D1086" s="61" t="s">
        <v>3802</v>
      </c>
      <c r="E1086" s="61" t="s">
        <v>3803</v>
      </c>
      <c r="F1086" s="61" t="s">
        <v>40</v>
      </c>
      <c r="G1086" s="22">
        <v>45180.037499999999</v>
      </c>
      <c r="H1086" s="22">
        <v>45180.07916666667</v>
      </c>
      <c r="I1086" s="62" t="s">
        <v>3794</v>
      </c>
      <c r="J1086" s="63" t="s">
        <v>88</v>
      </c>
      <c r="K1086" s="63"/>
      <c r="L1086" s="64"/>
    </row>
    <row r="1087" spans="1:12">
      <c r="A1087" s="42" t="s">
        <v>20</v>
      </c>
      <c r="B1087" s="34" t="s">
        <v>3804</v>
      </c>
      <c r="C1087" s="53" t="s">
        <v>21</v>
      </c>
      <c r="D1087" s="53" t="s">
        <v>3805</v>
      </c>
      <c r="E1087" s="53" t="s">
        <v>3806</v>
      </c>
      <c r="F1087" s="53" t="s">
        <v>40</v>
      </c>
      <c r="G1087" s="16">
        <v>45180.079861111109</v>
      </c>
      <c r="H1087" s="16">
        <v>45180.107638888891</v>
      </c>
      <c r="I1087" s="58" t="s">
        <v>3794</v>
      </c>
      <c r="J1087" s="59" t="s">
        <v>88</v>
      </c>
      <c r="K1087" s="59"/>
      <c r="L1087" s="60"/>
    </row>
    <row r="1088" spans="1:12">
      <c r="A1088" s="19" t="s">
        <v>95</v>
      </c>
      <c r="B1088" s="30" t="s">
        <v>3807</v>
      </c>
      <c r="C1088" s="61" t="s">
        <v>97</v>
      </c>
      <c r="D1088" s="61" t="s">
        <v>3808</v>
      </c>
      <c r="E1088" s="61" t="s">
        <v>3809</v>
      </c>
      <c r="F1088" s="61" t="s">
        <v>40</v>
      </c>
      <c r="G1088" s="22">
        <v>45180.59097222222</v>
      </c>
      <c r="H1088" s="22">
        <v>45180.598611111112</v>
      </c>
      <c r="I1088" s="62" t="s">
        <v>2544</v>
      </c>
      <c r="J1088" s="63" t="s">
        <v>94</v>
      </c>
      <c r="K1088" s="63"/>
      <c r="L1088" s="64"/>
    </row>
    <row r="1089" spans="1:12">
      <c r="A1089" s="42" t="s">
        <v>20</v>
      </c>
      <c r="B1089" s="34" t="s">
        <v>3810</v>
      </c>
      <c r="C1089" s="53" t="s">
        <v>21</v>
      </c>
      <c r="D1089" s="53" t="s">
        <v>3811</v>
      </c>
      <c r="E1089" s="53" t="s">
        <v>3812</v>
      </c>
      <c r="F1089" s="53" t="s">
        <v>40</v>
      </c>
      <c r="G1089" s="16">
        <v>45180.730555555558</v>
      </c>
      <c r="H1089" s="16">
        <v>45180.756944444445</v>
      </c>
      <c r="I1089" s="58" t="s">
        <v>3813</v>
      </c>
      <c r="J1089" s="59" t="s">
        <v>88</v>
      </c>
      <c r="K1089" s="59"/>
      <c r="L1089" s="60"/>
    </row>
    <row r="1090" spans="1:12">
      <c r="A1090" s="41" t="s">
        <v>20</v>
      </c>
      <c r="B1090" s="30" t="s">
        <v>3814</v>
      </c>
      <c r="C1090" s="61" t="s">
        <v>21</v>
      </c>
      <c r="D1090" s="61" t="s">
        <v>3815</v>
      </c>
      <c r="E1090" s="61" t="s">
        <v>3816</v>
      </c>
      <c r="F1090" s="61" t="s">
        <v>40</v>
      </c>
      <c r="G1090" s="22">
        <v>45180.757638888892</v>
      </c>
      <c r="H1090" s="22">
        <v>45180.779166666667</v>
      </c>
      <c r="I1090" s="62" t="s">
        <v>3813</v>
      </c>
      <c r="J1090" s="63" t="s">
        <v>88</v>
      </c>
      <c r="K1090" s="63"/>
      <c r="L1090" s="64"/>
    </row>
    <row r="1091" spans="1:12">
      <c r="A1091" s="42" t="s">
        <v>20</v>
      </c>
      <c r="B1091" s="34" t="s">
        <v>3817</v>
      </c>
      <c r="C1091" s="53" t="s">
        <v>21</v>
      </c>
      <c r="D1091" s="53" t="s">
        <v>3818</v>
      </c>
      <c r="E1091" s="53" t="s">
        <v>3819</v>
      </c>
      <c r="F1091" s="53" t="s">
        <v>40</v>
      </c>
      <c r="G1091" s="16">
        <v>45180.856944444444</v>
      </c>
      <c r="H1091" s="16">
        <v>45180.884027777778</v>
      </c>
      <c r="I1091" s="58" t="s">
        <v>3813</v>
      </c>
      <c r="J1091" s="59" t="s">
        <v>88</v>
      </c>
      <c r="K1091" s="59"/>
      <c r="L1091" s="60"/>
    </row>
    <row r="1092" spans="1:12">
      <c r="A1092" s="41" t="s">
        <v>95</v>
      </c>
      <c r="B1092" s="30" t="s">
        <v>3820</v>
      </c>
      <c r="C1092" s="61" t="s">
        <v>113</v>
      </c>
      <c r="D1092" s="61" t="s">
        <v>3799</v>
      </c>
      <c r="E1092" s="61" t="s">
        <v>3821</v>
      </c>
      <c r="F1092" s="61" t="s">
        <v>40</v>
      </c>
      <c r="G1092" s="22">
        <v>45180.88958333333</v>
      </c>
      <c r="H1092" s="22">
        <v>45180.890277777777</v>
      </c>
      <c r="I1092" s="62" t="s">
        <v>2585</v>
      </c>
      <c r="J1092" s="63" t="s">
        <v>88</v>
      </c>
      <c r="K1092" s="63"/>
      <c r="L1092" s="64"/>
    </row>
    <row r="1093" spans="1:12">
      <c r="A1093" s="42" t="s">
        <v>106</v>
      </c>
      <c r="B1093" s="34" t="s">
        <v>3822</v>
      </c>
      <c r="C1093" s="53" t="s">
        <v>108</v>
      </c>
      <c r="D1093" s="53" t="s">
        <v>3823</v>
      </c>
      <c r="E1093" s="53" t="s">
        <v>3824</v>
      </c>
      <c r="F1093" s="53" t="s">
        <v>40</v>
      </c>
      <c r="G1093" s="16">
        <v>45180.950694444444</v>
      </c>
      <c r="H1093" s="16">
        <v>45180.964583333334</v>
      </c>
      <c r="I1093" s="58" t="s">
        <v>3825</v>
      </c>
      <c r="J1093" s="59" t="s">
        <v>88</v>
      </c>
      <c r="K1093" s="59"/>
      <c r="L1093" s="60"/>
    </row>
    <row r="1094" spans="1:12">
      <c r="A1094" s="41" t="s">
        <v>20</v>
      </c>
      <c r="B1094" s="30" t="s">
        <v>3826</v>
      </c>
      <c r="C1094" s="61" t="s">
        <v>21</v>
      </c>
      <c r="D1094" s="61" t="s">
        <v>3827</v>
      </c>
      <c r="E1094" s="61" t="s">
        <v>3828</v>
      </c>
      <c r="F1094" s="61" t="s">
        <v>40</v>
      </c>
      <c r="G1094" s="22">
        <v>45180.990277777775</v>
      </c>
      <c r="H1094" s="22">
        <v>45210.015277777777</v>
      </c>
      <c r="I1094" s="62" t="s">
        <v>3813</v>
      </c>
      <c r="J1094" s="63" t="s">
        <v>88</v>
      </c>
      <c r="K1094" s="63"/>
      <c r="L1094" s="64"/>
    </row>
    <row r="1095" spans="1:12">
      <c r="A1095" s="1" t="s">
        <v>106</v>
      </c>
      <c r="B1095" s="34" t="s">
        <v>3829</v>
      </c>
      <c r="C1095" s="53" t="s">
        <v>333</v>
      </c>
      <c r="D1095" s="53" t="s">
        <v>3830</v>
      </c>
      <c r="E1095" s="53" t="s">
        <v>3831</v>
      </c>
      <c r="F1095" s="53" t="s">
        <v>40</v>
      </c>
      <c r="G1095" s="16">
        <v>45210.135416666664</v>
      </c>
      <c r="H1095" s="16">
        <v>45271.152777777781</v>
      </c>
      <c r="I1095" s="58" t="s">
        <v>3832</v>
      </c>
      <c r="J1095" s="59" t="s">
        <v>88</v>
      </c>
      <c r="K1095" s="59"/>
      <c r="L1095" s="60"/>
    </row>
    <row r="1096" spans="1:12">
      <c r="A1096" s="41" t="s">
        <v>20</v>
      </c>
      <c r="B1096" s="30" t="s">
        <v>3833</v>
      </c>
      <c r="C1096" s="61" t="s">
        <v>21</v>
      </c>
      <c r="D1096" s="61" t="s">
        <v>3834</v>
      </c>
      <c r="E1096" s="61" t="s">
        <v>3835</v>
      </c>
      <c r="F1096" s="61" t="s">
        <v>40</v>
      </c>
      <c r="G1096" s="22">
        <v>45210.142361111109</v>
      </c>
      <c r="H1096" s="22">
        <v>45241.581944444442</v>
      </c>
      <c r="I1096" s="62" t="s">
        <v>3813</v>
      </c>
      <c r="J1096" s="63" t="s">
        <v>88</v>
      </c>
      <c r="K1096" s="63" t="s">
        <v>94</v>
      </c>
      <c r="L1096" s="64"/>
    </row>
    <row r="1097" spans="1:12">
      <c r="A1097" s="1" t="s">
        <v>20</v>
      </c>
      <c r="B1097" s="34" t="s">
        <v>3836</v>
      </c>
      <c r="C1097" s="53" t="s">
        <v>13</v>
      </c>
      <c r="D1097" s="53" t="s">
        <v>3837</v>
      </c>
      <c r="E1097" s="53" t="s">
        <v>3838</v>
      </c>
      <c r="F1097" s="53" t="s">
        <v>40</v>
      </c>
      <c r="G1097" s="16">
        <v>45210.29791666667</v>
      </c>
      <c r="H1097" s="16" t="s">
        <v>3839</v>
      </c>
      <c r="I1097" s="58" t="s">
        <v>17</v>
      </c>
      <c r="J1097" s="59" t="s">
        <v>94</v>
      </c>
      <c r="K1097" s="59"/>
      <c r="L1097" s="60"/>
    </row>
    <row r="1098" spans="1:12">
      <c r="A1098" s="41" t="s">
        <v>20</v>
      </c>
      <c r="B1098" s="30" t="s">
        <v>3840</v>
      </c>
      <c r="C1098" s="61" t="s">
        <v>13</v>
      </c>
      <c r="D1098" s="61" t="s">
        <v>3841</v>
      </c>
      <c r="E1098" s="61" t="s">
        <v>3842</v>
      </c>
      <c r="F1098" s="61" t="s">
        <v>40</v>
      </c>
      <c r="G1098" s="22">
        <v>45210.299305555556</v>
      </c>
      <c r="H1098" s="22">
        <v>45210.467361111114</v>
      </c>
      <c r="I1098" s="62" t="s">
        <v>17</v>
      </c>
      <c r="J1098" s="63" t="s">
        <v>94</v>
      </c>
      <c r="K1098" s="63"/>
      <c r="L1098" s="64"/>
    </row>
    <row r="1099" spans="1:12">
      <c r="A1099" s="42" t="s">
        <v>20</v>
      </c>
      <c r="B1099" s="34" t="s">
        <v>3843</v>
      </c>
      <c r="C1099" s="53" t="s">
        <v>13</v>
      </c>
      <c r="D1099" s="53" t="s">
        <v>3841</v>
      </c>
      <c r="E1099" s="53" t="s">
        <v>3842</v>
      </c>
      <c r="F1099" s="53" t="s">
        <v>40</v>
      </c>
      <c r="G1099" s="16">
        <v>45210.3</v>
      </c>
      <c r="H1099" s="16">
        <v>45210.554861111108</v>
      </c>
      <c r="I1099" s="58" t="s">
        <v>17</v>
      </c>
      <c r="J1099" s="59" t="s">
        <v>94</v>
      </c>
      <c r="K1099" s="59"/>
      <c r="L1099" s="60"/>
    </row>
    <row r="1100" spans="1:12">
      <c r="A1100" s="41" t="s">
        <v>20</v>
      </c>
      <c r="B1100" s="30" t="s">
        <v>3844</v>
      </c>
      <c r="C1100" s="61" t="s">
        <v>13</v>
      </c>
      <c r="D1100" s="61" t="s">
        <v>3841</v>
      </c>
      <c r="E1100" s="61" t="s">
        <v>3842</v>
      </c>
      <c r="F1100" s="61" t="s">
        <v>40</v>
      </c>
      <c r="G1100" s="22">
        <v>45210.3</v>
      </c>
      <c r="H1100" s="22">
        <v>45210.46875</v>
      </c>
      <c r="I1100" s="62" t="s">
        <v>17</v>
      </c>
      <c r="J1100" s="63" t="s">
        <v>94</v>
      </c>
      <c r="K1100" s="63"/>
      <c r="L1100" s="64"/>
    </row>
    <row r="1101" spans="1:12">
      <c r="A1101" s="42" t="s">
        <v>106</v>
      </c>
      <c r="B1101" s="34" t="s">
        <v>3845</v>
      </c>
      <c r="C1101" s="53" t="s">
        <v>108</v>
      </c>
      <c r="D1101" s="53" t="s">
        <v>3846</v>
      </c>
      <c r="E1101" s="53" t="s">
        <v>3847</v>
      </c>
      <c r="F1101" s="53" t="s">
        <v>40</v>
      </c>
      <c r="G1101" s="16">
        <v>45210.309027777781</v>
      </c>
      <c r="H1101" s="16">
        <v>45241.589583333334</v>
      </c>
      <c r="I1101" s="58" t="s">
        <v>3848</v>
      </c>
      <c r="J1101" s="59" t="s">
        <v>94</v>
      </c>
      <c r="K1101" s="59"/>
      <c r="L1101" s="60"/>
    </row>
    <row r="1102" spans="1:12">
      <c r="A1102" s="41" t="s">
        <v>20</v>
      </c>
      <c r="B1102" s="30" t="s">
        <v>3849</v>
      </c>
      <c r="C1102" s="61" t="s">
        <v>13</v>
      </c>
      <c r="D1102" s="61" t="s">
        <v>3850</v>
      </c>
      <c r="E1102" s="61" t="s">
        <v>3842</v>
      </c>
      <c r="F1102" s="61" t="s">
        <v>40</v>
      </c>
      <c r="G1102" s="22">
        <v>45210.400000000001</v>
      </c>
      <c r="H1102" s="22">
        <v>45210.555555555555</v>
      </c>
      <c r="I1102" s="62" t="s">
        <v>17</v>
      </c>
      <c r="J1102" s="63" t="s">
        <v>94</v>
      </c>
      <c r="K1102" s="63"/>
      <c r="L1102" s="64"/>
    </row>
    <row r="1103" spans="1:12">
      <c r="A1103" s="42" t="s">
        <v>20</v>
      </c>
      <c r="B1103" s="34" t="s">
        <v>3851</v>
      </c>
      <c r="C1103" s="53" t="s">
        <v>21</v>
      </c>
      <c r="D1103" s="53" t="s">
        <v>3852</v>
      </c>
      <c r="E1103" s="53" t="s">
        <v>3853</v>
      </c>
      <c r="F1103" s="53" t="s">
        <v>40</v>
      </c>
      <c r="G1103" s="16">
        <v>45210.743055555555</v>
      </c>
      <c r="H1103" s="16">
        <v>45210.74722222222</v>
      </c>
      <c r="I1103" s="58" t="s">
        <v>3854</v>
      </c>
      <c r="J1103" s="59" t="s">
        <v>88</v>
      </c>
      <c r="K1103" s="59"/>
      <c r="L1103" s="60"/>
    </row>
    <row r="1104" spans="1:12">
      <c r="A1104" s="41" t="s">
        <v>20</v>
      </c>
      <c r="B1104" s="30" t="s">
        <v>3855</v>
      </c>
      <c r="C1104" s="61" t="s">
        <v>21</v>
      </c>
      <c r="D1104" s="61" t="s">
        <v>3856</v>
      </c>
      <c r="E1104" s="61" t="s">
        <v>3857</v>
      </c>
      <c r="F1104" s="61" t="s">
        <v>40</v>
      </c>
      <c r="G1104" s="22">
        <v>45210.777083333334</v>
      </c>
      <c r="H1104" s="22">
        <v>45210.794444444444</v>
      </c>
      <c r="I1104" s="62" t="s">
        <v>3813</v>
      </c>
      <c r="J1104" s="63" t="s">
        <v>88</v>
      </c>
      <c r="K1104" s="63"/>
      <c r="L1104" s="64"/>
    </row>
    <row r="1105" spans="1:12" ht="319">
      <c r="A1105" s="42" t="s">
        <v>20</v>
      </c>
      <c r="B1105" s="34" t="s">
        <v>3858</v>
      </c>
      <c r="C1105" s="53" t="s">
        <v>21</v>
      </c>
      <c r="D1105" s="53" t="s">
        <v>3859</v>
      </c>
      <c r="E1105" s="65" t="s">
        <v>3860</v>
      </c>
      <c r="F1105" s="53" t="s">
        <v>40</v>
      </c>
      <c r="G1105" s="16">
        <v>45210.806944444441</v>
      </c>
      <c r="H1105" s="16" t="s">
        <v>3861</v>
      </c>
      <c r="I1105" s="58" t="s">
        <v>3813</v>
      </c>
      <c r="J1105" s="59" t="s">
        <v>88</v>
      </c>
      <c r="K1105" s="59"/>
      <c r="L1105" s="60"/>
    </row>
    <row r="1106" spans="1:12">
      <c r="A1106" s="41" t="s">
        <v>20</v>
      </c>
      <c r="B1106" s="30" t="s">
        <v>3862</v>
      </c>
      <c r="C1106" s="61" t="s">
        <v>21</v>
      </c>
      <c r="D1106" s="61" t="s">
        <v>3863</v>
      </c>
      <c r="E1106" s="61" t="s">
        <v>3864</v>
      </c>
      <c r="F1106" s="61" t="s">
        <v>40</v>
      </c>
      <c r="G1106" s="22">
        <v>45210.81527777778</v>
      </c>
      <c r="H1106" s="22">
        <v>45210.824999999997</v>
      </c>
      <c r="I1106" s="62" t="s">
        <v>3813</v>
      </c>
      <c r="J1106" s="63" t="s">
        <v>88</v>
      </c>
      <c r="K1106" s="63"/>
      <c r="L1106" s="64"/>
    </row>
    <row r="1107" spans="1:12">
      <c r="A1107" s="42" t="s">
        <v>20</v>
      </c>
      <c r="B1107" s="34" t="s">
        <v>3865</v>
      </c>
      <c r="C1107" s="53" t="s">
        <v>21</v>
      </c>
      <c r="D1107" s="53" t="s">
        <v>3866</v>
      </c>
      <c r="E1107" s="53" t="s">
        <v>3867</v>
      </c>
      <c r="F1107" s="53" t="s">
        <v>40</v>
      </c>
      <c r="G1107" s="16">
        <v>45210.847222222219</v>
      </c>
      <c r="H1107" s="16">
        <v>45210.862500000003</v>
      </c>
      <c r="I1107" s="58" t="s">
        <v>3813</v>
      </c>
      <c r="J1107" s="59" t="s">
        <v>88</v>
      </c>
      <c r="K1107" s="59"/>
      <c r="L1107" s="60"/>
    </row>
    <row r="1108" spans="1:12">
      <c r="A1108" s="41" t="s">
        <v>95</v>
      </c>
      <c r="B1108" s="30" t="s">
        <v>3868</v>
      </c>
      <c r="C1108" s="61" t="s">
        <v>113</v>
      </c>
      <c r="D1108" s="61" t="s">
        <v>3799</v>
      </c>
      <c r="E1108" s="61" t="s">
        <v>3869</v>
      </c>
      <c r="F1108" s="61" t="s">
        <v>40</v>
      </c>
      <c r="G1108" s="22">
        <v>45210.920138888891</v>
      </c>
      <c r="H1108" s="22">
        <v>45210.925694444442</v>
      </c>
      <c r="I1108" s="62" t="s">
        <v>2585</v>
      </c>
      <c r="J1108" s="63" t="s">
        <v>88</v>
      </c>
      <c r="K1108" s="63"/>
      <c r="L1108" s="64"/>
    </row>
    <row r="1109" spans="1:12">
      <c r="A1109" s="42" t="s">
        <v>20</v>
      </c>
      <c r="B1109" s="34" t="s">
        <v>3870</v>
      </c>
      <c r="C1109" s="53" t="s">
        <v>21</v>
      </c>
      <c r="D1109" s="53" t="s">
        <v>3871</v>
      </c>
      <c r="E1109" s="53" t="s">
        <v>3872</v>
      </c>
      <c r="F1109" s="53" t="s">
        <v>40</v>
      </c>
      <c r="G1109" s="16">
        <v>45210.94027777778</v>
      </c>
      <c r="H1109" s="16">
        <v>45210.95208333333</v>
      </c>
      <c r="I1109" s="58" t="s">
        <v>3813</v>
      </c>
      <c r="J1109" s="59" t="s">
        <v>88</v>
      </c>
      <c r="K1109" s="59"/>
      <c r="L1109" s="60"/>
    </row>
    <row r="1110" spans="1:12">
      <c r="A1110" s="41" t="s">
        <v>106</v>
      </c>
      <c r="B1110" s="30" t="s">
        <v>3873</v>
      </c>
      <c r="C1110" s="61" t="s">
        <v>108</v>
      </c>
      <c r="D1110" s="61" t="s">
        <v>1767</v>
      </c>
      <c r="E1110" s="61" t="s">
        <v>3874</v>
      </c>
      <c r="F1110" s="61" t="s">
        <v>40</v>
      </c>
      <c r="G1110" s="22">
        <v>45210.984722222223</v>
      </c>
      <c r="H1110" s="22">
        <v>45241.033333333333</v>
      </c>
      <c r="I1110" s="62" t="s">
        <v>3825</v>
      </c>
      <c r="J1110" s="63" t="s">
        <v>88</v>
      </c>
      <c r="K1110" s="63"/>
      <c r="L1110" s="64"/>
    </row>
    <row r="1111" spans="1:12">
      <c r="A1111" s="42" t="s">
        <v>20</v>
      </c>
      <c r="B1111" s="34" t="s">
        <v>3875</v>
      </c>
      <c r="C1111" s="53" t="s">
        <v>21</v>
      </c>
      <c r="D1111" s="53" t="s">
        <v>3876</v>
      </c>
      <c r="E1111" s="53" t="s">
        <v>3877</v>
      </c>
      <c r="F1111" s="53" t="s">
        <v>40</v>
      </c>
      <c r="G1111" s="16">
        <v>45241.073611111111</v>
      </c>
      <c r="H1111" s="16">
        <v>45241.07708333333</v>
      </c>
      <c r="I1111" s="58" t="s">
        <v>3813</v>
      </c>
      <c r="J1111" s="59" t="s">
        <v>88</v>
      </c>
      <c r="K1111" s="59"/>
      <c r="L1111" s="60"/>
    </row>
    <row r="1112" spans="1:12">
      <c r="A1112" s="41" t="s">
        <v>20</v>
      </c>
      <c r="B1112" s="30" t="s">
        <v>3878</v>
      </c>
      <c r="C1112" s="61" t="s">
        <v>21</v>
      </c>
      <c r="D1112" s="61" t="s">
        <v>3879</v>
      </c>
      <c r="E1112" s="61" t="s">
        <v>3880</v>
      </c>
      <c r="F1112" s="61" t="s">
        <v>40</v>
      </c>
      <c r="G1112" s="22">
        <v>45241.102083333331</v>
      </c>
      <c r="H1112" s="22">
        <v>45241.114583333336</v>
      </c>
      <c r="I1112" s="62" t="s">
        <v>3813</v>
      </c>
      <c r="J1112" s="63" t="s">
        <v>88</v>
      </c>
      <c r="K1112" s="63"/>
      <c r="L1112" s="64"/>
    </row>
    <row r="1113" spans="1:12">
      <c r="A1113" s="1" t="s">
        <v>106</v>
      </c>
      <c r="B1113" s="34" t="s">
        <v>3881</v>
      </c>
      <c r="C1113" s="53" t="s">
        <v>108</v>
      </c>
      <c r="D1113" s="53" t="s">
        <v>3882</v>
      </c>
      <c r="E1113" s="53" t="s">
        <v>3883</v>
      </c>
      <c r="F1113" s="53" t="s">
        <v>40</v>
      </c>
      <c r="G1113" s="16">
        <v>45241.288888888892</v>
      </c>
      <c r="H1113" s="16">
        <v>45241.583333333336</v>
      </c>
      <c r="I1113" s="58" t="s">
        <v>1373</v>
      </c>
      <c r="J1113" s="59" t="s">
        <v>94</v>
      </c>
      <c r="K1113" s="59"/>
      <c r="L1113" s="60"/>
    </row>
    <row r="1114" spans="1:12">
      <c r="A1114" s="41" t="s">
        <v>20</v>
      </c>
      <c r="B1114" s="30" t="s">
        <v>3884</v>
      </c>
      <c r="C1114" s="61" t="s">
        <v>13</v>
      </c>
      <c r="D1114" s="61" t="s">
        <v>3885</v>
      </c>
      <c r="E1114" s="61" t="s">
        <v>3886</v>
      </c>
      <c r="F1114" s="61" t="s">
        <v>40</v>
      </c>
      <c r="G1114" s="22">
        <v>45241.461111111108</v>
      </c>
      <c r="H1114" s="22">
        <v>45241.584027777775</v>
      </c>
      <c r="I1114" s="62" t="s">
        <v>17</v>
      </c>
      <c r="J1114" s="63" t="s">
        <v>94</v>
      </c>
      <c r="K1114" s="63"/>
      <c r="L1114" s="64"/>
    </row>
    <row r="1115" spans="1:12">
      <c r="A1115" s="42" t="s">
        <v>20</v>
      </c>
      <c r="B1115" s="34" t="s">
        <v>3887</v>
      </c>
      <c r="C1115" s="53" t="s">
        <v>49</v>
      </c>
      <c r="D1115" s="53" t="s">
        <v>3888</v>
      </c>
      <c r="E1115" s="53" t="s">
        <v>3889</v>
      </c>
      <c r="F1115" s="53" t="s">
        <v>214</v>
      </c>
      <c r="G1115" s="16">
        <v>45241.591666666667</v>
      </c>
      <c r="H1115" s="16" t="s">
        <v>3890</v>
      </c>
      <c r="I1115" s="58" t="s">
        <v>3891</v>
      </c>
      <c r="J1115" s="59" t="s">
        <v>94</v>
      </c>
      <c r="K1115" s="59"/>
      <c r="L1115" s="60"/>
    </row>
    <row r="1116" spans="1:12">
      <c r="A1116" s="41" t="s">
        <v>20</v>
      </c>
      <c r="B1116" s="30" t="s">
        <v>3887</v>
      </c>
      <c r="C1116" s="61" t="s">
        <v>49</v>
      </c>
      <c r="D1116" s="61" t="s">
        <v>3888</v>
      </c>
      <c r="E1116" s="61" t="s">
        <v>3892</v>
      </c>
      <c r="F1116" s="61" t="s">
        <v>40</v>
      </c>
      <c r="G1116" s="22">
        <v>45241.591666666667</v>
      </c>
      <c r="H1116" s="22" t="s">
        <v>3890</v>
      </c>
      <c r="I1116" s="62" t="s">
        <v>3891</v>
      </c>
      <c r="J1116" s="63" t="s">
        <v>94</v>
      </c>
      <c r="K1116" s="63"/>
      <c r="L1116" s="64"/>
    </row>
    <row r="1117" spans="1:12">
      <c r="A1117" s="42" t="s">
        <v>20</v>
      </c>
      <c r="B1117" s="34" t="s">
        <v>3893</v>
      </c>
      <c r="C1117" s="53" t="s">
        <v>21</v>
      </c>
      <c r="D1117" s="53" t="s">
        <v>3894</v>
      </c>
      <c r="E1117" s="53" t="s">
        <v>3895</v>
      </c>
      <c r="F1117" s="53" t="s">
        <v>40</v>
      </c>
      <c r="G1117" s="16">
        <v>45241.724305555559</v>
      </c>
      <c r="H1117" s="16">
        <v>45241.963888888888</v>
      </c>
      <c r="I1117" s="58" t="s">
        <v>3813</v>
      </c>
      <c r="J1117" s="59" t="s">
        <v>88</v>
      </c>
      <c r="K1117" s="59"/>
      <c r="L1117" s="60"/>
    </row>
    <row r="1118" spans="1:12">
      <c r="A1118" s="61" t="s">
        <v>20</v>
      </c>
      <c r="B1118" s="8" t="s">
        <v>3896</v>
      </c>
      <c r="C1118" s="72" t="s">
        <v>21</v>
      </c>
      <c r="D1118" s="7" t="s">
        <v>3897</v>
      </c>
      <c r="E1118" s="7" t="s">
        <v>3898</v>
      </c>
      <c r="F1118" s="61" t="s">
        <v>40</v>
      </c>
      <c r="G1118" s="22">
        <v>45241.964583333334</v>
      </c>
      <c r="H1118" s="22">
        <v>45271.145833333336</v>
      </c>
      <c r="I1118" s="62" t="s">
        <v>3813</v>
      </c>
      <c r="J1118" s="63" t="s">
        <v>88</v>
      </c>
      <c r="K1118" s="63"/>
      <c r="L1118" s="64"/>
    </row>
    <row r="1119" spans="1:12">
      <c r="A1119" s="53" t="s">
        <v>20</v>
      </c>
      <c r="B1119" s="3" t="s">
        <v>3899</v>
      </c>
      <c r="C1119" s="70" t="s">
        <v>21</v>
      </c>
      <c r="D1119" s="2" t="s">
        <v>3900</v>
      </c>
      <c r="E1119" s="53" t="s">
        <v>3901</v>
      </c>
      <c r="F1119" s="53" t="s">
        <v>40</v>
      </c>
      <c r="G1119" s="16">
        <v>45241.966666666667</v>
      </c>
      <c r="H1119" s="16">
        <v>45241.981249999997</v>
      </c>
      <c r="I1119" s="4" t="s">
        <v>3813</v>
      </c>
      <c r="J1119" s="5" t="s">
        <v>88</v>
      </c>
      <c r="K1119" s="59"/>
      <c r="L1119" s="75"/>
    </row>
    <row r="1120" spans="1:12">
      <c r="A1120" s="61" t="s">
        <v>20</v>
      </c>
      <c r="B1120" s="8" t="s">
        <v>3902</v>
      </c>
      <c r="C1120" s="72" t="s">
        <v>13</v>
      </c>
      <c r="D1120" s="7" t="s">
        <v>3903</v>
      </c>
      <c r="E1120" s="7" t="s">
        <v>3904</v>
      </c>
      <c r="F1120" s="61" t="s">
        <v>40</v>
      </c>
      <c r="G1120" s="22">
        <v>45271.131944444445</v>
      </c>
      <c r="H1120" s="22">
        <v>45271.461805555555</v>
      </c>
      <c r="I1120" s="11" t="s">
        <v>17</v>
      </c>
      <c r="J1120" s="12" t="s">
        <v>94</v>
      </c>
      <c r="K1120" s="63"/>
      <c r="L1120" s="76"/>
    </row>
    <row r="1121" spans="1:12">
      <c r="A1121" s="53" t="s">
        <v>20</v>
      </c>
      <c r="B1121" s="3" t="s">
        <v>3905</v>
      </c>
      <c r="C1121" s="70" t="s">
        <v>13</v>
      </c>
      <c r="D1121" s="2" t="s">
        <v>3906</v>
      </c>
      <c r="E1121" s="2" t="s">
        <v>3842</v>
      </c>
      <c r="F1121" s="53" t="s">
        <v>40</v>
      </c>
      <c r="G1121" s="16">
        <v>45271.193749999999</v>
      </c>
      <c r="H1121" s="16">
        <v>45271.308333333334</v>
      </c>
      <c r="I1121" s="4" t="s">
        <v>17</v>
      </c>
      <c r="J1121" s="5" t="s">
        <v>94</v>
      </c>
      <c r="K1121" s="59"/>
      <c r="L1121" s="75"/>
    </row>
    <row r="1122" spans="1:12">
      <c r="A1122" s="61" t="s">
        <v>20</v>
      </c>
      <c r="B1122" s="8" t="s">
        <v>3907</v>
      </c>
      <c r="C1122" s="72" t="s">
        <v>13</v>
      </c>
      <c r="D1122" s="7" t="s">
        <v>3908</v>
      </c>
      <c r="E1122" s="7" t="s">
        <v>3842</v>
      </c>
      <c r="F1122" s="61" t="s">
        <v>40</v>
      </c>
      <c r="G1122" s="22">
        <v>45271.193749999999</v>
      </c>
      <c r="H1122" s="22">
        <v>45271.324305555558</v>
      </c>
      <c r="I1122" s="11" t="s">
        <v>17</v>
      </c>
      <c r="J1122" s="12" t="s">
        <v>94</v>
      </c>
      <c r="K1122" s="63"/>
      <c r="L1122" s="76"/>
    </row>
    <row r="1123" spans="1:12">
      <c r="A1123" s="53" t="s">
        <v>20</v>
      </c>
      <c r="B1123" s="3" t="s">
        <v>3909</v>
      </c>
      <c r="C1123" s="70" t="s">
        <v>13</v>
      </c>
      <c r="D1123" s="2" t="s">
        <v>3910</v>
      </c>
      <c r="E1123" s="2" t="s">
        <v>3842</v>
      </c>
      <c r="F1123" s="53" t="s">
        <v>40</v>
      </c>
      <c r="G1123" s="16">
        <v>45271.193749999999</v>
      </c>
      <c r="H1123" s="16">
        <v>45271.322222222225</v>
      </c>
      <c r="I1123" s="4" t="s">
        <v>17</v>
      </c>
      <c r="J1123" s="5" t="s">
        <v>94</v>
      </c>
      <c r="K1123" s="59"/>
      <c r="L1123" s="75"/>
    </row>
    <row r="1124" spans="1:12">
      <c r="A1124" s="61" t="s">
        <v>20</v>
      </c>
      <c r="B1124" s="8" t="s">
        <v>3911</v>
      </c>
      <c r="C1124" s="72" t="s">
        <v>13</v>
      </c>
      <c r="D1124" s="7" t="s">
        <v>3912</v>
      </c>
      <c r="E1124" s="7" t="s">
        <v>3842</v>
      </c>
      <c r="F1124" s="61" t="s">
        <v>40</v>
      </c>
      <c r="G1124" s="22">
        <v>45271.194444444445</v>
      </c>
      <c r="H1124" s="22">
        <v>45271.320833333331</v>
      </c>
      <c r="I1124" s="11" t="s">
        <v>17</v>
      </c>
      <c r="J1124" s="12" t="s">
        <v>94</v>
      </c>
      <c r="K1124" s="63"/>
      <c r="L1124" s="76"/>
    </row>
    <row r="1125" spans="1:12">
      <c r="A1125" s="53" t="s">
        <v>20</v>
      </c>
      <c r="B1125" s="3" t="s">
        <v>3913</v>
      </c>
      <c r="C1125" s="70" t="s">
        <v>13</v>
      </c>
      <c r="D1125" s="2" t="s">
        <v>3914</v>
      </c>
      <c r="E1125" s="2" t="s">
        <v>3842</v>
      </c>
      <c r="F1125" s="53" t="s">
        <v>40</v>
      </c>
      <c r="G1125" s="16">
        <v>45271.194444444445</v>
      </c>
      <c r="H1125" s="16">
        <v>45271.318749999999</v>
      </c>
      <c r="I1125" s="4" t="s">
        <v>17</v>
      </c>
      <c r="J1125" s="5" t="s">
        <v>94</v>
      </c>
      <c r="K1125" s="59"/>
      <c r="L1125" s="75"/>
    </row>
    <row r="1126" spans="1:12">
      <c r="A1126" s="61" t="s">
        <v>20</v>
      </c>
      <c r="B1126" s="8" t="s">
        <v>3915</v>
      </c>
      <c r="C1126" s="72" t="s">
        <v>13</v>
      </c>
      <c r="D1126" s="7" t="s">
        <v>3916</v>
      </c>
      <c r="E1126" s="7" t="s">
        <v>3842</v>
      </c>
      <c r="F1126" s="61" t="s">
        <v>40</v>
      </c>
      <c r="G1126" s="22">
        <v>45271.194444444445</v>
      </c>
      <c r="H1126" s="22">
        <v>45271.314583333333</v>
      </c>
      <c r="I1126" s="11" t="s">
        <v>17</v>
      </c>
      <c r="J1126" s="12" t="s">
        <v>94</v>
      </c>
      <c r="K1126" s="63"/>
      <c r="L1126" s="76"/>
    </row>
    <row r="1127" spans="1:12">
      <c r="A1127" s="53" t="s">
        <v>20</v>
      </c>
      <c r="B1127" s="3" t="s">
        <v>3917</v>
      </c>
      <c r="C1127" s="70" t="s">
        <v>13</v>
      </c>
      <c r="D1127" s="2" t="s">
        <v>3918</v>
      </c>
      <c r="E1127" s="2" t="s">
        <v>3842</v>
      </c>
      <c r="F1127" s="53" t="s">
        <v>40</v>
      </c>
      <c r="G1127" s="16">
        <v>45271.194444444445</v>
      </c>
      <c r="H1127" s="16">
        <v>45271.311805555553</v>
      </c>
      <c r="I1127" s="4" t="s">
        <v>17</v>
      </c>
      <c r="J1127" s="5" t="s">
        <v>94</v>
      </c>
      <c r="K1127" s="59"/>
      <c r="L1127" s="75"/>
    </row>
    <row r="1128" spans="1:12">
      <c r="A1128" s="61" t="s">
        <v>20</v>
      </c>
      <c r="B1128" s="8" t="s">
        <v>3919</v>
      </c>
      <c r="C1128" s="72" t="s">
        <v>13</v>
      </c>
      <c r="D1128" s="7" t="s">
        <v>3920</v>
      </c>
      <c r="E1128" s="61" t="s">
        <v>3842</v>
      </c>
      <c r="F1128" s="61" t="s">
        <v>40</v>
      </c>
      <c r="G1128" s="22">
        <v>45271.195138888892</v>
      </c>
      <c r="H1128" s="22">
        <v>45271.310416666667</v>
      </c>
      <c r="I1128" s="11" t="s">
        <v>17</v>
      </c>
      <c r="J1128" s="12" t="s">
        <v>94</v>
      </c>
      <c r="K1128" s="63"/>
      <c r="L1128" s="76"/>
    </row>
    <row r="1129" spans="1:12">
      <c r="A1129" s="1" t="s">
        <v>20</v>
      </c>
      <c r="B1129" s="34" t="s">
        <v>3921</v>
      </c>
      <c r="C1129" s="53" t="s">
        <v>13</v>
      </c>
      <c r="D1129" s="53" t="s">
        <v>3922</v>
      </c>
      <c r="E1129" s="53" t="s">
        <v>3842</v>
      </c>
      <c r="F1129" s="53" t="s">
        <v>40</v>
      </c>
      <c r="G1129" s="16">
        <v>45271.195138888892</v>
      </c>
      <c r="H1129" s="16">
        <v>45271.306944444441</v>
      </c>
      <c r="I1129" s="58" t="s">
        <v>17</v>
      </c>
      <c r="J1129" s="59" t="s">
        <v>94</v>
      </c>
      <c r="K1129" s="59"/>
      <c r="L1129" s="60"/>
    </row>
    <row r="1130" spans="1:12">
      <c r="A1130" s="19" t="s">
        <v>20</v>
      </c>
      <c r="B1130" s="30" t="s">
        <v>3923</v>
      </c>
      <c r="C1130" s="61" t="s">
        <v>13</v>
      </c>
      <c r="D1130" s="61" t="s">
        <v>3924</v>
      </c>
      <c r="E1130" s="61" t="s">
        <v>3842</v>
      </c>
      <c r="F1130" s="61" t="s">
        <v>40</v>
      </c>
      <c r="G1130" s="22">
        <v>45271.195138888892</v>
      </c>
      <c r="H1130" s="22">
        <v>45271.307638888888</v>
      </c>
      <c r="I1130" s="62" t="s">
        <v>17</v>
      </c>
      <c r="J1130" s="63" t="s">
        <v>94</v>
      </c>
      <c r="K1130" s="63"/>
      <c r="L1130" s="64"/>
    </row>
    <row r="1131" spans="1:12">
      <c r="A1131" s="1" t="s">
        <v>20</v>
      </c>
      <c r="B1131" s="34" t="s">
        <v>3925</v>
      </c>
      <c r="C1131" s="53" t="s">
        <v>13</v>
      </c>
      <c r="D1131" s="53" t="s">
        <v>3926</v>
      </c>
      <c r="E1131" s="53" t="s">
        <v>3927</v>
      </c>
      <c r="F1131" s="53" t="s">
        <v>40</v>
      </c>
      <c r="G1131" s="16">
        <v>45271.211111111108</v>
      </c>
      <c r="H1131" s="16" t="s">
        <v>3928</v>
      </c>
      <c r="I1131" s="58" t="s">
        <v>17</v>
      </c>
      <c r="J1131" s="59" t="s">
        <v>94</v>
      </c>
      <c r="K1131" s="59"/>
      <c r="L1131" s="60"/>
    </row>
    <row r="1132" spans="1:12">
      <c r="A1132" s="19" t="s">
        <v>106</v>
      </c>
      <c r="B1132" s="20" t="s">
        <v>3929</v>
      </c>
      <c r="C1132" s="77" t="s">
        <v>108</v>
      </c>
      <c r="D1132" s="77" t="s">
        <v>3930</v>
      </c>
      <c r="E1132" s="61" t="s">
        <v>3931</v>
      </c>
      <c r="F1132" s="77" t="s">
        <v>40</v>
      </c>
      <c r="G1132" s="22">
        <v>45271.267361111109</v>
      </c>
      <c r="H1132" s="22">
        <v>45271.531944444447</v>
      </c>
      <c r="I1132" s="78" t="s">
        <v>3932</v>
      </c>
      <c r="J1132" s="79" t="s">
        <v>94</v>
      </c>
      <c r="K1132" s="79"/>
      <c r="L1132" s="80"/>
    </row>
    <row r="1133" spans="1:12">
      <c r="A1133" s="42" t="s">
        <v>95</v>
      </c>
      <c r="B1133" s="34" t="s">
        <v>3933</v>
      </c>
      <c r="C1133" s="53" t="s">
        <v>97</v>
      </c>
      <c r="D1133" s="53" t="s">
        <v>3934</v>
      </c>
      <c r="E1133" s="53" t="s">
        <v>3935</v>
      </c>
      <c r="F1133" s="53" t="s">
        <v>40</v>
      </c>
      <c r="G1133" s="16">
        <v>45271.294444444444</v>
      </c>
      <c r="H1133" s="16">
        <v>45271.321527777778</v>
      </c>
      <c r="I1133" s="58" t="s">
        <v>2951</v>
      </c>
      <c r="J1133" s="59" t="s">
        <v>94</v>
      </c>
      <c r="K1133" s="59"/>
      <c r="L1133" s="60"/>
    </row>
    <row r="1134" spans="1:12">
      <c r="A1134" s="41" t="s">
        <v>20</v>
      </c>
      <c r="B1134" s="30" t="s">
        <v>3936</v>
      </c>
      <c r="C1134" s="61" t="s">
        <v>21</v>
      </c>
      <c r="D1134" s="61" t="s">
        <v>3937</v>
      </c>
      <c r="E1134" s="61" t="s">
        <v>3938</v>
      </c>
      <c r="F1134" s="61" t="s">
        <v>40</v>
      </c>
      <c r="G1134" s="22">
        <v>45271.698611111111</v>
      </c>
      <c r="H1134" s="22">
        <v>45271.725694444445</v>
      </c>
      <c r="I1134" s="62" t="s">
        <v>1628</v>
      </c>
      <c r="J1134" s="63" t="s">
        <v>88</v>
      </c>
      <c r="K1134" s="63"/>
      <c r="L1134" s="64"/>
    </row>
    <row r="1135" spans="1:12">
      <c r="A1135" s="42" t="s">
        <v>20</v>
      </c>
      <c r="B1135" s="34" t="s">
        <v>3939</v>
      </c>
      <c r="C1135" s="53" t="s">
        <v>21</v>
      </c>
      <c r="D1135" s="53" t="s">
        <v>3940</v>
      </c>
      <c r="E1135" s="53" t="s">
        <v>3941</v>
      </c>
      <c r="F1135" s="53" t="s">
        <v>40</v>
      </c>
      <c r="G1135" s="16">
        <v>45271.727777777778</v>
      </c>
      <c r="H1135" s="16">
        <v>45271.732638888891</v>
      </c>
      <c r="I1135" s="58" t="s">
        <v>1628</v>
      </c>
      <c r="J1135" s="59" t="s">
        <v>88</v>
      </c>
      <c r="K1135" s="59"/>
      <c r="L1135" s="60"/>
    </row>
    <row r="1136" spans="1:12">
      <c r="A1136" s="41" t="s">
        <v>106</v>
      </c>
      <c r="B1136" s="30" t="s">
        <v>3942</v>
      </c>
      <c r="C1136" s="61" t="s">
        <v>37</v>
      </c>
      <c r="D1136" s="61" t="s">
        <v>3943</v>
      </c>
      <c r="E1136" s="61" t="s">
        <v>3944</v>
      </c>
      <c r="F1136" s="61" t="s">
        <v>40</v>
      </c>
      <c r="G1136" s="22">
        <v>45271.802777777775</v>
      </c>
      <c r="H1136" s="22" t="s">
        <v>3945</v>
      </c>
      <c r="I1136" s="62" t="s">
        <v>3498</v>
      </c>
      <c r="J1136" s="63" t="s">
        <v>88</v>
      </c>
      <c r="K1136" s="63" t="s">
        <v>94</v>
      </c>
      <c r="L1136" s="64"/>
    </row>
    <row r="1137" spans="1:12">
      <c r="A1137" s="42" t="s">
        <v>20</v>
      </c>
      <c r="B1137" s="34" t="s">
        <v>3946</v>
      </c>
      <c r="C1137" s="53" t="s">
        <v>49</v>
      </c>
      <c r="D1137" s="53" t="s">
        <v>3947</v>
      </c>
      <c r="E1137" s="53" t="s">
        <v>3948</v>
      </c>
      <c r="F1137" s="53" t="s">
        <v>40</v>
      </c>
      <c r="G1137" s="16">
        <v>45271.804166666669</v>
      </c>
      <c r="H1137" s="16">
        <v>45271.813194444447</v>
      </c>
      <c r="I1137" s="58" t="s">
        <v>143</v>
      </c>
      <c r="J1137" s="59" t="s">
        <v>88</v>
      </c>
      <c r="K1137" s="59"/>
      <c r="L1137" s="60"/>
    </row>
    <row r="1138" spans="1:12">
      <c r="A1138" s="41" t="s">
        <v>95</v>
      </c>
      <c r="B1138" s="30" t="s">
        <v>3949</v>
      </c>
      <c r="C1138" s="61" t="s">
        <v>113</v>
      </c>
      <c r="D1138" s="61" t="s">
        <v>3950</v>
      </c>
      <c r="E1138" s="61" t="s">
        <v>3951</v>
      </c>
      <c r="F1138" s="61" t="s">
        <v>40</v>
      </c>
      <c r="G1138" s="22">
        <v>45271.832638888889</v>
      </c>
      <c r="H1138" s="22">
        <v>45271.974999999999</v>
      </c>
      <c r="I1138" s="62" t="s">
        <v>3952</v>
      </c>
      <c r="J1138" s="63" t="s">
        <v>88</v>
      </c>
      <c r="K1138" s="63"/>
      <c r="L1138" s="64"/>
    </row>
    <row r="1139" spans="1:12">
      <c r="A1139" s="42" t="s">
        <v>95</v>
      </c>
      <c r="B1139" s="34" t="s">
        <v>3953</v>
      </c>
      <c r="C1139" s="53" t="s">
        <v>118</v>
      </c>
      <c r="D1139" s="53" t="s">
        <v>3954</v>
      </c>
      <c r="E1139" s="53" t="s">
        <v>3955</v>
      </c>
      <c r="F1139" s="53" t="s">
        <v>40</v>
      </c>
      <c r="G1139" s="16">
        <v>45271.833333333336</v>
      </c>
      <c r="H1139" s="16">
        <v>45271.9</v>
      </c>
      <c r="I1139" s="58" t="s">
        <v>3956</v>
      </c>
      <c r="J1139" s="59" t="s">
        <v>88</v>
      </c>
      <c r="K1139" s="59"/>
      <c r="L1139" s="60"/>
    </row>
    <row r="1140" spans="1:12">
      <c r="A1140" s="41" t="s">
        <v>95</v>
      </c>
      <c r="B1140" s="30" t="s">
        <v>3957</v>
      </c>
      <c r="C1140" s="61" t="s">
        <v>97</v>
      </c>
      <c r="D1140" s="61" t="s">
        <v>3958</v>
      </c>
      <c r="E1140" s="61" t="s">
        <v>3959</v>
      </c>
      <c r="F1140" s="61" t="s">
        <v>40</v>
      </c>
      <c r="G1140" s="22">
        <v>45271.900694444441</v>
      </c>
      <c r="H1140" s="22">
        <v>45271.979861111111</v>
      </c>
      <c r="I1140" s="62" t="s">
        <v>2544</v>
      </c>
      <c r="J1140" s="63" t="s">
        <v>88</v>
      </c>
      <c r="K1140" s="63"/>
      <c r="L1140" s="64"/>
    </row>
    <row r="1141" spans="1:12">
      <c r="A1141" s="42" t="s">
        <v>20</v>
      </c>
      <c r="B1141" s="34" t="s">
        <v>3960</v>
      </c>
      <c r="C1141" s="53" t="s">
        <v>21</v>
      </c>
      <c r="D1141" s="53" t="s">
        <v>3961</v>
      </c>
      <c r="E1141" s="53" t="s">
        <v>3962</v>
      </c>
      <c r="F1141" s="53" t="s">
        <v>40</v>
      </c>
      <c r="G1141" s="16">
        <v>45271.90625</v>
      </c>
      <c r="H1141" s="16">
        <v>45271.975694444445</v>
      </c>
      <c r="I1141" s="58" t="s">
        <v>3813</v>
      </c>
      <c r="J1141" s="59" t="s">
        <v>88</v>
      </c>
      <c r="K1141" s="59"/>
      <c r="L1141" s="60"/>
    </row>
    <row r="1142" spans="1:12">
      <c r="A1142" s="41" t="s">
        <v>20</v>
      </c>
      <c r="B1142" s="30" t="s">
        <v>3963</v>
      </c>
      <c r="C1142" s="61" t="s">
        <v>21</v>
      </c>
      <c r="D1142" s="61" t="s">
        <v>3964</v>
      </c>
      <c r="E1142" s="61" t="s">
        <v>3965</v>
      </c>
      <c r="F1142" s="61" t="s">
        <v>40</v>
      </c>
      <c r="G1142" s="22">
        <v>45271.981944444444</v>
      </c>
      <c r="H1142" s="22" t="s">
        <v>3966</v>
      </c>
      <c r="I1142" s="62" t="s">
        <v>3813</v>
      </c>
      <c r="J1142" s="63" t="s">
        <v>88</v>
      </c>
      <c r="K1142" s="63"/>
      <c r="L1142" s="64"/>
    </row>
    <row r="1143" spans="1:12">
      <c r="A1143" s="42" t="s">
        <v>106</v>
      </c>
      <c r="B1143" s="34" t="s">
        <v>3967</v>
      </c>
      <c r="C1143" s="53" t="s">
        <v>78</v>
      </c>
      <c r="D1143" s="53" t="s">
        <v>2432</v>
      </c>
      <c r="E1143" s="53" t="s">
        <v>3968</v>
      </c>
      <c r="F1143" s="53" t="s">
        <v>40</v>
      </c>
      <c r="G1143" s="16" t="s">
        <v>3969</v>
      </c>
      <c r="H1143" s="16" t="s">
        <v>3970</v>
      </c>
      <c r="I1143" s="58" t="s">
        <v>3971</v>
      </c>
      <c r="J1143" s="59" t="s">
        <v>94</v>
      </c>
      <c r="K1143" s="59"/>
      <c r="L1143" s="60"/>
    </row>
    <row r="1144" spans="1:12">
      <c r="A1144" s="41" t="s">
        <v>95</v>
      </c>
      <c r="B1144" s="30" t="s">
        <v>3972</v>
      </c>
      <c r="C1144" s="61" t="s">
        <v>97</v>
      </c>
      <c r="D1144" s="61" t="s">
        <v>3973</v>
      </c>
      <c r="E1144" s="61" t="s">
        <v>3974</v>
      </c>
      <c r="F1144" s="61" t="s">
        <v>40</v>
      </c>
      <c r="G1144" s="22" t="s">
        <v>3975</v>
      </c>
      <c r="H1144" s="22" t="s">
        <v>3976</v>
      </c>
      <c r="I1144" s="62" t="s">
        <v>2814</v>
      </c>
      <c r="J1144" s="63" t="s">
        <v>88</v>
      </c>
      <c r="K1144" s="63"/>
      <c r="L1144" s="64"/>
    </row>
    <row r="1145" spans="1:12">
      <c r="A1145" s="42" t="s">
        <v>106</v>
      </c>
      <c r="B1145" s="34" t="s">
        <v>3977</v>
      </c>
      <c r="C1145" s="53" t="s">
        <v>108</v>
      </c>
      <c r="D1145" s="53" t="s">
        <v>3978</v>
      </c>
      <c r="E1145" s="53" t="s">
        <v>3979</v>
      </c>
      <c r="F1145" s="53" t="s">
        <v>40</v>
      </c>
      <c r="G1145" s="16" t="s">
        <v>3980</v>
      </c>
      <c r="H1145" s="16" t="s">
        <v>3981</v>
      </c>
      <c r="I1145" s="58" t="s">
        <v>111</v>
      </c>
      <c r="J1145" s="59" t="s">
        <v>88</v>
      </c>
      <c r="K1145" s="59"/>
      <c r="L1145" s="60"/>
    </row>
    <row r="1146" spans="1:12">
      <c r="A1146" s="41" t="s">
        <v>20</v>
      </c>
      <c r="B1146" s="30" t="s">
        <v>3982</v>
      </c>
      <c r="C1146" s="61" t="s">
        <v>21</v>
      </c>
      <c r="D1146" s="61" t="s">
        <v>3983</v>
      </c>
      <c r="E1146" s="61" t="s">
        <v>3984</v>
      </c>
      <c r="F1146" s="61" t="s">
        <v>40</v>
      </c>
      <c r="G1146" s="22" t="s">
        <v>3985</v>
      </c>
      <c r="H1146" s="22" t="s">
        <v>3986</v>
      </c>
      <c r="I1146" s="62" t="s">
        <v>3813</v>
      </c>
      <c r="J1146" s="63" t="s">
        <v>88</v>
      </c>
      <c r="K1146" s="63"/>
      <c r="L1146" s="64"/>
    </row>
    <row r="1147" spans="1:12" ht="409.5">
      <c r="A1147" s="1" t="s">
        <v>20</v>
      </c>
      <c r="B1147" s="34" t="s">
        <v>3987</v>
      </c>
      <c r="C1147" s="53" t="s">
        <v>21</v>
      </c>
      <c r="D1147" s="53" t="s">
        <v>3988</v>
      </c>
      <c r="E1147" s="65" t="s">
        <v>3989</v>
      </c>
      <c r="F1147" s="53" t="s">
        <v>40</v>
      </c>
      <c r="G1147" s="16" t="s">
        <v>3990</v>
      </c>
      <c r="H1147" s="16" t="s">
        <v>3991</v>
      </c>
      <c r="I1147" s="58" t="s">
        <v>3813</v>
      </c>
      <c r="J1147" s="59" t="s">
        <v>88</v>
      </c>
      <c r="K1147" s="59" t="s">
        <v>94</v>
      </c>
      <c r="L1147" s="60"/>
    </row>
    <row r="1148" spans="1:12">
      <c r="A1148" s="41" t="s">
        <v>95</v>
      </c>
      <c r="B1148" s="30" t="s">
        <v>3992</v>
      </c>
      <c r="C1148" s="61" t="s">
        <v>113</v>
      </c>
      <c r="D1148" s="61" t="s">
        <v>3993</v>
      </c>
      <c r="E1148" s="61" t="s">
        <v>3994</v>
      </c>
      <c r="F1148" s="61" t="s">
        <v>40</v>
      </c>
      <c r="G1148" s="22" t="s">
        <v>3995</v>
      </c>
      <c r="H1148" s="22" t="s">
        <v>3996</v>
      </c>
      <c r="I1148" s="62" t="s">
        <v>2086</v>
      </c>
      <c r="J1148" s="63" t="s">
        <v>88</v>
      </c>
      <c r="K1148" s="63" t="s">
        <v>94</v>
      </c>
      <c r="L1148" s="64"/>
    </row>
    <row r="1149" spans="1:12">
      <c r="A1149" s="42" t="s">
        <v>20</v>
      </c>
      <c r="B1149" s="34" t="s">
        <v>3997</v>
      </c>
      <c r="C1149" s="53" t="s">
        <v>13</v>
      </c>
      <c r="D1149" s="53" t="s">
        <v>3998</v>
      </c>
      <c r="E1149" s="53" t="s">
        <v>3842</v>
      </c>
      <c r="F1149" s="53" t="s">
        <v>40</v>
      </c>
      <c r="G1149" s="16" t="s">
        <v>3999</v>
      </c>
      <c r="H1149" s="16" t="s">
        <v>4000</v>
      </c>
      <c r="I1149" s="58" t="s">
        <v>17</v>
      </c>
      <c r="J1149" s="59" t="s">
        <v>94</v>
      </c>
      <c r="K1149" s="59"/>
      <c r="L1149" s="60"/>
    </row>
    <row r="1150" spans="1:12">
      <c r="A1150" s="41" t="s">
        <v>106</v>
      </c>
      <c r="B1150" s="30" t="s">
        <v>4001</v>
      </c>
      <c r="C1150" s="61" t="s">
        <v>78</v>
      </c>
      <c r="D1150" s="61" t="s">
        <v>4002</v>
      </c>
      <c r="E1150" s="61" t="s">
        <v>4003</v>
      </c>
      <c r="F1150" s="61" t="s">
        <v>40</v>
      </c>
      <c r="G1150" s="22" t="s">
        <v>4004</v>
      </c>
      <c r="H1150" s="22" t="s">
        <v>4005</v>
      </c>
      <c r="I1150" s="62" t="s">
        <v>3971</v>
      </c>
      <c r="J1150" s="63" t="s">
        <v>94</v>
      </c>
      <c r="K1150" s="63"/>
      <c r="L1150" s="64"/>
    </row>
    <row r="1151" spans="1:12">
      <c r="A1151" s="1" t="s">
        <v>106</v>
      </c>
      <c r="B1151" s="34" t="s">
        <v>4006</v>
      </c>
      <c r="C1151" s="53" t="s">
        <v>108</v>
      </c>
      <c r="D1151" s="53" t="s">
        <v>4007</v>
      </c>
      <c r="E1151" s="53" t="s">
        <v>4008</v>
      </c>
      <c r="F1151" s="53" t="s">
        <v>40</v>
      </c>
      <c r="G1151" s="16" t="s">
        <v>4009</v>
      </c>
      <c r="H1151" s="16" t="s">
        <v>4010</v>
      </c>
      <c r="I1151" s="58" t="s">
        <v>1373</v>
      </c>
      <c r="J1151" s="59" t="s">
        <v>94</v>
      </c>
      <c r="K1151" s="59"/>
      <c r="L1151" s="60"/>
    </row>
    <row r="1152" spans="1:12">
      <c r="A1152" s="19" t="s">
        <v>106</v>
      </c>
      <c r="B1152" s="30" t="s">
        <v>4011</v>
      </c>
      <c r="C1152" s="61" t="s">
        <v>108</v>
      </c>
      <c r="D1152" s="61" t="s">
        <v>4012</v>
      </c>
      <c r="E1152" s="61" t="s">
        <v>4013</v>
      </c>
      <c r="F1152" s="61" t="s">
        <v>40</v>
      </c>
      <c r="G1152" s="22" t="s">
        <v>4014</v>
      </c>
      <c r="H1152" s="22" t="s">
        <v>4015</v>
      </c>
      <c r="I1152" s="62" t="s">
        <v>1373</v>
      </c>
      <c r="J1152" s="63" t="s">
        <v>94</v>
      </c>
      <c r="K1152" s="63"/>
      <c r="L1152" s="64"/>
    </row>
    <row r="1153" spans="1:12">
      <c r="A1153" s="42" t="s">
        <v>20</v>
      </c>
      <c r="B1153" s="34" t="s">
        <v>4016</v>
      </c>
      <c r="C1153" s="53" t="s">
        <v>21</v>
      </c>
      <c r="D1153" s="53" t="s">
        <v>4017</v>
      </c>
      <c r="E1153" s="53" t="s">
        <v>4018</v>
      </c>
      <c r="F1153" s="53" t="s">
        <v>40</v>
      </c>
      <c r="G1153" s="16" t="s">
        <v>4019</v>
      </c>
      <c r="H1153" s="16" t="s">
        <v>4020</v>
      </c>
      <c r="I1153" s="58" t="s">
        <v>3813</v>
      </c>
      <c r="J1153" s="59" t="s">
        <v>88</v>
      </c>
      <c r="K1153" s="59"/>
      <c r="L1153" s="60"/>
    </row>
    <row r="1154" spans="1:12">
      <c r="A1154" s="41" t="s">
        <v>20</v>
      </c>
      <c r="B1154" s="30" t="s">
        <v>4021</v>
      </c>
      <c r="C1154" s="61" t="s">
        <v>21</v>
      </c>
      <c r="D1154" s="61" t="s">
        <v>4022</v>
      </c>
      <c r="E1154" s="61" t="s">
        <v>4023</v>
      </c>
      <c r="F1154" s="61" t="s">
        <v>40</v>
      </c>
      <c r="G1154" s="22" t="s">
        <v>4024</v>
      </c>
      <c r="H1154" s="22" t="s">
        <v>4025</v>
      </c>
      <c r="I1154" s="62" t="s">
        <v>3813</v>
      </c>
      <c r="J1154" s="63" t="s">
        <v>88</v>
      </c>
      <c r="K1154" s="63"/>
      <c r="L1154" s="64"/>
    </row>
    <row r="1155" spans="1:12">
      <c r="A1155" s="42" t="s">
        <v>20</v>
      </c>
      <c r="B1155" s="34" t="s">
        <v>4026</v>
      </c>
      <c r="C1155" s="53" t="s">
        <v>21</v>
      </c>
      <c r="D1155" s="53" t="s">
        <v>4027</v>
      </c>
      <c r="E1155" s="53" t="s">
        <v>4028</v>
      </c>
      <c r="F1155" s="53" t="s">
        <v>40</v>
      </c>
      <c r="G1155" s="16" t="s">
        <v>4029</v>
      </c>
      <c r="H1155" s="16" t="s">
        <v>4030</v>
      </c>
      <c r="I1155" s="58" t="s">
        <v>3813</v>
      </c>
      <c r="J1155" s="59" t="s">
        <v>88</v>
      </c>
      <c r="K1155" s="59"/>
      <c r="L1155" s="60"/>
    </row>
    <row r="1156" spans="1:12">
      <c r="A1156" s="41" t="s">
        <v>20</v>
      </c>
      <c r="B1156" s="30" t="s">
        <v>4031</v>
      </c>
      <c r="C1156" s="61" t="s">
        <v>13</v>
      </c>
      <c r="D1156" s="61" t="s">
        <v>4032</v>
      </c>
      <c r="E1156" s="61" t="s">
        <v>4033</v>
      </c>
      <c r="F1156" s="61" t="s">
        <v>40</v>
      </c>
      <c r="G1156" s="22" t="s">
        <v>4034</v>
      </c>
      <c r="H1156" s="22" t="s">
        <v>4035</v>
      </c>
      <c r="I1156" s="62" t="s">
        <v>4036</v>
      </c>
      <c r="J1156" s="63" t="s">
        <v>88</v>
      </c>
      <c r="K1156" s="63"/>
      <c r="L1156" s="64"/>
    </row>
    <row r="1157" spans="1:12">
      <c r="A1157" s="42" t="s">
        <v>106</v>
      </c>
      <c r="B1157" s="34" t="s">
        <v>4037</v>
      </c>
      <c r="C1157" s="53" t="s">
        <v>333</v>
      </c>
      <c r="D1157" s="53" t="s">
        <v>344</v>
      </c>
      <c r="E1157" s="53" t="s">
        <v>4038</v>
      </c>
      <c r="F1157" s="53" t="s">
        <v>40</v>
      </c>
      <c r="G1157" s="16" t="s">
        <v>4039</v>
      </c>
      <c r="H1157" s="16" t="s">
        <v>4040</v>
      </c>
      <c r="I1157" s="58" t="s">
        <v>346</v>
      </c>
      <c r="J1157" s="59" t="s">
        <v>88</v>
      </c>
      <c r="K1157" s="59"/>
      <c r="L1157" s="60"/>
    </row>
    <row r="1158" spans="1:12">
      <c r="A1158" s="41" t="s">
        <v>20</v>
      </c>
      <c r="B1158" s="30" t="s">
        <v>4041</v>
      </c>
      <c r="C1158" s="61" t="s">
        <v>21</v>
      </c>
      <c r="D1158" s="61" t="s">
        <v>4042</v>
      </c>
      <c r="E1158" s="61" t="s">
        <v>4043</v>
      </c>
      <c r="F1158" s="61" t="s">
        <v>40</v>
      </c>
      <c r="G1158" s="22" t="s">
        <v>4044</v>
      </c>
      <c r="H1158" s="22" t="s">
        <v>4045</v>
      </c>
      <c r="I1158" s="62" t="s">
        <v>3813</v>
      </c>
      <c r="J1158" s="63" t="s">
        <v>88</v>
      </c>
      <c r="K1158" s="63"/>
      <c r="L1158" s="64"/>
    </row>
    <row r="1159" spans="1:12">
      <c r="A1159" s="42" t="s">
        <v>106</v>
      </c>
      <c r="B1159" s="34" t="s">
        <v>4046</v>
      </c>
      <c r="C1159" s="53" t="s">
        <v>108</v>
      </c>
      <c r="D1159" s="53" t="s">
        <v>4047</v>
      </c>
      <c r="E1159" s="53" t="s">
        <v>4048</v>
      </c>
      <c r="F1159" s="53" t="s">
        <v>40</v>
      </c>
      <c r="G1159" s="16" t="s">
        <v>4049</v>
      </c>
      <c r="H1159" s="16" t="s">
        <v>4050</v>
      </c>
      <c r="I1159" s="58" t="s">
        <v>111</v>
      </c>
      <c r="J1159" s="59" t="s">
        <v>72</v>
      </c>
      <c r="K1159" s="59"/>
      <c r="L1159" s="60"/>
    </row>
    <row r="1160" spans="1:12">
      <c r="A1160" s="41" t="s">
        <v>95</v>
      </c>
      <c r="B1160" s="30" t="s">
        <v>4051</v>
      </c>
      <c r="C1160" s="61" t="s">
        <v>118</v>
      </c>
      <c r="D1160" s="61" t="s">
        <v>4052</v>
      </c>
      <c r="E1160" s="61" t="s">
        <v>495</v>
      </c>
      <c r="F1160" s="61" t="s">
        <v>40</v>
      </c>
      <c r="G1160" s="22" t="s">
        <v>4053</v>
      </c>
      <c r="H1160" s="22" t="s">
        <v>4054</v>
      </c>
      <c r="I1160" s="62" t="s">
        <v>4055</v>
      </c>
      <c r="J1160" s="63" t="s">
        <v>72</v>
      </c>
      <c r="K1160" s="63"/>
      <c r="L1160" s="64"/>
    </row>
    <row r="1161" spans="1:12">
      <c r="A1161" s="42" t="s">
        <v>106</v>
      </c>
      <c r="B1161" s="34" t="s">
        <v>4056</v>
      </c>
      <c r="C1161" s="53" t="s">
        <v>108</v>
      </c>
      <c r="D1161" s="53" t="s">
        <v>4057</v>
      </c>
      <c r="E1161" s="53" t="s">
        <v>4058</v>
      </c>
      <c r="F1161" s="53" t="s">
        <v>40</v>
      </c>
      <c r="G1161" s="16" t="s">
        <v>4059</v>
      </c>
      <c r="H1161" s="16" t="s">
        <v>4060</v>
      </c>
      <c r="I1161" s="58" t="s">
        <v>4061</v>
      </c>
      <c r="J1161" s="59" t="s">
        <v>61</v>
      </c>
      <c r="K1161" s="59"/>
      <c r="L1161" s="60"/>
    </row>
    <row r="1162" spans="1:12">
      <c r="A1162" s="19" t="s">
        <v>20</v>
      </c>
      <c r="B1162" s="30" t="s">
        <v>4062</v>
      </c>
      <c r="C1162" s="61" t="s">
        <v>21</v>
      </c>
      <c r="D1162" s="61" t="s">
        <v>4063</v>
      </c>
      <c r="E1162" s="61" t="s">
        <v>4064</v>
      </c>
      <c r="F1162" s="61" t="s">
        <v>40</v>
      </c>
      <c r="G1162" s="22" t="s">
        <v>4065</v>
      </c>
      <c r="H1162" s="22" t="s">
        <v>4066</v>
      </c>
      <c r="I1162" s="62" t="s">
        <v>3397</v>
      </c>
      <c r="J1162" s="63" t="s">
        <v>61</v>
      </c>
      <c r="K1162" s="63"/>
      <c r="L1162" s="64"/>
    </row>
    <row r="1163" spans="1:12">
      <c r="A1163" s="42" t="s">
        <v>106</v>
      </c>
      <c r="B1163" s="14" t="s">
        <v>4067</v>
      </c>
      <c r="C1163" s="81" t="s">
        <v>108</v>
      </c>
      <c r="D1163" s="81" t="s">
        <v>4068</v>
      </c>
      <c r="E1163" s="81" t="s">
        <v>4069</v>
      </c>
      <c r="F1163" s="81" t="s">
        <v>40</v>
      </c>
      <c r="G1163" s="16" t="s">
        <v>4070</v>
      </c>
      <c r="H1163" s="16" t="s">
        <v>4071</v>
      </c>
      <c r="I1163" s="82" t="s">
        <v>318</v>
      </c>
      <c r="J1163" s="83" t="s">
        <v>72</v>
      </c>
      <c r="K1163" s="83"/>
      <c r="L1163" s="84"/>
    </row>
    <row r="1164" spans="1:12">
      <c r="A1164" s="41" t="s">
        <v>20</v>
      </c>
      <c r="B1164" s="30" t="s">
        <v>4072</v>
      </c>
      <c r="C1164" s="61" t="s">
        <v>13</v>
      </c>
      <c r="D1164" s="61" t="s">
        <v>4073</v>
      </c>
      <c r="E1164" s="61" t="s">
        <v>4074</v>
      </c>
      <c r="F1164" s="61" t="s">
        <v>40</v>
      </c>
      <c r="G1164" s="22" t="s">
        <v>4075</v>
      </c>
      <c r="H1164" s="22" t="s">
        <v>4076</v>
      </c>
      <c r="I1164" s="62" t="s">
        <v>74</v>
      </c>
      <c r="J1164" s="63" t="s">
        <v>72</v>
      </c>
      <c r="K1164" s="63"/>
      <c r="L1164" s="64"/>
    </row>
    <row r="1165" spans="1:12">
      <c r="A1165" s="42" t="s">
        <v>106</v>
      </c>
      <c r="B1165" s="34" t="s">
        <v>4077</v>
      </c>
      <c r="C1165" s="53" t="s">
        <v>108</v>
      </c>
      <c r="D1165" s="53" t="s">
        <v>4078</v>
      </c>
      <c r="E1165" s="53" t="s">
        <v>4079</v>
      </c>
      <c r="F1165" s="53" t="s">
        <v>40</v>
      </c>
      <c r="G1165" s="16" t="s">
        <v>4080</v>
      </c>
      <c r="H1165" s="16" t="s">
        <v>4081</v>
      </c>
      <c r="I1165" s="58" t="s">
        <v>616</v>
      </c>
      <c r="J1165" s="59" t="s">
        <v>72</v>
      </c>
      <c r="K1165" s="59"/>
      <c r="L1165" s="60"/>
    </row>
    <row r="1166" spans="1:12">
      <c r="A1166" s="41" t="s">
        <v>20</v>
      </c>
      <c r="B1166" s="30" t="s">
        <v>4082</v>
      </c>
      <c r="C1166" s="61" t="s">
        <v>21</v>
      </c>
      <c r="D1166" s="21" t="s">
        <v>4083</v>
      </c>
      <c r="E1166" s="21" t="s">
        <v>4084</v>
      </c>
      <c r="F1166" s="61" t="s">
        <v>40</v>
      </c>
      <c r="G1166" s="22" t="s">
        <v>4085</v>
      </c>
      <c r="H1166" s="22" t="s">
        <v>4086</v>
      </c>
      <c r="I1166" s="62" t="s">
        <v>1052</v>
      </c>
      <c r="J1166" s="63" t="s">
        <v>61</v>
      </c>
      <c r="K1166" s="63"/>
      <c r="L1166" s="64"/>
    </row>
    <row r="1167" spans="1:12">
      <c r="A1167" s="42" t="s">
        <v>95</v>
      </c>
      <c r="B1167" s="34" t="s">
        <v>4087</v>
      </c>
      <c r="C1167" s="53" t="s">
        <v>97</v>
      </c>
      <c r="D1167" s="53" t="s">
        <v>4088</v>
      </c>
      <c r="E1167" s="53" t="s">
        <v>4089</v>
      </c>
      <c r="F1167" s="53" t="s">
        <v>40</v>
      </c>
      <c r="G1167" s="16" t="s">
        <v>4090</v>
      </c>
      <c r="H1167" s="16" t="s">
        <v>4091</v>
      </c>
      <c r="I1167" s="58" t="s">
        <v>4092</v>
      </c>
      <c r="J1167" s="59" t="s">
        <v>72</v>
      </c>
      <c r="K1167" s="59"/>
      <c r="L1167" s="60"/>
    </row>
    <row r="1168" spans="1:12">
      <c r="A1168" s="41" t="s">
        <v>106</v>
      </c>
      <c r="B1168" s="30" t="s">
        <v>4093</v>
      </c>
      <c r="C1168" s="61" t="s">
        <v>108</v>
      </c>
      <c r="D1168" s="61" t="s">
        <v>2838</v>
      </c>
      <c r="E1168" s="61" t="s">
        <v>4094</v>
      </c>
      <c r="F1168" s="61" t="s">
        <v>40</v>
      </c>
      <c r="G1168" s="22" t="s">
        <v>4095</v>
      </c>
      <c r="H1168" s="22"/>
      <c r="I1168" s="62" t="s">
        <v>32</v>
      </c>
      <c r="J1168" s="63" t="s">
        <v>72</v>
      </c>
      <c r="K1168" s="63"/>
      <c r="L1168" s="64"/>
    </row>
    <row r="1169" spans="1:12">
      <c r="A1169" s="42" t="s">
        <v>95</v>
      </c>
      <c r="B1169" s="34" t="s">
        <v>4096</v>
      </c>
      <c r="C1169" s="53" t="s">
        <v>97</v>
      </c>
      <c r="D1169" s="53" t="s">
        <v>4097</v>
      </c>
      <c r="E1169" s="53" t="s">
        <v>1907</v>
      </c>
      <c r="F1169" s="53" t="s">
        <v>40</v>
      </c>
      <c r="G1169" s="16" t="s">
        <v>4098</v>
      </c>
      <c r="H1169" s="16" t="s">
        <v>4099</v>
      </c>
      <c r="I1169" s="58" t="s">
        <v>4092</v>
      </c>
      <c r="J1169" s="59" t="s">
        <v>72</v>
      </c>
      <c r="K1169" s="59"/>
      <c r="L1169" s="60"/>
    </row>
    <row r="1170" spans="1:12">
      <c r="A1170" s="41" t="s">
        <v>106</v>
      </c>
      <c r="B1170" s="30" t="s">
        <v>4100</v>
      </c>
      <c r="C1170" s="61" t="s">
        <v>108</v>
      </c>
      <c r="D1170" s="61" t="s">
        <v>4101</v>
      </c>
      <c r="E1170" s="61" t="s">
        <v>4102</v>
      </c>
      <c r="F1170" s="61" t="s">
        <v>40</v>
      </c>
      <c r="G1170" s="22" t="s">
        <v>4103</v>
      </c>
      <c r="H1170" s="22" t="s">
        <v>4104</v>
      </c>
      <c r="I1170" s="62" t="s">
        <v>4105</v>
      </c>
      <c r="J1170" s="63" t="s">
        <v>72</v>
      </c>
      <c r="K1170" s="63"/>
      <c r="L1170" s="64"/>
    </row>
    <row r="1171" spans="1:12">
      <c r="A1171" s="42" t="s">
        <v>95</v>
      </c>
      <c r="B1171" s="34" t="s">
        <v>4106</v>
      </c>
      <c r="C1171" s="53" t="s">
        <v>97</v>
      </c>
      <c r="D1171" s="53" t="s">
        <v>4107</v>
      </c>
      <c r="E1171" s="53" t="s">
        <v>4108</v>
      </c>
      <c r="F1171" s="53" t="s">
        <v>40</v>
      </c>
      <c r="G1171" s="16" t="s">
        <v>4109</v>
      </c>
      <c r="H1171" s="16" t="s">
        <v>4110</v>
      </c>
      <c r="I1171" s="58" t="s">
        <v>4111</v>
      </c>
      <c r="J1171" s="59" t="s">
        <v>72</v>
      </c>
      <c r="K1171" s="59"/>
      <c r="L1171" s="60"/>
    </row>
    <row r="1172" spans="1:12">
      <c r="A1172" s="41" t="s">
        <v>20</v>
      </c>
      <c r="B1172" s="30" t="s">
        <v>4112</v>
      </c>
      <c r="C1172" s="61" t="s">
        <v>21</v>
      </c>
      <c r="D1172" s="61" t="s">
        <v>4113</v>
      </c>
      <c r="E1172" s="61" t="s">
        <v>4114</v>
      </c>
      <c r="F1172" s="61" t="s">
        <v>40</v>
      </c>
      <c r="G1172" s="22" t="s">
        <v>4115</v>
      </c>
      <c r="H1172" s="22" t="s">
        <v>4116</v>
      </c>
      <c r="I1172" s="62" t="s">
        <v>1947</v>
      </c>
      <c r="J1172" s="63" t="s">
        <v>61</v>
      </c>
      <c r="K1172" s="63"/>
      <c r="L1172" s="64"/>
    </row>
    <row r="1173" spans="1:12">
      <c r="A1173" s="42"/>
      <c r="B1173" s="34" t="s">
        <v>4117</v>
      </c>
      <c r="C1173" s="53"/>
      <c r="D1173" s="53" t="s">
        <v>4118</v>
      </c>
      <c r="E1173" s="53"/>
      <c r="F1173" s="53"/>
      <c r="G1173" s="16"/>
      <c r="H1173" s="16"/>
      <c r="I1173" s="58"/>
      <c r="J1173" s="59"/>
      <c r="K1173" s="59"/>
      <c r="L1173" s="60"/>
    </row>
    <row r="1174" spans="1:12">
      <c r="A1174" s="41"/>
      <c r="B1174" s="30" t="s">
        <v>4119</v>
      </c>
      <c r="C1174" s="61"/>
      <c r="D1174" s="61" t="s">
        <v>2838</v>
      </c>
      <c r="E1174" s="61"/>
      <c r="F1174" s="61"/>
      <c r="G1174" s="22"/>
      <c r="H1174" s="22"/>
      <c r="I1174" s="62"/>
      <c r="J1174" s="63"/>
      <c r="K1174" s="63"/>
      <c r="L1174" s="64"/>
    </row>
    <row r="1175" spans="1:12">
      <c r="A1175" s="42"/>
      <c r="B1175" s="34" t="s">
        <v>4120</v>
      </c>
      <c r="C1175" s="53"/>
      <c r="D1175" s="53" t="s">
        <v>4121</v>
      </c>
      <c r="E1175" s="53"/>
      <c r="F1175" s="53"/>
      <c r="G1175" s="16"/>
      <c r="H1175" s="16"/>
      <c r="I1175" s="58"/>
      <c r="J1175" s="59"/>
      <c r="K1175" s="59"/>
      <c r="L1175" s="60"/>
    </row>
    <row r="1176" spans="1:12">
      <c r="A1176" s="41"/>
      <c r="B1176" s="30" t="s">
        <v>4122</v>
      </c>
      <c r="C1176" s="61"/>
      <c r="D1176" s="61" t="s">
        <v>4123</v>
      </c>
      <c r="E1176" s="61"/>
      <c r="F1176" s="61"/>
      <c r="G1176" s="22"/>
      <c r="H1176" s="22"/>
      <c r="I1176" s="62"/>
      <c r="J1176" s="63"/>
      <c r="K1176" s="63"/>
      <c r="L1176" s="64"/>
    </row>
    <row r="1177" spans="1:12">
      <c r="A1177" s="42"/>
      <c r="B1177" s="34" t="s">
        <v>4124</v>
      </c>
      <c r="C1177" s="35"/>
      <c r="D1177" s="53" t="s">
        <v>4125</v>
      </c>
      <c r="E1177" s="53"/>
      <c r="F1177" s="53"/>
      <c r="G1177" s="16"/>
      <c r="H1177" s="16"/>
      <c r="I1177" s="58"/>
      <c r="J1177" s="59"/>
      <c r="K1177" s="59"/>
      <c r="L1177" s="60"/>
    </row>
    <row r="1178" spans="1:12">
      <c r="A1178" s="41"/>
      <c r="B1178" s="30" t="s">
        <v>4126</v>
      </c>
      <c r="C1178" s="61"/>
      <c r="D1178" s="61" t="s">
        <v>4127</v>
      </c>
      <c r="E1178" s="61"/>
      <c r="F1178" s="61"/>
      <c r="G1178" s="22"/>
      <c r="H1178" s="22"/>
      <c r="I1178" s="62"/>
      <c r="J1178" s="63"/>
      <c r="K1178" s="63"/>
      <c r="L1178" s="64"/>
    </row>
    <row r="1179" spans="1:12">
      <c r="A1179" s="42" t="s">
        <v>106</v>
      </c>
      <c r="B1179" s="34" t="s">
        <v>4128</v>
      </c>
      <c r="C1179" s="53" t="s">
        <v>108</v>
      </c>
      <c r="D1179" s="53" t="s">
        <v>4129</v>
      </c>
      <c r="E1179" s="53" t="s">
        <v>4130</v>
      </c>
      <c r="F1179" s="53" t="s">
        <v>40</v>
      </c>
      <c r="G1179" s="16" t="s">
        <v>4131</v>
      </c>
      <c r="H1179" s="16" t="s">
        <v>4132</v>
      </c>
      <c r="I1179" s="58" t="s">
        <v>2855</v>
      </c>
      <c r="J1179" s="59" t="s">
        <v>61</v>
      </c>
      <c r="K1179" s="59"/>
      <c r="L1179" s="60"/>
    </row>
    <row r="1180" spans="1:12">
      <c r="A1180" s="41"/>
      <c r="B1180" s="30" t="s">
        <v>4133</v>
      </c>
      <c r="C1180" s="61"/>
      <c r="D1180" s="61" t="s">
        <v>4134</v>
      </c>
      <c r="E1180" s="61"/>
      <c r="F1180" s="61"/>
      <c r="G1180" s="22"/>
      <c r="H1180" s="22"/>
      <c r="I1180" s="62"/>
      <c r="J1180" s="63"/>
      <c r="K1180" s="63"/>
      <c r="L1180" s="64"/>
    </row>
    <row r="1181" spans="1:12">
      <c r="A1181" s="42"/>
      <c r="B1181" s="34" t="s">
        <v>4135</v>
      </c>
      <c r="C1181" s="53"/>
      <c r="D1181" s="53" t="s">
        <v>2838</v>
      </c>
      <c r="E1181" s="53"/>
      <c r="F1181" s="53"/>
      <c r="G1181" s="16"/>
      <c r="H1181" s="16"/>
      <c r="I1181" s="58"/>
      <c r="J1181" s="59"/>
      <c r="K1181" s="59"/>
      <c r="L1181" s="60"/>
    </row>
    <row r="1182" spans="1:12">
      <c r="A1182" s="41"/>
      <c r="B1182" s="30" t="s">
        <v>4136</v>
      </c>
      <c r="C1182" s="61"/>
      <c r="D1182" s="61" t="s">
        <v>4137</v>
      </c>
      <c r="E1182" s="61"/>
      <c r="F1182" s="61"/>
      <c r="G1182" s="22"/>
      <c r="H1182" s="22"/>
      <c r="I1182" s="62"/>
      <c r="J1182" s="63"/>
      <c r="K1182" s="63"/>
      <c r="L1182" s="64"/>
    </row>
    <row r="1183" spans="1:12">
      <c r="A1183" s="1" t="s">
        <v>20</v>
      </c>
      <c r="B1183" s="34" t="s">
        <v>4136</v>
      </c>
      <c r="C1183" s="53" t="s">
        <v>21</v>
      </c>
      <c r="D1183" s="15" t="s">
        <v>4138</v>
      </c>
      <c r="E1183" s="15" t="s">
        <v>4139</v>
      </c>
      <c r="F1183" s="53" t="s">
        <v>40</v>
      </c>
      <c r="G1183" s="16" t="s">
        <v>4140</v>
      </c>
      <c r="H1183" s="16" t="s">
        <v>4141</v>
      </c>
      <c r="I1183" s="58" t="s">
        <v>1947</v>
      </c>
      <c r="J1183" s="59" t="s">
        <v>61</v>
      </c>
      <c r="K1183" s="59"/>
      <c r="L1183" s="60"/>
    </row>
    <row r="1184" spans="1:12">
      <c r="A1184" s="19" t="s">
        <v>95</v>
      </c>
      <c r="B1184" s="20" t="s">
        <v>4142</v>
      </c>
      <c r="C1184" s="77" t="s">
        <v>97</v>
      </c>
      <c r="D1184" s="21" t="s">
        <v>4143</v>
      </c>
      <c r="E1184" s="21" t="s">
        <v>4144</v>
      </c>
      <c r="F1184" s="77" t="s">
        <v>40</v>
      </c>
      <c r="G1184" s="22" t="s">
        <v>4145</v>
      </c>
      <c r="H1184" s="22" t="s">
        <v>4146</v>
      </c>
      <c r="I1184" s="78" t="s">
        <v>4147</v>
      </c>
      <c r="J1184" s="79" t="s">
        <v>61</v>
      </c>
      <c r="K1184" s="79"/>
      <c r="L1184" s="80"/>
    </row>
    <row r="1185" spans="1:12">
      <c r="A1185" s="1" t="s">
        <v>106</v>
      </c>
      <c r="B1185" s="14" t="s">
        <v>4148</v>
      </c>
      <c r="C1185" s="81" t="s">
        <v>108</v>
      </c>
      <c r="D1185" s="81" t="s">
        <v>4149</v>
      </c>
      <c r="E1185" s="81" t="s">
        <v>4150</v>
      </c>
      <c r="F1185" s="81" t="s">
        <v>40</v>
      </c>
      <c r="G1185" s="16" t="s">
        <v>4151</v>
      </c>
      <c r="H1185" s="16" t="s">
        <v>4152</v>
      </c>
      <c r="I1185" s="82" t="s">
        <v>3758</v>
      </c>
      <c r="J1185" s="83" t="s">
        <v>61</v>
      </c>
      <c r="K1185" s="83"/>
      <c r="L1185" s="84"/>
    </row>
    <row r="1186" spans="1:12">
      <c r="A1186" s="19" t="s">
        <v>106</v>
      </c>
      <c r="B1186" s="20" t="s">
        <v>4153</v>
      </c>
      <c r="C1186" s="77" t="s">
        <v>333</v>
      </c>
      <c r="D1186" s="21" t="s">
        <v>4154</v>
      </c>
      <c r="E1186" s="21" t="s">
        <v>4155</v>
      </c>
      <c r="F1186" s="77" t="s">
        <v>40</v>
      </c>
      <c r="G1186" s="22" t="s">
        <v>4156</v>
      </c>
      <c r="H1186" s="22" t="s">
        <v>4157</v>
      </c>
      <c r="I1186" s="78" t="s">
        <v>3296</v>
      </c>
      <c r="J1186" s="79" t="s">
        <v>61</v>
      </c>
      <c r="K1186" s="79"/>
      <c r="L1186" s="80"/>
    </row>
    <row r="1187" spans="1:12">
      <c r="A1187" s="1" t="s">
        <v>20</v>
      </c>
      <c r="B1187" s="14" t="s">
        <v>4158</v>
      </c>
      <c r="C1187" s="81" t="s">
        <v>21</v>
      </c>
      <c r="D1187" s="15" t="s">
        <v>4159</v>
      </c>
      <c r="E1187" s="15" t="s">
        <v>4160</v>
      </c>
      <c r="F1187" s="81" t="s">
        <v>40</v>
      </c>
      <c r="G1187" s="16" t="s">
        <v>4161</v>
      </c>
      <c r="H1187" s="16" t="s">
        <v>4162</v>
      </c>
      <c r="I1187" s="82" t="s">
        <v>64</v>
      </c>
      <c r="J1187" s="83" t="s">
        <v>61</v>
      </c>
      <c r="K1187" s="83"/>
      <c r="L1187" s="84"/>
    </row>
    <row r="1188" spans="1:12">
      <c r="A1188" s="19" t="s">
        <v>106</v>
      </c>
      <c r="B1188" s="20" t="s">
        <v>4163</v>
      </c>
      <c r="C1188" s="77" t="s">
        <v>108</v>
      </c>
      <c r="D1188" s="21" t="s">
        <v>4164</v>
      </c>
      <c r="E1188" s="21" t="s">
        <v>4165</v>
      </c>
      <c r="F1188" s="77" t="s">
        <v>40</v>
      </c>
      <c r="G1188" s="22" t="s">
        <v>4166</v>
      </c>
      <c r="H1188" s="22" t="s">
        <v>4167</v>
      </c>
      <c r="I1188" s="78"/>
      <c r="J1188" s="79" t="s">
        <v>72</v>
      </c>
      <c r="K1188" s="79" t="s">
        <v>88</v>
      </c>
      <c r="L1188" s="80"/>
    </row>
    <row r="1189" spans="1:12">
      <c r="A1189" s="1" t="s">
        <v>95</v>
      </c>
      <c r="B1189" s="14" t="s">
        <v>4168</v>
      </c>
      <c r="C1189" s="81" t="s">
        <v>97</v>
      </c>
      <c r="D1189" s="15" t="s">
        <v>4169</v>
      </c>
      <c r="E1189" s="15" t="s">
        <v>4170</v>
      </c>
      <c r="F1189" s="81" t="s">
        <v>40</v>
      </c>
      <c r="G1189" s="16" t="s">
        <v>4171</v>
      </c>
      <c r="H1189" s="16" t="s">
        <v>4172</v>
      </c>
      <c r="I1189" s="82" t="s">
        <v>4173</v>
      </c>
      <c r="J1189" s="83" t="s">
        <v>61</v>
      </c>
      <c r="K1189" s="83"/>
      <c r="L1189" s="84"/>
    </row>
    <row r="1190" spans="1:12">
      <c r="A1190" s="19" t="s">
        <v>106</v>
      </c>
      <c r="B1190" s="20" t="s">
        <v>4174</v>
      </c>
      <c r="C1190" s="77" t="s">
        <v>108</v>
      </c>
      <c r="D1190" s="21" t="s">
        <v>4175</v>
      </c>
      <c r="E1190" s="21" t="s">
        <v>4176</v>
      </c>
      <c r="F1190" s="77" t="s">
        <v>40</v>
      </c>
      <c r="G1190" s="22" t="s">
        <v>4177</v>
      </c>
      <c r="H1190" s="22" t="s">
        <v>4178</v>
      </c>
      <c r="I1190" s="78" t="s">
        <v>1470</v>
      </c>
      <c r="J1190" s="79" t="s">
        <v>61</v>
      </c>
      <c r="K1190" s="79"/>
      <c r="L1190" s="80"/>
    </row>
    <row r="1191" spans="1:12">
      <c r="A1191" s="1" t="s">
        <v>106</v>
      </c>
      <c r="B1191" s="14" t="s">
        <v>4179</v>
      </c>
      <c r="C1191" s="81" t="s">
        <v>108</v>
      </c>
      <c r="D1191" s="81" t="s">
        <v>4180</v>
      </c>
      <c r="E1191" s="81" t="s">
        <v>4181</v>
      </c>
      <c r="F1191" s="81" t="s">
        <v>40</v>
      </c>
      <c r="G1191" s="16" t="s">
        <v>4182</v>
      </c>
      <c r="H1191" s="16" t="s">
        <v>4183</v>
      </c>
      <c r="I1191" s="82" t="s">
        <v>4184</v>
      </c>
      <c r="J1191" s="83" t="s">
        <v>88</v>
      </c>
      <c r="K1191" s="83"/>
      <c r="L1191" s="84"/>
    </row>
    <row r="1192" spans="1:12">
      <c r="A1192" s="19" t="s">
        <v>20</v>
      </c>
      <c r="B1192" s="20" t="s">
        <v>4185</v>
      </c>
      <c r="C1192" s="77" t="s">
        <v>13</v>
      </c>
      <c r="D1192" s="77" t="s">
        <v>4186</v>
      </c>
      <c r="E1192" s="77" t="s">
        <v>4187</v>
      </c>
      <c r="F1192" s="77" t="s">
        <v>40</v>
      </c>
      <c r="G1192" s="22" t="s">
        <v>4188</v>
      </c>
      <c r="H1192" s="22" t="s">
        <v>4189</v>
      </c>
      <c r="I1192" s="78" t="s">
        <v>17</v>
      </c>
      <c r="J1192" s="79" t="s">
        <v>88</v>
      </c>
      <c r="K1192" s="79"/>
      <c r="L1192" s="80"/>
    </row>
    <row r="1193" spans="1:12">
      <c r="A1193" s="1" t="s">
        <v>106</v>
      </c>
      <c r="B1193" s="14" t="s">
        <v>4190</v>
      </c>
      <c r="C1193" s="81" t="s">
        <v>108</v>
      </c>
      <c r="D1193" s="81" t="s">
        <v>4191</v>
      </c>
      <c r="E1193" s="81" t="s">
        <v>4192</v>
      </c>
      <c r="F1193" s="81" t="s">
        <v>40</v>
      </c>
      <c r="G1193" s="16" t="s">
        <v>4193</v>
      </c>
      <c r="H1193" s="16" t="s">
        <v>4194</v>
      </c>
      <c r="I1193" s="82" t="s">
        <v>4195</v>
      </c>
      <c r="J1193" s="83" t="s">
        <v>88</v>
      </c>
      <c r="K1193" s="83"/>
      <c r="L1193" s="84"/>
    </row>
    <row r="1194" spans="1:12">
      <c r="A1194" s="19" t="s">
        <v>20</v>
      </c>
      <c r="B1194" s="20" t="s">
        <v>4196</v>
      </c>
      <c r="C1194" s="77" t="s">
        <v>13</v>
      </c>
      <c r="D1194" s="77" t="s">
        <v>4197</v>
      </c>
      <c r="E1194" s="77" t="s">
        <v>4198</v>
      </c>
      <c r="F1194" s="77" t="s">
        <v>40</v>
      </c>
      <c r="G1194" s="22" t="s">
        <v>4199</v>
      </c>
      <c r="H1194" s="22" t="s">
        <v>4200</v>
      </c>
      <c r="I1194" s="78" t="s">
        <v>17</v>
      </c>
      <c r="J1194" s="79" t="s">
        <v>94</v>
      </c>
      <c r="K1194" s="79" t="s">
        <v>88</v>
      </c>
      <c r="L1194" s="80"/>
    </row>
    <row r="1195" spans="1:12">
      <c r="A1195" s="1" t="s">
        <v>20</v>
      </c>
      <c r="B1195" s="14" t="s">
        <v>4201</v>
      </c>
      <c r="C1195" s="81" t="s">
        <v>21</v>
      </c>
      <c r="D1195" s="81" t="s">
        <v>4202</v>
      </c>
      <c r="E1195" s="81" t="s">
        <v>4203</v>
      </c>
      <c r="F1195" s="81" t="s">
        <v>40</v>
      </c>
      <c r="G1195" s="16" t="s">
        <v>4204</v>
      </c>
      <c r="H1195" s="16" t="s">
        <v>4205</v>
      </c>
      <c r="I1195" s="82" t="s">
        <v>4206</v>
      </c>
      <c r="J1195" s="83" t="s">
        <v>94</v>
      </c>
      <c r="K1195" s="83"/>
      <c r="L1195" s="84"/>
    </row>
    <row r="1196" spans="1:12" ht="409.5">
      <c r="A1196" s="19" t="s">
        <v>20</v>
      </c>
      <c r="B1196" s="20" t="s">
        <v>4207</v>
      </c>
      <c r="C1196" s="77" t="s">
        <v>21</v>
      </c>
      <c r="D1196" s="77" t="s">
        <v>4208</v>
      </c>
      <c r="E1196" s="94" t="s">
        <v>4209</v>
      </c>
      <c r="F1196" s="77" t="s">
        <v>40</v>
      </c>
      <c r="G1196" s="22" t="s">
        <v>4210</v>
      </c>
      <c r="H1196" s="22" t="s">
        <v>4211</v>
      </c>
      <c r="I1196" s="78" t="s">
        <v>4206</v>
      </c>
      <c r="J1196" s="79" t="s">
        <v>94</v>
      </c>
      <c r="K1196" s="79"/>
      <c r="L1196" s="80"/>
    </row>
    <row r="1197" spans="1:12">
      <c r="A1197" s="1" t="s">
        <v>106</v>
      </c>
      <c r="B1197" s="14" t="s">
        <v>4212</v>
      </c>
      <c r="C1197" s="81" t="s">
        <v>78</v>
      </c>
      <c r="D1197" s="81" t="s">
        <v>4213</v>
      </c>
      <c r="E1197" s="81" t="s">
        <v>4214</v>
      </c>
      <c r="F1197" s="81" t="s">
        <v>308</v>
      </c>
      <c r="G1197" s="16" t="s">
        <v>4215</v>
      </c>
      <c r="H1197" s="16"/>
      <c r="I1197" s="82" t="s">
        <v>258</v>
      </c>
      <c r="J1197" s="83" t="s">
        <v>88</v>
      </c>
      <c r="K1197" s="83"/>
      <c r="L1197" s="84"/>
    </row>
    <row r="1198" spans="1:12">
      <c r="A1198" s="19" t="s">
        <v>106</v>
      </c>
      <c r="B1198" s="20" t="s">
        <v>4216</v>
      </c>
      <c r="C1198" s="77" t="s">
        <v>108</v>
      </c>
      <c r="D1198" s="77" t="s">
        <v>3585</v>
      </c>
      <c r="E1198" s="61" t="s">
        <v>4217</v>
      </c>
      <c r="F1198" s="77" t="s">
        <v>40</v>
      </c>
      <c r="G1198" s="22" t="s">
        <v>4218</v>
      </c>
      <c r="H1198" s="22" t="s">
        <v>4219</v>
      </c>
      <c r="I1198" s="78" t="s">
        <v>4220</v>
      </c>
      <c r="J1198" s="79" t="s">
        <v>88</v>
      </c>
      <c r="K1198" s="79"/>
      <c r="L1198" s="80"/>
    </row>
    <row r="1199" spans="1:12">
      <c r="A1199" s="42" t="s">
        <v>20</v>
      </c>
      <c r="B1199" s="14" t="s">
        <v>4221</v>
      </c>
      <c r="C1199" s="81" t="s">
        <v>13</v>
      </c>
      <c r="D1199" s="81" t="s">
        <v>4222</v>
      </c>
      <c r="E1199" s="81" t="s">
        <v>4223</v>
      </c>
      <c r="F1199" s="81" t="s">
        <v>40</v>
      </c>
      <c r="G1199" s="16" t="s">
        <v>4224</v>
      </c>
      <c r="H1199" s="16" t="s">
        <v>4225</v>
      </c>
      <c r="I1199" s="82" t="s">
        <v>17</v>
      </c>
      <c r="J1199" s="83" t="s">
        <v>88</v>
      </c>
      <c r="K1199" s="83"/>
      <c r="L1199" s="84"/>
    </row>
    <row r="1200" spans="1:12">
      <c r="A1200" s="19" t="s">
        <v>20</v>
      </c>
      <c r="B1200" s="30" t="s">
        <v>4226</v>
      </c>
      <c r="C1200" s="61" t="s">
        <v>13</v>
      </c>
      <c r="D1200" s="61" t="s">
        <v>4227</v>
      </c>
      <c r="E1200" s="61" t="s">
        <v>4228</v>
      </c>
      <c r="F1200" s="61" t="s">
        <v>40</v>
      </c>
      <c r="G1200" s="22" t="s">
        <v>4229</v>
      </c>
      <c r="H1200" s="22">
        <v>45242.556250000001</v>
      </c>
      <c r="I1200" s="62" t="s">
        <v>17</v>
      </c>
      <c r="J1200" s="63" t="s">
        <v>94</v>
      </c>
      <c r="K1200" s="63" t="s">
        <v>88</v>
      </c>
      <c r="L1200" s="64"/>
    </row>
    <row r="1201" spans="1:12">
      <c r="A1201" s="1" t="s">
        <v>20</v>
      </c>
      <c r="B1201" s="14" t="s">
        <v>4226</v>
      </c>
      <c r="C1201" s="81" t="s">
        <v>13</v>
      </c>
      <c r="D1201" s="81" t="s">
        <v>4227</v>
      </c>
      <c r="E1201" s="81"/>
      <c r="F1201" s="81" t="s">
        <v>308</v>
      </c>
      <c r="G1201" s="16" t="s">
        <v>4229</v>
      </c>
      <c r="H1201" s="16"/>
      <c r="I1201" s="82" t="s">
        <v>17</v>
      </c>
      <c r="J1201" s="83" t="s">
        <v>88</v>
      </c>
      <c r="K1201" s="83" t="s">
        <v>61</v>
      </c>
      <c r="L1201" s="84"/>
    </row>
    <row r="1202" spans="1:12" ht="409.5">
      <c r="A1202" s="19" t="s">
        <v>20</v>
      </c>
      <c r="B1202" s="20" t="s">
        <v>4230</v>
      </c>
      <c r="C1202" s="77" t="s">
        <v>21</v>
      </c>
      <c r="D1202" s="77" t="s">
        <v>4231</v>
      </c>
      <c r="E1202" s="94" t="s">
        <v>4232</v>
      </c>
      <c r="F1202" s="77" t="s">
        <v>40</v>
      </c>
      <c r="G1202" s="22" t="s">
        <v>4233</v>
      </c>
      <c r="H1202" s="22" t="s">
        <v>4234</v>
      </c>
      <c r="I1202" s="78" t="s">
        <v>4206</v>
      </c>
      <c r="J1202" s="79" t="s">
        <v>94</v>
      </c>
      <c r="K1202" s="79"/>
      <c r="L1202" s="80"/>
    </row>
    <row r="1203" spans="1:12">
      <c r="A1203" s="1" t="s">
        <v>106</v>
      </c>
      <c r="B1203" s="14" t="s">
        <v>4235</v>
      </c>
      <c r="C1203" s="81" t="s">
        <v>108</v>
      </c>
      <c r="D1203" s="81" t="s">
        <v>4236</v>
      </c>
      <c r="E1203" s="81" t="s">
        <v>4237</v>
      </c>
      <c r="F1203" s="81" t="s">
        <v>40</v>
      </c>
      <c r="G1203" s="16" t="s">
        <v>4238</v>
      </c>
      <c r="H1203" s="16" t="s">
        <v>4239</v>
      </c>
      <c r="I1203" s="82" t="s">
        <v>1373</v>
      </c>
      <c r="J1203" s="83" t="s">
        <v>94</v>
      </c>
      <c r="K1203" s="83"/>
      <c r="L1203" s="84"/>
    </row>
    <row r="1204" spans="1:12">
      <c r="A1204" s="19" t="s">
        <v>20</v>
      </c>
      <c r="B1204" s="20" t="s">
        <v>4240</v>
      </c>
      <c r="C1204" s="77" t="s">
        <v>21</v>
      </c>
      <c r="D1204" s="77" t="s">
        <v>4241</v>
      </c>
      <c r="E1204" s="77" t="s">
        <v>4242</v>
      </c>
      <c r="F1204" s="77" t="s">
        <v>40</v>
      </c>
      <c r="G1204" s="22" t="s">
        <v>4239</v>
      </c>
      <c r="H1204" s="22" t="s">
        <v>4243</v>
      </c>
      <c r="I1204" s="78" t="s">
        <v>4206</v>
      </c>
      <c r="J1204" s="79" t="s">
        <v>94</v>
      </c>
      <c r="K1204" s="79"/>
      <c r="L1204" s="80"/>
    </row>
    <row r="1205" spans="1:12">
      <c r="A1205" s="1" t="s">
        <v>95</v>
      </c>
      <c r="B1205" s="14" t="s">
        <v>4244</v>
      </c>
      <c r="C1205" s="81" t="s">
        <v>118</v>
      </c>
      <c r="D1205" s="81" t="s">
        <v>4245</v>
      </c>
      <c r="E1205" s="81" t="s">
        <v>4246</v>
      </c>
      <c r="F1205" s="81" t="s">
        <v>40</v>
      </c>
      <c r="G1205" s="16" t="s">
        <v>4247</v>
      </c>
      <c r="H1205" s="16" t="s">
        <v>4248</v>
      </c>
      <c r="I1205" s="82" t="s">
        <v>4249</v>
      </c>
      <c r="J1205" s="83" t="s">
        <v>94</v>
      </c>
      <c r="K1205" s="83" t="s">
        <v>88</v>
      </c>
      <c r="L1205" s="84"/>
    </row>
    <row r="1206" spans="1:12">
      <c r="A1206" s="19" t="s">
        <v>106</v>
      </c>
      <c r="B1206" s="20" t="s">
        <v>4250</v>
      </c>
      <c r="C1206" s="77" t="s">
        <v>333</v>
      </c>
      <c r="D1206" s="77" t="s">
        <v>4251</v>
      </c>
      <c r="E1206" s="77" t="s">
        <v>4252</v>
      </c>
      <c r="F1206" s="77" t="s">
        <v>40</v>
      </c>
      <c r="G1206" s="22" t="s">
        <v>4253</v>
      </c>
      <c r="H1206" s="22" t="s">
        <v>4254</v>
      </c>
      <c r="I1206" s="78" t="s">
        <v>2595</v>
      </c>
      <c r="J1206" s="79" t="s">
        <v>88</v>
      </c>
      <c r="K1206" s="79"/>
      <c r="L1206" s="80"/>
    </row>
    <row r="1207" spans="1:12">
      <c r="A1207" s="1" t="s">
        <v>20</v>
      </c>
      <c r="B1207" s="14" t="s">
        <v>4255</v>
      </c>
      <c r="C1207" s="81" t="s">
        <v>13</v>
      </c>
      <c r="D1207" s="81" t="s">
        <v>4256</v>
      </c>
      <c r="E1207" s="81" t="s">
        <v>4257</v>
      </c>
      <c r="F1207" s="81" t="s">
        <v>40</v>
      </c>
      <c r="G1207" s="16" t="s">
        <v>4258</v>
      </c>
      <c r="H1207" s="16" t="s">
        <v>4259</v>
      </c>
      <c r="I1207" s="82" t="s">
        <v>3014</v>
      </c>
      <c r="J1207" s="83" t="s">
        <v>88</v>
      </c>
      <c r="K1207" s="83"/>
      <c r="L1207" s="84"/>
    </row>
    <row r="1208" spans="1:12">
      <c r="A1208" s="19" t="s">
        <v>95</v>
      </c>
      <c r="B1208" s="20" t="s">
        <v>4260</v>
      </c>
      <c r="C1208" s="77" t="s">
        <v>97</v>
      </c>
      <c r="D1208" s="77" t="s">
        <v>4261</v>
      </c>
      <c r="E1208" s="77" t="s">
        <v>4262</v>
      </c>
      <c r="F1208" s="77" t="s">
        <v>40</v>
      </c>
      <c r="G1208" s="22" t="s">
        <v>4263</v>
      </c>
      <c r="H1208" s="22" t="s">
        <v>4264</v>
      </c>
      <c r="I1208" s="78" t="s">
        <v>991</v>
      </c>
      <c r="J1208" s="79" t="s">
        <v>88</v>
      </c>
      <c r="K1208" s="79"/>
      <c r="L1208" s="80"/>
    </row>
    <row r="1209" spans="1:12">
      <c r="A1209" s="1" t="s">
        <v>106</v>
      </c>
      <c r="B1209" s="14" t="s">
        <v>4265</v>
      </c>
      <c r="C1209" s="81" t="s">
        <v>108</v>
      </c>
      <c r="D1209" s="81" t="s">
        <v>4266</v>
      </c>
      <c r="E1209" s="81" t="s">
        <v>4267</v>
      </c>
      <c r="F1209" s="81" t="s">
        <v>40</v>
      </c>
      <c r="G1209" s="16" t="s">
        <v>4268</v>
      </c>
      <c r="H1209" s="16" t="s">
        <v>4269</v>
      </c>
      <c r="I1209" s="82" t="s">
        <v>4220</v>
      </c>
      <c r="J1209" s="83" t="s">
        <v>88</v>
      </c>
      <c r="K1209" s="83"/>
      <c r="L1209" s="84"/>
    </row>
    <row r="1210" spans="1:12">
      <c r="A1210" s="19" t="s">
        <v>106</v>
      </c>
      <c r="B1210" s="20" t="s">
        <v>4270</v>
      </c>
      <c r="C1210" s="77" t="s">
        <v>108</v>
      </c>
      <c r="D1210" s="77" t="s">
        <v>4271</v>
      </c>
      <c r="E1210" s="77" t="s">
        <v>4272</v>
      </c>
      <c r="F1210" s="77" t="s">
        <v>40</v>
      </c>
      <c r="G1210" s="22" t="s">
        <v>4273</v>
      </c>
      <c r="H1210" s="22" t="s">
        <v>4274</v>
      </c>
      <c r="I1210" s="78" t="s">
        <v>4275</v>
      </c>
      <c r="J1210" s="79" t="s">
        <v>88</v>
      </c>
      <c r="K1210" s="79"/>
      <c r="L1210" s="80"/>
    </row>
    <row r="1211" spans="1:12" ht="409.5">
      <c r="A1211" s="95" t="s">
        <v>20</v>
      </c>
      <c r="B1211" s="96" t="s">
        <v>4276</v>
      </c>
      <c r="C1211" s="82" t="s">
        <v>21</v>
      </c>
      <c r="D1211" s="82" t="s">
        <v>4277</v>
      </c>
      <c r="E1211" s="97" t="s">
        <v>4278</v>
      </c>
      <c r="F1211" s="81" t="s">
        <v>40</v>
      </c>
      <c r="G1211" s="16" t="s">
        <v>4279</v>
      </c>
      <c r="H1211" s="16" t="s">
        <v>4280</v>
      </c>
      <c r="I1211" s="82" t="s">
        <v>4206</v>
      </c>
      <c r="J1211" s="83" t="s">
        <v>94</v>
      </c>
      <c r="K1211" s="83"/>
      <c r="L1211" s="84"/>
    </row>
    <row r="1212" spans="1:12">
      <c r="A1212" s="19" t="s">
        <v>20</v>
      </c>
      <c r="B1212" s="20" t="s">
        <v>4281</v>
      </c>
      <c r="C1212" s="77" t="s">
        <v>21</v>
      </c>
      <c r="D1212" s="77" t="s">
        <v>4282</v>
      </c>
      <c r="E1212" s="77" t="s">
        <v>4283</v>
      </c>
      <c r="F1212" s="77" t="s">
        <v>40</v>
      </c>
      <c r="G1212" s="22" t="s">
        <v>4284</v>
      </c>
      <c r="H1212" s="22" t="s">
        <v>4285</v>
      </c>
      <c r="I1212" s="78" t="s">
        <v>4206</v>
      </c>
      <c r="J1212" s="79" t="s">
        <v>94</v>
      </c>
      <c r="K1212" s="79"/>
      <c r="L1212" s="80"/>
    </row>
    <row r="1213" spans="1:12" ht="409.5">
      <c r="A1213" s="98" t="s">
        <v>20</v>
      </c>
      <c r="B1213" s="99" t="s">
        <v>4286</v>
      </c>
      <c r="C1213" s="100" t="s">
        <v>21</v>
      </c>
      <c r="D1213" s="100" t="s">
        <v>4287</v>
      </c>
      <c r="E1213" s="101" t="s">
        <v>4288</v>
      </c>
      <c r="F1213" s="81" t="s">
        <v>40</v>
      </c>
      <c r="G1213" s="16" t="s">
        <v>4289</v>
      </c>
      <c r="H1213" s="16" t="s">
        <v>4290</v>
      </c>
      <c r="I1213" s="82" t="s">
        <v>4206</v>
      </c>
      <c r="J1213" s="83" t="s">
        <v>94</v>
      </c>
      <c r="K1213" s="83"/>
      <c r="L1213" s="84"/>
    </row>
    <row r="1214" spans="1:12">
      <c r="A1214" s="19" t="s">
        <v>95</v>
      </c>
      <c r="B1214" s="20" t="s">
        <v>4291</v>
      </c>
      <c r="C1214" s="77" t="s">
        <v>97</v>
      </c>
      <c r="D1214" s="77" t="s">
        <v>4292</v>
      </c>
      <c r="E1214" s="77" t="s">
        <v>4293</v>
      </c>
      <c r="F1214" s="77" t="s">
        <v>40</v>
      </c>
      <c r="G1214" s="22" t="s">
        <v>4294</v>
      </c>
      <c r="H1214" s="22" t="s">
        <v>4295</v>
      </c>
      <c r="I1214" s="78" t="s">
        <v>991</v>
      </c>
      <c r="J1214" s="79" t="s">
        <v>88</v>
      </c>
      <c r="K1214" s="79"/>
      <c r="L1214" s="80"/>
    </row>
    <row r="1215" spans="1:12">
      <c r="A1215" s="1" t="s">
        <v>95</v>
      </c>
      <c r="B1215" s="14" t="s">
        <v>4296</v>
      </c>
      <c r="C1215" s="81" t="s">
        <v>97</v>
      </c>
      <c r="D1215" s="81" t="s">
        <v>4297</v>
      </c>
      <c r="E1215" s="81" t="s">
        <v>4298</v>
      </c>
      <c r="F1215" s="81" t="s">
        <v>40</v>
      </c>
      <c r="G1215" s="16" t="s">
        <v>4299</v>
      </c>
      <c r="H1215" s="16" t="s">
        <v>4300</v>
      </c>
      <c r="I1215" s="82" t="s">
        <v>2086</v>
      </c>
      <c r="J1215" s="83" t="s">
        <v>88</v>
      </c>
      <c r="K1215" s="83"/>
      <c r="L1215" s="84"/>
    </row>
    <row r="1216" spans="1:12">
      <c r="A1216" s="19" t="s">
        <v>106</v>
      </c>
      <c r="B1216" s="20" t="s">
        <v>4301</v>
      </c>
      <c r="C1216" s="77" t="s">
        <v>333</v>
      </c>
      <c r="D1216" s="77" t="s">
        <v>4302</v>
      </c>
      <c r="E1216" s="77" t="s">
        <v>4303</v>
      </c>
      <c r="F1216" s="77" t="s">
        <v>40</v>
      </c>
      <c r="G1216" s="22" t="s">
        <v>4304</v>
      </c>
      <c r="H1216" s="22" t="s">
        <v>4305</v>
      </c>
      <c r="I1216" s="78" t="s">
        <v>105</v>
      </c>
      <c r="J1216" s="79" t="s">
        <v>88</v>
      </c>
      <c r="K1216" s="79"/>
      <c r="L1216" s="80"/>
    </row>
    <row r="1217" spans="1:12">
      <c r="A1217" s="1" t="s">
        <v>20</v>
      </c>
      <c r="B1217" s="14" t="s">
        <v>4306</v>
      </c>
      <c r="C1217" s="81" t="s">
        <v>13</v>
      </c>
      <c r="D1217" s="81" t="s">
        <v>4307</v>
      </c>
      <c r="E1217" s="81"/>
      <c r="F1217" s="81" t="s">
        <v>214</v>
      </c>
      <c r="G1217" s="16" t="s">
        <v>4308</v>
      </c>
      <c r="H1217" s="16"/>
      <c r="I1217" s="82" t="s">
        <v>17</v>
      </c>
      <c r="J1217" s="83" t="s">
        <v>88</v>
      </c>
      <c r="K1217" s="83"/>
      <c r="L1217" s="84"/>
    </row>
    <row r="1218" spans="1:12">
      <c r="A1218" s="19" t="s">
        <v>20</v>
      </c>
      <c r="B1218" s="20" t="s">
        <v>4306</v>
      </c>
      <c r="C1218" s="77" t="s">
        <v>13</v>
      </c>
      <c r="D1218" s="77" t="s">
        <v>4307</v>
      </c>
      <c r="E1218" s="77" t="s">
        <v>4309</v>
      </c>
      <c r="F1218" s="77" t="s">
        <v>40</v>
      </c>
      <c r="G1218" s="22" t="s">
        <v>4310</v>
      </c>
      <c r="H1218" s="22" t="s">
        <v>4311</v>
      </c>
      <c r="I1218" s="78" t="s">
        <v>17</v>
      </c>
      <c r="J1218" s="79" t="s">
        <v>61</v>
      </c>
      <c r="K1218" s="79"/>
      <c r="L1218" s="80"/>
    </row>
    <row r="1219" spans="1:12">
      <c r="A1219" s="1" t="s">
        <v>20</v>
      </c>
      <c r="B1219" s="14" t="s">
        <v>4312</v>
      </c>
      <c r="C1219" s="81" t="s">
        <v>21</v>
      </c>
      <c r="D1219" s="81" t="s">
        <v>4313</v>
      </c>
      <c r="E1219" s="81" t="s">
        <v>4314</v>
      </c>
      <c r="F1219" s="81" t="s">
        <v>40</v>
      </c>
      <c r="G1219" s="16" t="s">
        <v>4315</v>
      </c>
      <c r="H1219" s="16" t="s">
        <v>4316</v>
      </c>
      <c r="I1219" s="82" t="s">
        <v>1644</v>
      </c>
      <c r="J1219" s="83" t="s">
        <v>94</v>
      </c>
      <c r="K1219" s="83"/>
      <c r="L1219" s="84"/>
    </row>
    <row r="1220" spans="1:12">
      <c r="A1220" s="19" t="s">
        <v>20</v>
      </c>
      <c r="B1220" s="20" t="s">
        <v>4317</v>
      </c>
      <c r="C1220" s="77" t="s">
        <v>21</v>
      </c>
      <c r="D1220" s="77" t="s">
        <v>4318</v>
      </c>
      <c r="E1220" s="77" t="s">
        <v>4319</v>
      </c>
      <c r="F1220" s="77" t="s">
        <v>40</v>
      </c>
      <c r="G1220" s="22" t="s">
        <v>4320</v>
      </c>
      <c r="H1220" s="22" t="s">
        <v>4321</v>
      </c>
      <c r="I1220" s="78" t="s">
        <v>1644</v>
      </c>
      <c r="J1220" s="79" t="s">
        <v>94</v>
      </c>
      <c r="K1220" s="79"/>
      <c r="L1220" s="80"/>
    </row>
    <row r="1221" spans="1:12">
      <c r="A1221" s="1" t="s">
        <v>106</v>
      </c>
      <c r="B1221" s="14" t="s">
        <v>4322</v>
      </c>
      <c r="C1221" s="81" t="s">
        <v>333</v>
      </c>
      <c r="D1221" s="81" t="s">
        <v>4323</v>
      </c>
      <c r="E1221" s="81" t="s">
        <v>4324</v>
      </c>
      <c r="F1221" s="81" t="s">
        <v>40</v>
      </c>
      <c r="G1221" s="16" t="s">
        <v>4325</v>
      </c>
      <c r="H1221" s="16" t="s">
        <v>4326</v>
      </c>
      <c r="I1221" s="82" t="s">
        <v>3093</v>
      </c>
      <c r="J1221" s="83" t="s">
        <v>94</v>
      </c>
      <c r="K1221" s="83"/>
      <c r="L1221" s="84"/>
    </row>
    <row r="1222" spans="1:12">
      <c r="A1222" s="19" t="s">
        <v>20</v>
      </c>
      <c r="B1222" s="20" t="s">
        <v>4327</v>
      </c>
      <c r="C1222" s="77" t="s">
        <v>21</v>
      </c>
      <c r="D1222" s="77" t="s">
        <v>4328</v>
      </c>
      <c r="E1222" s="77" t="s">
        <v>4329</v>
      </c>
      <c r="F1222" s="77" t="s">
        <v>40</v>
      </c>
      <c r="G1222" s="22" t="s">
        <v>4330</v>
      </c>
      <c r="H1222" s="22" t="s">
        <v>4331</v>
      </c>
      <c r="I1222" s="78" t="s">
        <v>4332</v>
      </c>
      <c r="J1222" s="79" t="s">
        <v>94</v>
      </c>
      <c r="K1222" s="79"/>
      <c r="L1222" s="80"/>
    </row>
    <row r="1223" spans="1:12">
      <c r="A1223" s="1" t="s">
        <v>106</v>
      </c>
      <c r="B1223" s="14" t="s">
        <v>4333</v>
      </c>
      <c r="C1223" s="81" t="s">
        <v>108</v>
      </c>
      <c r="D1223" s="81" t="s">
        <v>4334</v>
      </c>
      <c r="E1223" s="81" t="s">
        <v>4335</v>
      </c>
      <c r="F1223" s="81" t="s">
        <v>40</v>
      </c>
      <c r="G1223" s="16" t="s">
        <v>4336</v>
      </c>
      <c r="H1223" s="16" t="s">
        <v>4337</v>
      </c>
      <c r="I1223" s="82" t="s">
        <v>4338</v>
      </c>
      <c r="J1223" s="83" t="s">
        <v>88</v>
      </c>
      <c r="K1223" s="83"/>
      <c r="L1223" s="84"/>
    </row>
    <row r="1224" spans="1:12">
      <c r="A1224" s="19" t="s">
        <v>20</v>
      </c>
      <c r="B1224" s="20" t="s">
        <v>4339</v>
      </c>
      <c r="C1224" s="77" t="s">
        <v>49</v>
      </c>
      <c r="D1224" s="77" t="s">
        <v>4340</v>
      </c>
      <c r="E1224" s="77" t="s">
        <v>4341</v>
      </c>
      <c r="F1224" s="77" t="s">
        <v>40</v>
      </c>
      <c r="G1224" s="22" t="s">
        <v>4342</v>
      </c>
      <c r="H1224" s="22" t="s">
        <v>4343</v>
      </c>
      <c r="I1224" s="78" t="s">
        <v>1590</v>
      </c>
      <c r="J1224" s="79" t="s">
        <v>88</v>
      </c>
      <c r="K1224" s="79"/>
      <c r="L1224" s="80"/>
    </row>
    <row r="1225" spans="1:12">
      <c r="A1225" s="1" t="s">
        <v>20</v>
      </c>
      <c r="B1225" s="14" t="s">
        <v>4344</v>
      </c>
      <c r="C1225" s="81" t="s">
        <v>13</v>
      </c>
      <c r="D1225" s="81" t="s">
        <v>2094</v>
      </c>
      <c r="E1225" s="81" t="s">
        <v>4345</v>
      </c>
      <c r="F1225" s="81" t="s">
        <v>40</v>
      </c>
      <c r="G1225" s="16" t="s">
        <v>4346</v>
      </c>
      <c r="H1225" s="16" t="s">
        <v>4347</v>
      </c>
      <c r="I1225" s="82" t="s">
        <v>4348</v>
      </c>
      <c r="J1225" s="83" t="s">
        <v>88</v>
      </c>
      <c r="K1225" s="83"/>
      <c r="L1225" s="84"/>
    </row>
    <row r="1226" spans="1:12">
      <c r="A1226" s="19" t="s">
        <v>20</v>
      </c>
      <c r="B1226" s="20" t="s">
        <v>4349</v>
      </c>
      <c r="C1226" s="77" t="s">
        <v>13</v>
      </c>
      <c r="D1226" s="77" t="s">
        <v>4350</v>
      </c>
      <c r="E1226" s="77" t="s">
        <v>4351</v>
      </c>
      <c r="F1226" s="77" t="s">
        <v>40</v>
      </c>
      <c r="G1226" s="22" t="s">
        <v>4352</v>
      </c>
      <c r="H1226" s="22" t="s">
        <v>4353</v>
      </c>
      <c r="I1226" s="78" t="s">
        <v>17</v>
      </c>
      <c r="J1226" s="79" t="s">
        <v>88</v>
      </c>
      <c r="K1226" s="79" t="s">
        <v>94</v>
      </c>
      <c r="L1226" s="80"/>
    </row>
    <row r="1227" spans="1:12">
      <c r="A1227" s="1" t="s">
        <v>20</v>
      </c>
      <c r="B1227" s="14" t="s">
        <v>4354</v>
      </c>
      <c r="C1227" s="81" t="s">
        <v>21</v>
      </c>
      <c r="D1227" s="81" t="s">
        <v>4355</v>
      </c>
      <c r="E1227" s="81" t="s">
        <v>4356</v>
      </c>
      <c r="F1227" s="81" t="s">
        <v>40</v>
      </c>
      <c r="G1227" s="16" t="s">
        <v>4357</v>
      </c>
      <c r="H1227" s="16" t="s">
        <v>4358</v>
      </c>
      <c r="I1227" s="82" t="s">
        <v>4359</v>
      </c>
      <c r="J1227" s="83" t="s">
        <v>88</v>
      </c>
      <c r="K1227" s="83"/>
      <c r="L1227" s="84"/>
    </row>
    <row r="1228" spans="1:12">
      <c r="A1228" s="19" t="s">
        <v>20</v>
      </c>
      <c r="B1228" s="20" t="s">
        <v>4360</v>
      </c>
      <c r="C1228" s="77" t="s">
        <v>21</v>
      </c>
      <c r="D1228" s="77" t="s">
        <v>4361</v>
      </c>
      <c r="E1228" s="77" t="s">
        <v>4362</v>
      </c>
      <c r="F1228" s="77" t="s">
        <v>40</v>
      </c>
      <c r="G1228" s="22" t="s">
        <v>4363</v>
      </c>
      <c r="H1228" s="22" t="s">
        <v>4364</v>
      </c>
      <c r="I1228" s="78" t="s">
        <v>1644</v>
      </c>
      <c r="J1228" s="79" t="s">
        <v>94</v>
      </c>
      <c r="K1228" s="79"/>
      <c r="L1228" s="80"/>
    </row>
    <row r="1229" spans="1:12">
      <c r="A1229" s="1" t="s">
        <v>20</v>
      </c>
      <c r="B1229" s="14" t="s">
        <v>4365</v>
      </c>
      <c r="C1229" s="81" t="s">
        <v>21</v>
      </c>
      <c r="D1229" s="81" t="s">
        <v>4366</v>
      </c>
      <c r="E1229" s="81" t="s">
        <v>4367</v>
      </c>
      <c r="F1229" s="81" t="s">
        <v>40</v>
      </c>
      <c r="G1229" s="16" t="s">
        <v>4368</v>
      </c>
      <c r="H1229" s="16" t="s">
        <v>4369</v>
      </c>
      <c r="I1229" s="82" t="s">
        <v>1644</v>
      </c>
      <c r="J1229" s="83" t="s">
        <v>94</v>
      </c>
      <c r="K1229" s="83"/>
      <c r="L1229" s="84"/>
    </row>
    <row r="1230" spans="1:12">
      <c r="A1230" s="19" t="s">
        <v>95</v>
      </c>
      <c r="B1230" s="20" t="s">
        <v>4370</v>
      </c>
      <c r="C1230" s="77" t="s">
        <v>97</v>
      </c>
      <c r="D1230" s="77" t="s">
        <v>4371</v>
      </c>
      <c r="E1230" s="77" t="s">
        <v>4372</v>
      </c>
      <c r="F1230" s="77" t="s">
        <v>40</v>
      </c>
      <c r="G1230" s="22" t="s">
        <v>4373</v>
      </c>
      <c r="H1230" s="22" t="s">
        <v>4374</v>
      </c>
      <c r="I1230" s="78" t="s">
        <v>4375</v>
      </c>
      <c r="J1230" s="79" t="s">
        <v>94</v>
      </c>
      <c r="K1230" s="79"/>
      <c r="L1230" s="80"/>
    </row>
    <row r="1231" spans="1:12">
      <c r="A1231" s="1" t="s">
        <v>106</v>
      </c>
      <c r="B1231" s="14" t="s">
        <v>4376</v>
      </c>
      <c r="C1231" s="81" t="s">
        <v>108</v>
      </c>
      <c r="D1231" s="81" t="s">
        <v>1767</v>
      </c>
      <c r="E1231" s="81" t="s">
        <v>3637</v>
      </c>
      <c r="F1231" s="81" t="s">
        <v>40</v>
      </c>
      <c r="G1231" s="16" t="s">
        <v>4377</v>
      </c>
      <c r="H1231" s="16" t="s">
        <v>4378</v>
      </c>
      <c r="I1231" s="82" t="s">
        <v>111</v>
      </c>
      <c r="J1231" s="83" t="s">
        <v>94</v>
      </c>
      <c r="K1231" s="83"/>
      <c r="L1231" s="84"/>
    </row>
    <row r="1232" spans="1:12">
      <c r="A1232" s="19" t="s">
        <v>20</v>
      </c>
      <c r="B1232" s="20" t="s">
        <v>4379</v>
      </c>
      <c r="C1232" s="77" t="s">
        <v>13</v>
      </c>
      <c r="D1232" s="77" t="s">
        <v>4380</v>
      </c>
      <c r="E1232" s="77" t="s">
        <v>4381</v>
      </c>
      <c r="F1232" s="77" t="s">
        <v>40</v>
      </c>
      <c r="G1232" s="22" t="s">
        <v>4382</v>
      </c>
      <c r="H1232" s="22" t="s">
        <v>4383</v>
      </c>
      <c r="I1232" s="78" t="s">
        <v>105</v>
      </c>
      <c r="J1232" s="79" t="s">
        <v>94</v>
      </c>
      <c r="K1232" s="79"/>
      <c r="L1232" s="80"/>
    </row>
    <row r="1233" spans="1:12">
      <c r="A1233" s="1" t="s">
        <v>20</v>
      </c>
      <c r="B1233" s="14" t="s">
        <v>4384</v>
      </c>
      <c r="C1233" s="81" t="s">
        <v>21</v>
      </c>
      <c r="D1233" s="81" t="s">
        <v>4385</v>
      </c>
      <c r="E1233" s="81" t="s">
        <v>4386</v>
      </c>
      <c r="F1233" s="81" t="s">
        <v>40</v>
      </c>
      <c r="G1233" s="16" t="s">
        <v>4387</v>
      </c>
      <c r="H1233" s="16" t="s">
        <v>4388</v>
      </c>
      <c r="I1233" s="82" t="s">
        <v>1644</v>
      </c>
      <c r="J1233" s="83" t="s">
        <v>94</v>
      </c>
      <c r="K1233" s="83"/>
      <c r="L1233" s="84"/>
    </row>
    <row r="1234" spans="1:12">
      <c r="A1234" s="19" t="s">
        <v>95</v>
      </c>
      <c r="B1234" s="20" t="s">
        <v>4389</v>
      </c>
      <c r="C1234" s="77" t="s">
        <v>97</v>
      </c>
      <c r="D1234" s="77" t="s">
        <v>4390</v>
      </c>
      <c r="E1234" s="77" t="s">
        <v>4391</v>
      </c>
      <c r="F1234" s="77" t="s">
        <v>40</v>
      </c>
      <c r="G1234" s="22" t="s">
        <v>4392</v>
      </c>
      <c r="H1234" s="22" t="s">
        <v>4393</v>
      </c>
      <c r="I1234" s="78" t="s">
        <v>991</v>
      </c>
      <c r="J1234" s="79" t="s">
        <v>88</v>
      </c>
      <c r="K1234" s="79"/>
      <c r="L1234" s="80"/>
    </row>
    <row r="1235" spans="1:12">
      <c r="A1235" s="1" t="s">
        <v>20</v>
      </c>
      <c r="B1235" s="14" t="s">
        <v>4394</v>
      </c>
      <c r="C1235" s="81" t="s">
        <v>13</v>
      </c>
      <c r="D1235" s="81" t="s">
        <v>4395</v>
      </c>
      <c r="E1235" s="81" t="s">
        <v>4396</v>
      </c>
      <c r="F1235" s="81" t="s">
        <v>40</v>
      </c>
      <c r="G1235" s="16" t="s">
        <v>4397</v>
      </c>
      <c r="H1235" s="16" t="s">
        <v>4398</v>
      </c>
      <c r="I1235" s="82" t="s">
        <v>4399</v>
      </c>
      <c r="J1235" s="83" t="s">
        <v>88</v>
      </c>
      <c r="K1235" s="83" t="s">
        <v>94</v>
      </c>
      <c r="L1235" s="84"/>
    </row>
    <row r="1236" spans="1:12">
      <c r="A1236" s="19" t="s">
        <v>20</v>
      </c>
      <c r="B1236" s="20" t="s">
        <v>4400</v>
      </c>
      <c r="C1236" s="77" t="s">
        <v>21</v>
      </c>
      <c r="D1236" s="77" t="s">
        <v>4401</v>
      </c>
      <c r="E1236" s="77" t="s">
        <v>4402</v>
      </c>
      <c r="F1236" s="77" t="s">
        <v>40</v>
      </c>
      <c r="G1236" s="22" t="s">
        <v>4403</v>
      </c>
      <c r="H1236" s="22" t="s">
        <v>4404</v>
      </c>
      <c r="I1236" s="78" t="s">
        <v>4405</v>
      </c>
      <c r="J1236" s="79" t="s">
        <v>88</v>
      </c>
      <c r="K1236" s="79"/>
      <c r="L1236" s="80"/>
    </row>
    <row r="1237" spans="1:12">
      <c r="A1237" s="1" t="s">
        <v>20</v>
      </c>
      <c r="B1237" s="14" t="s">
        <v>4406</v>
      </c>
      <c r="C1237" s="81" t="s">
        <v>21</v>
      </c>
      <c r="D1237" s="81" t="s">
        <v>4407</v>
      </c>
      <c r="E1237" s="81" t="s">
        <v>4408</v>
      </c>
      <c r="F1237" s="81" t="s">
        <v>40</v>
      </c>
      <c r="G1237" s="16" t="s">
        <v>4409</v>
      </c>
      <c r="H1237" s="16" t="s">
        <v>4410</v>
      </c>
      <c r="I1237" s="82" t="s">
        <v>1644</v>
      </c>
      <c r="J1237" s="83" t="s">
        <v>94</v>
      </c>
      <c r="K1237" s="83"/>
      <c r="L1237" s="84"/>
    </row>
    <row r="1238" spans="1:12">
      <c r="A1238" s="19" t="s">
        <v>106</v>
      </c>
      <c r="B1238" s="20" t="s">
        <v>4411</v>
      </c>
      <c r="C1238" s="77" t="s">
        <v>108</v>
      </c>
      <c r="D1238" s="77" t="s">
        <v>4412</v>
      </c>
      <c r="E1238" s="77" t="s">
        <v>4413</v>
      </c>
      <c r="F1238" s="77" t="s">
        <v>40</v>
      </c>
      <c r="G1238" s="22" t="s">
        <v>4414</v>
      </c>
      <c r="H1238" s="22" t="s">
        <v>4415</v>
      </c>
      <c r="I1238" s="78" t="s">
        <v>3848</v>
      </c>
      <c r="J1238" s="79" t="s">
        <v>94</v>
      </c>
      <c r="K1238" s="79"/>
      <c r="L1238" s="80"/>
    </row>
    <row r="1239" spans="1:12" ht="409.5">
      <c r="A1239" s="1" t="s">
        <v>20</v>
      </c>
      <c r="B1239" s="14" t="s">
        <v>4416</v>
      </c>
      <c r="C1239" s="81" t="s">
        <v>21</v>
      </c>
      <c r="D1239" s="81" t="s">
        <v>4417</v>
      </c>
      <c r="E1239" s="91" t="s">
        <v>4418</v>
      </c>
      <c r="F1239" s="81" t="s">
        <v>40</v>
      </c>
      <c r="G1239" s="16" t="s">
        <v>4419</v>
      </c>
      <c r="H1239" s="16" t="s">
        <v>4420</v>
      </c>
      <c r="I1239" s="82" t="s">
        <v>1644</v>
      </c>
      <c r="J1239" s="83" t="s">
        <v>94</v>
      </c>
      <c r="K1239" s="83"/>
      <c r="L1239" s="84"/>
    </row>
    <row r="1240" spans="1:12" ht="409.5">
      <c r="A1240" s="19" t="s">
        <v>20</v>
      </c>
      <c r="B1240" s="20" t="s">
        <v>4421</v>
      </c>
      <c r="C1240" s="77" t="s">
        <v>21</v>
      </c>
      <c r="D1240" s="77" t="s">
        <v>4422</v>
      </c>
      <c r="E1240" s="94" t="s">
        <v>4423</v>
      </c>
      <c r="F1240" s="77" t="s">
        <v>40</v>
      </c>
      <c r="G1240" s="22" t="s">
        <v>4424</v>
      </c>
      <c r="H1240" s="22" t="s">
        <v>4425</v>
      </c>
      <c r="I1240" s="78" t="s">
        <v>1644</v>
      </c>
      <c r="J1240" s="79" t="s">
        <v>94</v>
      </c>
      <c r="K1240" s="79"/>
      <c r="L1240" s="80"/>
    </row>
    <row r="1241" spans="1:12">
      <c r="A1241" s="1" t="s">
        <v>106</v>
      </c>
      <c r="B1241" s="14" t="s">
        <v>4426</v>
      </c>
      <c r="C1241" s="81" t="s">
        <v>78</v>
      </c>
      <c r="D1241" s="81" t="s">
        <v>4427</v>
      </c>
      <c r="E1241" s="81" t="s">
        <v>4428</v>
      </c>
      <c r="F1241" s="81" t="s">
        <v>40</v>
      </c>
      <c r="G1241" s="16" t="s">
        <v>4429</v>
      </c>
      <c r="H1241" s="16" t="s">
        <v>4430</v>
      </c>
      <c r="I1241" s="82" t="s">
        <v>258</v>
      </c>
      <c r="J1241" s="83" t="s">
        <v>88</v>
      </c>
      <c r="K1241" s="83"/>
      <c r="L1241" s="84"/>
    </row>
    <row r="1242" spans="1:12">
      <c r="A1242" s="19" t="s">
        <v>106</v>
      </c>
      <c r="B1242" s="20" t="s">
        <v>4431</v>
      </c>
      <c r="C1242" s="77" t="s">
        <v>108</v>
      </c>
      <c r="D1242" s="77" t="s">
        <v>4432</v>
      </c>
      <c r="E1242" s="77" t="s">
        <v>4433</v>
      </c>
      <c r="F1242" s="77" t="s">
        <v>40</v>
      </c>
      <c r="G1242" s="22" t="s">
        <v>4434</v>
      </c>
      <c r="H1242" s="22" t="s">
        <v>4435</v>
      </c>
      <c r="I1242" s="78" t="s">
        <v>111</v>
      </c>
      <c r="J1242" s="79" t="s">
        <v>88</v>
      </c>
      <c r="K1242" s="79"/>
      <c r="L1242" s="80"/>
    </row>
    <row r="1243" spans="1:12">
      <c r="A1243" s="1" t="s">
        <v>20</v>
      </c>
      <c r="B1243" s="14" t="s">
        <v>4436</v>
      </c>
      <c r="C1243" s="81" t="s">
        <v>13</v>
      </c>
      <c r="D1243" s="81" t="s">
        <v>2094</v>
      </c>
      <c r="E1243" s="81" t="s">
        <v>4437</v>
      </c>
      <c r="F1243" s="81" t="s">
        <v>40</v>
      </c>
      <c r="G1243" s="16" t="s">
        <v>4438</v>
      </c>
      <c r="H1243" s="16" t="s">
        <v>4435</v>
      </c>
      <c r="I1243" s="82" t="s">
        <v>149</v>
      </c>
      <c r="J1243" s="83" t="s">
        <v>88</v>
      </c>
      <c r="K1243" s="83"/>
      <c r="L1243" s="84"/>
    </row>
    <row r="1244" spans="1:12">
      <c r="A1244" s="19" t="s">
        <v>106</v>
      </c>
      <c r="B1244" s="20" t="s">
        <v>4439</v>
      </c>
      <c r="C1244" s="77" t="s">
        <v>108</v>
      </c>
      <c r="D1244" s="77" t="s">
        <v>4266</v>
      </c>
      <c r="E1244" s="77" t="s">
        <v>4440</v>
      </c>
      <c r="F1244" s="77" t="s">
        <v>40</v>
      </c>
      <c r="G1244" s="22" t="s">
        <v>4441</v>
      </c>
      <c r="H1244" s="22" t="s">
        <v>4442</v>
      </c>
      <c r="I1244" s="78" t="s">
        <v>111</v>
      </c>
      <c r="J1244" s="79" t="s">
        <v>88</v>
      </c>
      <c r="K1244" s="79"/>
      <c r="L1244" s="80"/>
    </row>
    <row r="1245" spans="1:12">
      <c r="A1245" s="1" t="s">
        <v>106</v>
      </c>
      <c r="B1245" s="14" t="s">
        <v>4443</v>
      </c>
      <c r="C1245" s="81" t="s">
        <v>108</v>
      </c>
      <c r="D1245" s="81" t="s">
        <v>4444</v>
      </c>
      <c r="E1245" s="81" t="s">
        <v>4445</v>
      </c>
      <c r="F1245" s="81" t="s">
        <v>40</v>
      </c>
      <c r="G1245" s="16" t="s">
        <v>4446</v>
      </c>
      <c r="H1245" s="16" t="s">
        <v>4447</v>
      </c>
      <c r="I1245" s="82" t="s">
        <v>111</v>
      </c>
      <c r="J1245" s="83" t="s">
        <v>61</v>
      </c>
      <c r="K1245" s="83"/>
      <c r="L1245" s="84"/>
    </row>
    <row r="1246" spans="1:12">
      <c r="A1246" s="19" t="s">
        <v>95</v>
      </c>
      <c r="B1246" s="20" t="s">
        <v>4448</v>
      </c>
      <c r="C1246" s="77" t="s">
        <v>97</v>
      </c>
      <c r="D1246" s="77" t="s">
        <v>4449</v>
      </c>
      <c r="E1246" s="77" t="s">
        <v>4450</v>
      </c>
      <c r="F1246" s="77" t="s">
        <v>40</v>
      </c>
      <c r="G1246" s="22" t="s">
        <v>4451</v>
      </c>
      <c r="H1246" s="22" t="s">
        <v>4452</v>
      </c>
      <c r="I1246" s="78" t="s">
        <v>4375</v>
      </c>
      <c r="J1246" s="79" t="s">
        <v>94</v>
      </c>
      <c r="K1246" s="79"/>
      <c r="L1246" s="80"/>
    </row>
    <row r="1247" spans="1:12">
      <c r="A1247" s="1" t="s">
        <v>95</v>
      </c>
      <c r="B1247" s="14" t="s">
        <v>4453</v>
      </c>
      <c r="C1247" s="81" t="s">
        <v>97</v>
      </c>
      <c r="D1247" s="81" t="s">
        <v>4454</v>
      </c>
      <c r="E1247" s="81" t="s">
        <v>4455</v>
      </c>
      <c r="F1247" s="81" t="s">
        <v>40</v>
      </c>
      <c r="G1247" s="16" t="s">
        <v>4456</v>
      </c>
      <c r="H1247" s="16" t="s">
        <v>4457</v>
      </c>
      <c r="I1247" s="82" t="s">
        <v>4375</v>
      </c>
      <c r="J1247" s="83" t="s">
        <v>94</v>
      </c>
      <c r="K1247" s="83"/>
      <c r="L1247" s="84"/>
    </row>
    <row r="1248" spans="1:12">
      <c r="A1248" s="19" t="s">
        <v>20</v>
      </c>
      <c r="B1248" s="30" t="s">
        <v>4458</v>
      </c>
      <c r="C1248" s="61" t="s">
        <v>21</v>
      </c>
      <c r="D1248" s="61" t="s">
        <v>4459</v>
      </c>
      <c r="E1248" s="61" t="s">
        <v>4460</v>
      </c>
      <c r="F1248" s="61" t="s">
        <v>40</v>
      </c>
      <c r="G1248" s="22" t="s">
        <v>4461</v>
      </c>
      <c r="H1248" s="22" t="s">
        <v>4462</v>
      </c>
      <c r="I1248" s="62" t="s">
        <v>1644</v>
      </c>
      <c r="J1248" s="63" t="s">
        <v>94</v>
      </c>
      <c r="K1248" s="63"/>
      <c r="L1248" s="64"/>
    </row>
    <row r="1249" spans="1:12">
      <c r="A1249" s="1" t="s">
        <v>20</v>
      </c>
      <c r="B1249" s="14" t="s">
        <v>4463</v>
      </c>
      <c r="C1249" s="81" t="s">
        <v>49</v>
      </c>
      <c r="D1249" s="15" t="s">
        <v>4464</v>
      </c>
      <c r="E1249" s="15" t="s">
        <v>4465</v>
      </c>
      <c r="F1249" s="81" t="s">
        <v>40</v>
      </c>
      <c r="G1249" s="16" t="s">
        <v>4466</v>
      </c>
      <c r="H1249" s="16" t="s">
        <v>4467</v>
      </c>
      <c r="I1249" s="82" t="s">
        <v>3617</v>
      </c>
      <c r="J1249" s="83" t="s">
        <v>94</v>
      </c>
      <c r="K1249" s="83"/>
      <c r="L1249" s="84"/>
    </row>
    <row r="1250" spans="1:12">
      <c r="A1250" s="19" t="s">
        <v>20</v>
      </c>
      <c r="B1250" s="20" t="s">
        <v>4468</v>
      </c>
      <c r="C1250" s="77" t="s">
        <v>13</v>
      </c>
      <c r="D1250" s="21" t="s">
        <v>4469</v>
      </c>
      <c r="E1250" s="21"/>
      <c r="F1250" s="77" t="s">
        <v>214</v>
      </c>
      <c r="G1250" s="22" t="s">
        <v>4470</v>
      </c>
      <c r="H1250" s="22"/>
      <c r="I1250" s="78" t="s">
        <v>17</v>
      </c>
      <c r="J1250" s="79" t="s">
        <v>61</v>
      </c>
      <c r="K1250" s="79"/>
      <c r="L1250" s="80"/>
    </row>
    <row r="1251" spans="1:12">
      <c r="A1251" s="1" t="s">
        <v>106</v>
      </c>
      <c r="B1251" s="14" t="s">
        <v>4471</v>
      </c>
      <c r="C1251" s="81" t="s">
        <v>108</v>
      </c>
      <c r="D1251" s="15" t="s">
        <v>4472</v>
      </c>
      <c r="E1251" s="81" t="s">
        <v>4473</v>
      </c>
      <c r="F1251" s="81" t="s">
        <v>40</v>
      </c>
      <c r="G1251" s="16" t="s">
        <v>4474</v>
      </c>
      <c r="H1251" s="16" t="s">
        <v>4475</v>
      </c>
      <c r="I1251" s="82" t="s">
        <v>1470</v>
      </c>
      <c r="J1251" s="83" t="s">
        <v>61</v>
      </c>
      <c r="K1251" s="83"/>
      <c r="L1251" s="84"/>
    </row>
    <row r="1252" spans="1:12">
      <c r="A1252" s="19" t="s">
        <v>20</v>
      </c>
      <c r="B1252" s="20" t="s">
        <v>4476</v>
      </c>
      <c r="C1252" s="77" t="s">
        <v>49</v>
      </c>
      <c r="D1252" s="77" t="s">
        <v>4477</v>
      </c>
      <c r="E1252" s="77" t="s">
        <v>4478</v>
      </c>
      <c r="F1252" s="77" t="s">
        <v>40</v>
      </c>
      <c r="G1252" s="22" t="s">
        <v>4479</v>
      </c>
      <c r="H1252" s="22" t="s">
        <v>4480</v>
      </c>
      <c r="I1252" s="78" t="s">
        <v>4481</v>
      </c>
      <c r="J1252" s="79" t="s">
        <v>72</v>
      </c>
      <c r="K1252" s="79"/>
      <c r="L1252" s="80"/>
    </row>
    <row r="1253" spans="1:12">
      <c r="A1253" s="1" t="s">
        <v>20</v>
      </c>
      <c r="B1253" s="14" t="s">
        <v>4482</v>
      </c>
      <c r="C1253" s="81" t="s">
        <v>21</v>
      </c>
      <c r="D1253" s="15" t="s">
        <v>4483</v>
      </c>
      <c r="E1253" s="15" t="s">
        <v>4484</v>
      </c>
      <c r="F1253" s="81" t="s">
        <v>40</v>
      </c>
      <c r="G1253" s="16" t="s">
        <v>4485</v>
      </c>
      <c r="H1253" s="16" t="s">
        <v>4486</v>
      </c>
      <c r="I1253" s="82" t="s">
        <v>52</v>
      </c>
      <c r="J1253" s="83" t="s">
        <v>72</v>
      </c>
      <c r="K1253" s="83"/>
      <c r="L1253" s="84"/>
    </row>
    <row r="1254" spans="1:12">
      <c r="A1254" s="19" t="s">
        <v>20</v>
      </c>
      <c r="B1254" s="20" t="s">
        <v>4487</v>
      </c>
      <c r="C1254" s="77" t="s">
        <v>21</v>
      </c>
      <c r="D1254" s="21" t="s">
        <v>4488</v>
      </c>
      <c r="E1254" s="21" t="s">
        <v>4489</v>
      </c>
      <c r="F1254" s="77" t="s">
        <v>40</v>
      </c>
      <c r="G1254" s="22" t="s">
        <v>4490</v>
      </c>
      <c r="H1254" s="22" t="s">
        <v>4491</v>
      </c>
      <c r="I1254" s="78" t="s">
        <v>52</v>
      </c>
      <c r="J1254" s="79" t="s">
        <v>72</v>
      </c>
      <c r="K1254" s="79"/>
      <c r="L1254" s="80"/>
    </row>
    <row r="1255" spans="1:12">
      <c r="A1255" s="1" t="s">
        <v>106</v>
      </c>
      <c r="B1255" s="14" t="s">
        <v>4492</v>
      </c>
      <c r="C1255" s="81" t="s">
        <v>108</v>
      </c>
      <c r="D1255" s="15" t="s">
        <v>2838</v>
      </c>
      <c r="E1255" s="15" t="s">
        <v>2839</v>
      </c>
      <c r="F1255" s="81" t="s">
        <v>40</v>
      </c>
      <c r="G1255" s="16" t="s">
        <v>4490</v>
      </c>
      <c r="H1255" s="16" t="s">
        <v>4493</v>
      </c>
      <c r="I1255" s="82" t="s">
        <v>32</v>
      </c>
      <c r="J1255" s="83" t="s">
        <v>72</v>
      </c>
      <c r="K1255" s="83"/>
      <c r="L1255" s="84"/>
    </row>
    <row r="1256" spans="1:12">
      <c r="A1256" s="19" t="s">
        <v>20</v>
      </c>
      <c r="B1256" s="20" t="s">
        <v>4494</v>
      </c>
      <c r="C1256" s="77" t="s">
        <v>13</v>
      </c>
      <c r="D1256" s="21" t="s">
        <v>4495</v>
      </c>
      <c r="E1256" s="21" t="s">
        <v>4496</v>
      </c>
      <c r="F1256" s="77" t="s">
        <v>40</v>
      </c>
      <c r="G1256" s="22" t="s">
        <v>4497</v>
      </c>
      <c r="H1256" s="22" t="s">
        <v>4493</v>
      </c>
      <c r="I1256" s="78" t="s">
        <v>1577</v>
      </c>
      <c r="J1256" s="79" t="s">
        <v>72</v>
      </c>
      <c r="K1256" s="79"/>
      <c r="L1256" s="80"/>
    </row>
    <row r="1257" spans="1:12">
      <c r="A1257" s="42" t="s">
        <v>20</v>
      </c>
      <c r="B1257" s="14" t="s">
        <v>4498</v>
      </c>
      <c r="C1257" s="81" t="s">
        <v>13</v>
      </c>
      <c r="D1257" s="15" t="s">
        <v>4499</v>
      </c>
      <c r="E1257" s="81" t="s">
        <v>4500</v>
      </c>
      <c r="F1257" s="81" t="s">
        <v>40</v>
      </c>
      <c r="G1257" s="16" t="s">
        <v>4501</v>
      </c>
      <c r="H1257" s="16" t="s">
        <v>4502</v>
      </c>
      <c r="I1257" s="82" t="s">
        <v>17</v>
      </c>
      <c r="J1257" s="83" t="s">
        <v>61</v>
      </c>
      <c r="K1257" s="83"/>
      <c r="L1257" s="84"/>
    </row>
    <row r="1258" spans="1:12">
      <c r="A1258" s="41" t="s">
        <v>20</v>
      </c>
      <c r="B1258" s="30" t="s">
        <v>4503</v>
      </c>
      <c r="C1258" s="61" t="s">
        <v>13</v>
      </c>
      <c r="D1258" s="61" t="s">
        <v>4504</v>
      </c>
      <c r="E1258" s="61" t="s">
        <v>4505</v>
      </c>
      <c r="F1258" s="61" t="s">
        <v>40</v>
      </c>
      <c r="G1258" s="22" t="s">
        <v>4506</v>
      </c>
      <c r="H1258" s="22" t="s">
        <v>4507</v>
      </c>
      <c r="I1258" s="62" t="s">
        <v>17</v>
      </c>
      <c r="J1258" s="63" t="s">
        <v>61</v>
      </c>
      <c r="K1258" s="63"/>
      <c r="L1258" s="64"/>
    </row>
    <row r="1259" spans="1:12">
      <c r="A1259" s="42" t="s">
        <v>20</v>
      </c>
      <c r="B1259" s="34" t="s">
        <v>4508</v>
      </c>
      <c r="C1259" s="53" t="s">
        <v>21</v>
      </c>
      <c r="D1259" s="53" t="s">
        <v>4509</v>
      </c>
      <c r="E1259" s="53" t="s">
        <v>4510</v>
      </c>
      <c r="F1259" s="53" t="s">
        <v>40</v>
      </c>
      <c r="G1259" s="16" t="s">
        <v>4511</v>
      </c>
      <c r="H1259" s="16" t="s">
        <v>4512</v>
      </c>
      <c r="I1259" s="58" t="s">
        <v>2909</v>
      </c>
      <c r="J1259" s="59" t="s">
        <v>61</v>
      </c>
      <c r="K1259" s="59"/>
      <c r="L1259" s="60"/>
    </row>
    <row r="1260" spans="1:12">
      <c r="A1260" s="41" t="s">
        <v>20</v>
      </c>
      <c r="B1260" s="30" t="s">
        <v>4513</v>
      </c>
      <c r="C1260" s="61" t="s">
        <v>13</v>
      </c>
      <c r="D1260" s="61" t="s">
        <v>4514</v>
      </c>
      <c r="E1260" s="61" t="s">
        <v>4515</v>
      </c>
      <c r="F1260" s="61" t="s">
        <v>40</v>
      </c>
      <c r="G1260" s="22" t="s">
        <v>4512</v>
      </c>
      <c r="H1260" s="22" t="s">
        <v>4516</v>
      </c>
      <c r="I1260" s="62" t="s">
        <v>17</v>
      </c>
      <c r="J1260" s="63" t="s">
        <v>61</v>
      </c>
      <c r="K1260" s="63"/>
      <c r="L1260" s="64"/>
    </row>
    <row r="1261" spans="1:12">
      <c r="A1261" s="42" t="s">
        <v>106</v>
      </c>
      <c r="B1261" s="34" t="s">
        <v>4517</v>
      </c>
      <c r="C1261" s="53" t="s">
        <v>313</v>
      </c>
      <c r="D1261" s="53" t="s">
        <v>4518</v>
      </c>
      <c r="E1261" s="53"/>
      <c r="F1261" s="53" t="s">
        <v>214</v>
      </c>
      <c r="G1261" s="16" t="s">
        <v>4519</v>
      </c>
      <c r="H1261" s="16"/>
      <c r="I1261" s="58" t="s">
        <v>440</v>
      </c>
      <c r="J1261" s="59" t="s">
        <v>61</v>
      </c>
      <c r="K1261" s="59"/>
      <c r="L1261" s="60"/>
    </row>
    <row r="1262" spans="1:12">
      <c r="A1262" s="41" t="s">
        <v>106</v>
      </c>
      <c r="B1262" s="30" t="s">
        <v>4520</v>
      </c>
      <c r="C1262" s="61" t="s">
        <v>108</v>
      </c>
      <c r="D1262" s="61" t="s">
        <v>2838</v>
      </c>
      <c r="E1262" s="61" t="s">
        <v>2839</v>
      </c>
      <c r="F1262" s="61" t="s">
        <v>40</v>
      </c>
      <c r="G1262" s="22" t="s">
        <v>4521</v>
      </c>
      <c r="H1262" s="22">
        <v>44938.314583333333</v>
      </c>
      <c r="I1262" s="62" t="s">
        <v>32</v>
      </c>
      <c r="J1262" s="63" t="s">
        <v>72</v>
      </c>
      <c r="K1262" s="63"/>
      <c r="L1262" s="64"/>
    </row>
    <row r="1263" spans="1:12">
      <c r="A1263" s="1" t="s">
        <v>106</v>
      </c>
      <c r="B1263" s="34" t="s">
        <v>4522</v>
      </c>
      <c r="C1263" s="53" t="s">
        <v>108</v>
      </c>
      <c r="D1263" s="53" t="s">
        <v>4523</v>
      </c>
      <c r="E1263" s="53" t="s">
        <v>276</v>
      </c>
      <c r="F1263" s="53" t="s">
        <v>40</v>
      </c>
      <c r="G1263" s="16">
        <v>44938.043749999997</v>
      </c>
      <c r="H1263" s="16">
        <v>44938.138888888891</v>
      </c>
      <c r="I1263" s="58" t="s">
        <v>616</v>
      </c>
      <c r="J1263" s="59" t="s">
        <v>72</v>
      </c>
      <c r="K1263" s="59"/>
      <c r="L1263" s="60"/>
    </row>
    <row r="1264" spans="1:12">
      <c r="A1264" s="19" t="s">
        <v>20</v>
      </c>
      <c r="B1264" s="20" t="s">
        <v>4524</v>
      </c>
      <c r="C1264" s="77" t="s">
        <v>21</v>
      </c>
      <c r="D1264" s="77" t="s">
        <v>4525</v>
      </c>
      <c r="E1264" s="77" t="s">
        <v>4526</v>
      </c>
      <c r="F1264" s="77" t="s">
        <v>40</v>
      </c>
      <c r="G1264" s="22">
        <v>44938.138888888891</v>
      </c>
      <c r="H1264" s="22">
        <v>44938.152777777781</v>
      </c>
      <c r="I1264" s="78" t="s">
        <v>52</v>
      </c>
      <c r="J1264" s="79" t="s">
        <v>72</v>
      </c>
      <c r="K1264" s="79"/>
      <c r="L1264" s="80"/>
    </row>
    <row r="1265" spans="1:12">
      <c r="A1265" s="1" t="s">
        <v>20</v>
      </c>
      <c r="B1265" s="14" t="s">
        <v>4527</v>
      </c>
      <c r="C1265" s="81" t="s">
        <v>13</v>
      </c>
      <c r="D1265" s="81" t="s">
        <v>4528</v>
      </c>
      <c r="E1265" s="81" t="s">
        <v>4529</v>
      </c>
      <c r="F1265" s="81" t="s">
        <v>40</v>
      </c>
      <c r="G1265" s="16">
        <v>44938.51666666667</v>
      </c>
      <c r="H1265" s="16">
        <v>44938.558333333334</v>
      </c>
      <c r="I1265" s="58" t="s">
        <v>4530</v>
      </c>
      <c r="J1265" s="59" t="s">
        <v>61</v>
      </c>
      <c r="K1265" s="83"/>
      <c r="L1265" s="84"/>
    </row>
    <row r="1266" spans="1:12">
      <c r="A1266" s="19" t="s">
        <v>20</v>
      </c>
      <c r="B1266" s="20" t="s">
        <v>4531</v>
      </c>
      <c r="C1266" s="77" t="s">
        <v>333</v>
      </c>
      <c r="D1266" s="21" t="s">
        <v>4532</v>
      </c>
      <c r="E1266" s="21" t="s">
        <v>4533</v>
      </c>
      <c r="F1266" s="77" t="s">
        <v>40</v>
      </c>
      <c r="G1266" s="22">
        <v>44938.6</v>
      </c>
      <c r="H1266" s="22">
        <v>44938.64166666667</v>
      </c>
      <c r="I1266" s="78" t="s">
        <v>4534</v>
      </c>
      <c r="J1266" s="79" t="s">
        <v>61</v>
      </c>
      <c r="K1266" s="79"/>
      <c r="L1266" s="80"/>
    </row>
    <row r="1267" spans="1:12">
      <c r="A1267" s="1" t="s">
        <v>95</v>
      </c>
      <c r="B1267" s="14" t="s">
        <v>4535</v>
      </c>
      <c r="C1267" s="81" t="s">
        <v>97</v>
      </c>
      <c r="D1267" s="15" t="s">
        <v>4536</v>
      </c>
      <c r="E1267" s="15" t="s">
        <v>4537</v>
      </c>
      <c r="F1267" s="81" t="s">
        <v>40</v>
      </c>
      <c r="G1267" s="16">
        <v>44938.606944444444</v>
      </c>
      <c r="H1267" s="16">
        <v>44938.62777777778</v>
      </c>
      <c r="I1267" s="82" t="s">
        <v>325</v>
      </c>
      <c r="J1267" s="83" t="s">
        <v>61</v>
      </c>
      <c r="K1267" s="83"/>
      <c r="L1267" s="84"/>
    </row>
    <row r="1268" spans="1:12">
      <c r="A1268" s="19" t="s">
        <v>20</v>
      </c>
      <c r="B1268" s="20" t="s">
        <v>4538</v>
      </c>
      <c r="C1268" s="77" t="s">
        <v>13</v>
      </c>
      <c r="D1268" s="21" t="s">
        <v>4539</v>
      </c>
      <c r="E1268" s="21" t="s">
        <v>4540</v>
      </c>
      <c r="F1268" s="77" t="s">
        <v>40</v>
      </c>
      <c r="G1268" s="22">
        <v>44938.734027777777</v>
      </c>
      <c r="H1268" s="22">
        <v>44938.817361111112</v>
      </c>
      <c r="I1268" s="78" t="s">
        <v>149</v>
      </c>
      <c r="J1268" s="79" t="s">
        <v>61</v>
      </c>
      <c r="K1268" s="79"/>
      <c r="L1268" s="80"/>
    </row>
    <row r="1269" spans="1:12">
      <c r="A1269" s="42" t="s">
        <v>106</v>
      </c>
      <c r="B1269" s="14" t="s">
        <v>4541</v>
      </c>
      <c r="C1269" s="81" t="s">
        <v>108</v>
      </c>
      <c r="D1269" s="15" t="s">
        <v>4542</v>
      </c>
      <c r="E1269" s="15" t="s">
        <v>4543</v>
      </c>
      <c r="F1269" s="81" t="s">
        <v>40</v>
      </c>
      <c r="G1269" s="16">
        <v>44969.34097222222</v>
      </c>
      <c r="H1269" s="16">
        <v>44969.382638888892</v>
      </c>
      <c r="I1269" s="82" t="s">
        <v>3359</v>
      </c>
      <c r="J1269" s="83" t="s">
        <v>61</v>
      </c>
      <c r="K1269" s="83"/>
      <c r="L1269" s="84"/>
    </row>
    <row r="1270" spans="1:12">
      <c r="A1270" s="19" t="s">
        <v>20</v>
      </c>
      <c r="B1270" s="30" t="s">
        <v>4544</v>
      </c>
      <c r="C1270" s="61" t="s">
        <v>49</v>
      </c>
      <c r="D1270" s="21" t="s">
        <v>4545</v>
      </c>
      <c r="E1270" s="21" t="s">
        <v>4546</v>
      </c>
      <c r="F1270" s="61" t="s">
        <v>40</v>
      </c>
      <c r="G1270" s="22">
        <v>44969.354861111111</v>
      </c>
      <c r="H1270" s="22">
        <v>44969.479861111111</v>
      </c>
      <c r="I1270" s="62" t="s">
        <v>2855</v>
      </c>
      <c r="J1270" s="63" t="s">
        <v>61</v>
      </c>
      <c r="K1270" s="63"/>
      <c r="L1270" s="80"/>
    </row>
    <row r="1271" spans="1:12">
      <c r="A1271" s="1" t="s">
        <v>106</v>
      </c>
      <c r="B1271" s="14" t="s">
        <v>4547</v>
      </c>
      <c r="C1271" s="81" t="s">
        <v>108</v>
      </c>
      <c r="D1271" s="15" t="s">
        <v>4548</v>
      </c>
      <c r="E1271" s="81" t="s">
        <v>4549</v>
      </c>
      <c r="F1271" s="81" t="s">
        <v>40</v>
      </c>
      <c r="G1271" s="16">
        <v>44969.527777777781</v>
      </c>
      <c r="H1271" s="16">
        <v>44969.652777777781</v>
      </c>
      <c r="I1271" s="82" t="s">
        <v>111</v>
      </c>
      <c r="J1271" s="83" t="s">
        <v>61</v>
      </c>
      <c r="K1271" s="83"/>
      <c r="L1271" s="84"/>
    </row>
    <row r="1272" spans="1:12">
      <c r="A1272" s="19" t="s">
        <v>95</v>
      </c>
      <c r="B1272" s="20" t="s">
        <v>4550</v>
      </c>
      <c r="C1272" s="77" t="s">
        <v>97</v>
      </c>
      <c r="D1272" s="77" t="s">
        <v>4551</v>
      </c>
      <c r="E1272" s="77" t="s">
        <v>4552</v>
      </c>
      <c r="F1272" s="77" t="s">
        <v>40</v>
      </c>
      <c r="G1272" s="22">
        <v>44969.638888888891</v>
      </c>
      <c r="H1272" s="22">
        <v>44969.680555555555</v>
      </c>
      <c r="I1272" s="78" t="s">
        <v>4553</v>
      </c>
      <c r="J1272" s="79" t="s">
        <v>61</v>
      </c>
      <c r="K1272" s="79"/>
      <c r="L1272" s="80"/>
    </row>
    <row r="1273" spans="1:12">
      <c r="A1273" s="1" t="s">
        <v>106</v>
      </c>
      <c r="B1273" s="14" t="s">
        <v>4554</v>
      </c>
      <c r="C1273" s="81" t="s">
        <v>108</v>
      </c>
      <c r="D1273" s="15" t="s">
        <v>4555</v>
      </c>
      <c r="E1273" s="15"/>
      <c r="F1273" s="81" t="s">
        <v>214</v>
      </c>
      <c r="G1273" s="16">
        <v>44969.811805555553</v>
      </c>
      <c r="H1273" s="16">
        <v>44969.811805555553</v>
      </c>
      <c r="I1273" s="82" t="s">
        <v>4556</v>
      </c>
      <c r="J1273" s="83" t="s">
        <v>61</v>
      </c>
      <c r="K1273" s="83"/>
      <c r="L1273" s="84"/>
    </row>
    <row r="1274" spans="1:12">
      <c r="A1274" s="19" t="s">
        <v>20</v>
      </c>
      <c r="B1274" s="20" t="s">
        <v>4557</v>
      </c>
      <c r="C1274" s="77" t="s">
        <v>21</v>
      </c>
      <c r="D1274" s="21" t="s">
        <v>4558</v>
      </c>
      <c r="E1274" s="77" t="s">
        <v>4559</v>
      </c>
      <c r="F1274" s="77" t="s">
        <v>40</v>
      </c>
      <c r="G1274" s="22">
        <v>44969.960416666669</v>
      </c>
      <c r="H1274" s="22">
        <v>44969.994444444441</v>
      </c>
      <c r="I1274" s="78" t="s">
        <v>52</v>
      </c>
      <c r="J1274" s="79" t="s">
        <v>72</v>
      </c>
      <c r="K1274" s="79"/>
      <c r="L1274" s="80"/>
    </row>
    <row r="1275" spans="1:12">
      <c r="A1275" s="1" t="s">
        <v>20</v>
      </c>
      <c r="B1275" s="14" t="s">
        <v>4560</v>
      </c>
      <c r="C1275" s="81" t="s">
        <v>49</v>
      </c>
      <c r="D1275" s="81" t="s">
        <v>4561</v>
      </c>
      <c r="E1275" s="81" t="s">
        <v>4562</v>
      </c>
      <c r="F1275" s="81" t="s">
        <v>40</v>
      </c>
      <c r="G1275" s="16">
        <v>44969.960416666669</v>
      </c>
      <c r="H1275" s="16">
        <v>44969.960416666669</v>
      </c>
      <c r="I1275" s="58" t="s">
        <v>4563</v>
      </c>
      <c r="J1275" s="83" t="s">
        <v>72</v>
      </c>
      <c r="K1275" s="83"/>
      <c r="L1275" s="84"/>
    </row>
    <row r="1276" spans="1:12">
      <c r="A1276" s="19" t="s">
        <v>106</v>
      </c>
      <c r="B1276" s="20" t="s">
        <v>4564</v>
      </c>
      <c r="C1276" s="77" t="s">
        <v>108</v>
      </c>
      <c r="D1276" s="77" t="s">
        <v>4565</v>
      </c>
      <c r="E1276" s="77" t="s">
        <v>4566</v>
      </c>
      <c r="F1276" s="77" t="s">
        <v>40</v>
      </c>
      <c r="G1276" s="22">
        <v>44969.960416666669</v>
      </c>
      <c r="H1276" s="22">
        <v>44969.960416666669</v>
      </c>
      <c r="I1276" s="78"/>
      <c r="J1276" s="79" t="s">
        <v>72</v>
      </c>
      <c r="K1276" s="79"/>
      <c r="L1276" s="80"/>
    </row>
    <row r="1277" spans="1:12">
      <c r="A1277" s="1" t="s">
        <v>106</v>
      </c>
      <c r="B1277" s="14" t="s">
        <v>4567</v>
      </c>
      <c r="C1277" s="81" t="s">
        <v>108</v>
      </c>
      <c r="D1277" s="81" t="s">
        <v>4568</v>
      </c>
      <c r="E1277" s="81" t="s">
        <v>4569</v>
      </c>
      <c r="F1277" s="81" t="s">
        <v>40</v>
      </c>
      <c r="G1277" s="16">
        <v>44997.349305555559</v>
      </c>
      <c r="H1277" s="16">
        <v>44997.390972222223</v>
      </c>
      <c r="I1277" s="102" t="s">
        <v>3359</v>
      </c>
      <c r="J1277" s="83" t="s">
        <v>61</v>
      </c>
      <c r="K1277" s="83"/>
      <c r="L1277" s="84"/>
    </row>
    <row r="1278" spans="1:12">
      <c r="A1278" s="19" t="s">
        <v>106</v>
      </c>
      <c r="B1278" s="20" t="s">
        <v>4570</v>
      </c>
      <c r="C1278" s="77" t="s">
        <v>108</v>
      </c>
      <c r="D1278" s="21" t="s">
        <v>4571</v>
      </c>
      <c r="E1278" s="21" t="s">
        <v>4572</v>
      </c>
      <c r="F1278" s="77" t="s">
        <v>40</v>
      </c>
      <c r="G1278" s="22">
        <v>44997.444444444445</v>
      </c>
      <c r="H1278" s="22">
        <v>44997.527777777781</v>
      </c>
      <c r="I1278" s="103" t="s">
        <v>111</v>
      </c>
      <c r="J1278" s="79" t="s">
        <v>61</v>
      </c>
      <c r="K1278" s="79"/>
      <c r="L1278" s="80"/>
    </row>
    <row r="1279" spans="1:12">
      <c r="A1279" s="1" t="s">
        <v>106</v>
      </c>
      <c r="B1279" s="14" t="s">
        <v>4573</v>
      </c>
      <c r="C1279" s="81" t="s">
        <v>313</v>
      </c>
      <c r="D1279" s="15" t="s">
        <v>4574</v>
      </c>
      <c r="E1279" s="81" t="s">
        <v>4575</v>
      </c>
      <c r="F1279" s="81" t="s">
        <v>40</v>
      </c>
      <c r="G1279" s="16">
        <v>44997.486111111109</v>
      </c>
      <c r="H1279" s="16">
        <v>44997.541666666664</v>
      </c>
      <c r="I1279" s="102" t="s">
        <v>440</v>
      </c>
      <c r="J1279" s="83" t="s">
        <v>61</v>
      </c>
      <c r="K1279" s="83"/>
      <c r="L1279" s="84"/>
    </row>
    <row r="1280" spans="1:12">
      <c r="A1280" s="19" t="s">
        <v>106</v>
      </c>
      <c r="B1280" s="20" t="s">
        <v>4576</v>
      </c>
      <c r="C1280" s="77" t="s">
        <v>108</v>
      </c>
      <c r="D1280" s="21" t="s">
        <v>2838</v>
      </c>
      <c r="E1280" s="77" t="s">
        <v>2839</v>
      </c>
      <c r="F1280" s="77" t="s">
        <v>40</v>
      </c>
      <c r="G1280" s="22">
        <v>44997.865972222222</v>
      </c>
      <c r="H1280" s="22">
        <v>45028.282638888886</v>
      </c>
      <c r="I1280" s="103" t="s">
        <v>32</v>
      </c>
      <c r="J1280" s="79" t="s">
        <v>72</v>
      </c>
      <c r="K1280" s="79"/>
      <c r="L1280" s="80"/>
    </row>
    <row r="1281" spans="1:12">
      <c r="A1281" s="1" t="s">
        <v>20</v>
      </c>
      <c r="B1281" s="14" t="s">
        <v>4577</v>
      </c>
      <c r="C1281" s="81" t="s">
        <v>21</v>
      </c>
      <c r="D1281" s="81" t="s">
        <v>4578</v>
      </c>
      <c r="E1281" s="53" t="s">
        <v>4579</v>
      </c>
      <c r="F1281" s="81" t="s">
        <v>40</v>
      </c>
      <c r="G1281" s="16">
        <v>44997.887499999997</v>
      </c>
      <c r="H1281" s="16">
        <v>44997.915277777778</v>
      </c>
      <c r="I1281" s="102" t="s">
        <v>1052</v>
      </c>
      <c r="J1281" s="83" t="s">
        <v>72</v>
      </c>
      <c r="K1281" s="83"/>
      <c r="L1281" s="84"/>
    </row>
    <row r="1282" spans="1:12" ht="409.5">
      <c r="A1282" s="19" t="s">
        <v>20</v>
      </c>
      <c r="B1282" s="20" t="s">
        <v>4580</v>
      </c>
      <c r="C1282" s="77" t="s">
        <v>21</v>
      </c>
      <c r="D1282" s="77" t="s">
        <v>4581</v>
      </c>
      <c r="E1282" s="94" t="s">
        <v>4582</v>
      </c>
      <c r="F1282" s="77" t="s">
        <v>40</v>
      </c>
      <c r="G1282" s="22">
        <v>44997.895833333336</v>
      </c>
      <c r="H1282" s="22">
        <v>44986.96875</v>
      </c>
      <c r="I1282" s="103" t="s">
        <v>52</v>
      </c>
      <c r="J1282" s="79" t="s">
        <v>72</v>
      </c>
      <c r="K1282" s="79"/>
      <c r="L1282" s="80"/>
    </row>
    <row r="1283" spans="1:12">
      <c r="A1283" s="1" t="s">
        <v>20</v>
      </c>
      <c r="B1283" s="14" t="s">
        <v>4583</v>
      </c>
      <c r="C1283" s="81" t="s">
        <v>21</v>
      </c>
      <c r="D1283" s="81" t="s">
        <v>4584</v>
      </c>
      <c r="E1283" s="81" t="s">
        <v>4585</v>
      </c>
      <c r="F1283" s="81" t="s">
        <v>40</v>
      </c>
      <c r="G1283" s="16">
        <v>45028.1</v>
      </c>
      <c r="H1283" s="16">
        <v>45028.120138888888</v>
      </c>
      <c r="I1283" s="102" t="s">
        <v>52</v>
      </c>
      <c r="J1283" s="83" t="s">
        <v>72</v>
      </c>
      <c r="K1283" s="83"/>
      <c r="L1283" s="84"/>
    </row>
    <row r="1284" spans="1:12">
      <c r="A1284" s="19" t="s">
        <v>106</v>
      </c>
      <c r="B1284" s="20" t="s">
        <v>4586</v>
      </c>
      <c r="C1284" s="77" t="s">
        <v>108</v>
      </c>
      <c r="D1284" s="77" t="s">
        <v>2838</v>
      </c>
      <c r="E1284" s="77" t="s">
        <v>2839</v>
      </c>
      <c r="F1284" s="77" t="s">
        <v>40</v>
      </c>
      <c r="G1284" s="22">
        <v>45028.838194444441</v>
      </c>
      <c r="H1284" s="22">
        <v>45058.826388888891</v>
      </c>
      <c r="I1284" s="103" t="s">
        <v>32</v>
      </c>
      <c r="J1284" s="79" t="s">
        <v>72</v>
      </c>
      <c r="K1284" s="79"/>
      <c r="L1284" s="80"/>
    </row>
    <row r="1285" spans="1:12">
      <c r="A1285" s="1" t="s">
        <v>20</v>
      </c>
      <c r="B1285" s="34" t="s">
        <v>4587</v>
      </c>
      <c r="C1285" s="53" t="s">
        <v>21</v>
      </c>
      <c r="D1285" s="53" t="s">
        <v>4588</v>
      </c>
      <c r="E1285" s="53" t="s">
        <v>4589</v>
      </c>
      <c r="F1285" s="81" t="s">
        <v>40</v>
      </c>
      <c r="G1285" s="16">
        <v>45028.89166666667</v>
      </c>
      <c r="H1285" s="16">
        <v>45028.915972222225</v>
      </c>
      <c r="I1285" s="102" t="s">
        <v>52</v>
      </c>
      <c r="J1285" s="83" t="s">
        <v>72</v>
      </c>
      <c r="K1285" s="59"/>
      <c r="L1285" s="60"/>
    </row>
    <row r="1286" spans="1:12">
      <c r="A1286" s="19" t="s">
        <v>95</v>
      </c>
      <c r="B1286" s="30" t="s">
        <v>4590</v>
      </c>
      <c r="C1286" s="77" t="s">
        <v>113</v>
      </c>
      <c r="D1286" s="61" t="s">
        <v>4591</v>
      </c>
      <c r="E1286" s="61" t="s">
        <v>4592</v>
      </c>
      <c r="F1286" s="77" t="s">
        <v>40</v>
      </c>
      <c r="G1286" s="22">
        <v>45028.944444444445</v>
      </c>
      <c r="H1286" s="22">
        <v>45028.959027777775</v>
      </c>
      <c r="I1286" s="103" t="s">
        <v>2478</v>
      </c>
      <c r="J1286" s="79" t="s">
        <v>72</v>
      </c>
      <c r="K1286" s="63"/>
      <c r="L1286" s="64"/>
    </row>
    <row r="1287" spans="1:12">
      <c r="A1287" s="42" t="s">
        <v>106</v>
      </c>
      <c r="B1287" s="34" t="s">
        <v>4593</v>
      </c>
      <c r="C1287" s="53" t="s">
        <v>108</v>
      </c>
      <c r="D1287" s="53" t="s">
        <v>4594</v>
      </c>
      <c r="E1287" s="53" t="s">
        <v>4566</v>
      </c>
      <c r="F1287" s="81" t="s">
        <v>40</v>
      </c>
      <c r="G1287" s="16">
        <v>45058.083333333336</v>
      </c>
      <c r="H1287" s="16">
        <v>45058.12222222222</v>
      </c>
      <c r="I1287" s="102" t="s">
        <v>4595</v>
      </c>
      <c r="J1287" s="83" t="s">
        <v>72</v>
      </c>
      <c r="K1287" s="59"/>
      <c r="L1287" s="60"/>
    </row>
    <row r="1288" spans="1:12">
      <c r="A1288" s="41" t="s">
        <v>20</v>
      </c>
      <c r="B1288" s="30" t="s">
        <v>4596</v>
      </c>
      <c r="C1288" s="61" t="s">
        <v>21</v>
      </c>
      <c r="D1288" s="61" t="s">
        <v>1821</v>
      </c>
      <c r="E1288" s="61" t="s">
        <v>4597</v>
      </c>
      <c r="F1288" s="61" t="s">
        <v>40</v>
      </c>
      <c r="G1288" s="22">
        <v>45058.92291666667</v>
      </c>
      <c r="H1288" s="22">
        <v>45058.956250000003</v>
      </c>
      <c r="I1288" s="103" t="s">
        <v>52</v>
      </c>
      <c r="J1288" s="79" t="s">
        <v>72</v>
      </c>
      <c r="K1288" s="63"/>
      <c r="L1288" s="64"/>
    </row>
    <row r="1289" spans="1:12">
      <c r="A1289" s="42" t="s">
        <v>95</v>
      </c>
      <c r="B1289" s="34" t="s">
        <v>4598</v>
      </c>
      <c r="C1289" s="53" t="s">
        <v>113</v>
      </c>
      <c r="D1289" s="53" t="s">
        <v>4599</v>
      </c>
      <c r="E1289" s="53" t="s">
        <v>4600</v>
      </c>
      <c r="F1289" s="53" t="s">
        <v>40</v>
      </c>
      <c r="G1289" s="16">
        <v>45058.910416666666</v>
      </c>
      <c r="H1289" s="16">
        <v>45058.974305555559</v>
      </c>
      <c r="I1289" s="102" t="s">
        <v>2814</v>
      </c>
      <c r="J1289" s="83" t="s">
        <v>72</v>
      </c>
      <c r="K1289" s="59"/>
      <c r="L1289" s="60"/>
    </row>
    <row r="1290" spans="1:12">
      <c r="A1290" s="19" t="s">
        <v>106</v>
      </c>
      <c r="B1290" s="30" t="s">
        <v>4601</v>
      </c>
      <c r="C1290" s="61" t="s">
        <v>333</v>
      </c>
      <c r="D1290" s="61" t="s">
        <v>4602</v>
      </c>
      <c r="E1290" s="61" t="s">
        <v>4603</v>
      </c>
      <c r="F1290" s="61" t="s">
        <v>40</v>
      </c>
      <c r="G1290" s="22">
        <v>45089.364583333336</v>
      </c>
      <c r="H1290" s="22">
        <v>45089.404166666667</v>
      </c>
      <c r="I1290" s="103" t="s">
        <v>4604</v>
      </c>
      <c r="J1290" s="63" t="s">
        <v>94</v>
      </c>
      <c r="K1290" s="63"/>
      <c r="L1290" s="64"/>
    </row>
    <row r="1291" spans="1:12">
      <c r="A1291" s="42" t="s">
        <v>20</v>
      </c>
      <c r="B1291" s="14" t="s">
        <v>4605</v>
      </c>
      <c r="C1291" s="81" t="s">
        <v>49</v>
      </c>
      <c r="D1291" s="81" t="s">
        <v>4606</v>
      </c>
      <c r="E1291" s="81" t="s">
        <v>4607</v>
      </c>
      <c r="F1291" s="81" t="s">
        <v>40</v>
      </c>
      <c r="G1291" s="16">
        <v>45089.629166666666</v>
      </c>
      <c r="H1291" s="16">
        <v>45089.631944444445</v>
      </c>
      <c r="I1291" s="102" t="s">
        <v>2951</v>
      </c>
      <c r="J1291" s="83" t="s">
        <v>94</v>
      </c>
      <c r="K1291" s="83"/>
      <c r="L1291" s="84"/>
    </row>
    <row r="1292" spans="1:12">
      <c r="A1292" s="19" t="s">
        <v>20</v>
      </c>
      <c r="B1292" s="30" t="s">
        <v>4608</v>
      </c>
      <c r="C1292" s="61" t="s">
        <v>21</v>
      </c>
      <c r="D1292" s="61" t="s">
        <v>4609</v>
      </c>
      <c r="E1292" s="61" t="s">
        <v>4610</v>
      </c>
      <c r="F1292" s="61" t="s">
        <v>40</v>
      </c>
      <c r="G1292" s="22">
        <v>45089.731249999997</v>
      </c>
      <c r="H1292" s="22">
        <v>45089.810416666667</v>
      </c>
      <c r="I1292" s="103" t="s">
        <v>1628</v>
      </c>
      <c r="J1292" s="63" t="s">
        <v>88</v>
      </c>
      <c r="K1292" s="63"/>
      <c r="L1292" s="64"/>
    </row>
    <row r="1293" spans="1:12">
      <c r="A1293" s="1" t="s">
        <v>20</v>
      </c>
      <c r="B1293" s="14" t="s">
        <v>4611</v>
      </c>
      <c r="C1293" s="81" t="s">
        <v>21</v>
      </c>
      <c r="D1293" s="81" t="s">
        <v>4612</v>
      </c>
      <c r="E1293" s="81" t="s">
        <v>4613</v>
      </c>
      <c r="F1293" s="81" t="s">
        <v>40</v>
      </c>
      <c r="G1293" s="16">
        <v>45089.757638888892</v>
      </c>
      <c r="H1293" s="16">
        <v>45089.763888888891</v>
      </c>
      <c r="I1293" s="102" t="s">
        <v>4359</v>
      </c>
      <c r="J1293" s="83" t="s">
        <v>88</v>
      </c>
      <c r="K1293" s="83"/>
      <c r="L1293" s="84"/>
    </row>
    <row r="1294" spans="1:12">
      <c r="A1294" s="19" t="s">
        <v>20</v>
      </c>
      <c r="B1294" s="20" t="s">
        <v>4614</v>
      </c>
      <c r="C1294" s="77" t="s">
        <v>21</v>
      </c>
      <c r="D1294" s="77" t="s">
        <v>4615</v>
      </c>
      <c r="E1294" s="77" t="s">
        <v>4616</v>
      </c>
      <c r="F1294" s="77" t="s">
        <v>40</v>
      </c>
      <c r="G1294" s="22">
        <v>45089.768055555556</v>
      </c>
      <c r="H1294" s="22">
        <v>45089.772222222222</v>
      </c>
      <c r="I1294" s="103" t="s">
        <v>1628</v>
      </c>
      <c r="J1294" s="79" t="s">
        <v>88</v>
      </c>
      <c r="K1294" s="79"/>
      <c r="L1294" s="80"/>
    </row>
    <row r="1295" spans="1:12">
      <c r="A1295" s="1" t="s">
        <v>20</v>
      </c>
      <c r="B1295" s="14" t="s">
        <v>4617</v>
      </c>
      <c r="C1295" s="81" t="s">
        <v>21</v>
      </c>
      <c r="D1295" s="81" t="s">
        <v>4618</v>
      </c>
      <c r="E1295" s="81" t="s">
        <v>4619</v>
      </c>
      <c r="F1295" s="81" t="s">
        <v>40</v>
      </c>
      <c r="G1295" s="16">
        <v>45089.800694444442</v>
      </c>
      <c r="H1295" s="16">
        <v>45089.808333333334</v>
      </c>
      <c r="I1295" s="102" t="s">
        <v>1628</v>
      </c>
      <c r="J1295" s="83" t="s">
        <v>88</v>
      </c>
      <c r="K1295" s="83"/>
      <c r="L1295" s="84"/>
    </row>
    <row r="1296" spans="1:12">
      <c r="A1296" s="19" t="s">
        <v>20</v>
      </c>
      <c r="B1296" s="20" t="s">
        <v>4620</v>
      </c>
      <c r="C1296" s="77" t="s">
        <v>21</v>
      </c>
      <c r="D1296" s="77" t="s">
        <v>4621</v>
      </c>
      <c r="E1296" s="77" t="s">
        <v>4622</v>
      </c>
      <c r="F1296" s="77" t="s">
        <v>40</v>
      </c>
      <c r="G1296" s="22">
        <v>45089.801388888889</v>
      </c>
      <c r="H1296" s="22">
        <v>45089.808333333334</v>
      </c>
      <c r="I1296" s="103" t="s">
        <v>1628</v>
      </c>
      <c r="J1296" s="79" t="s">
        <v>88</v>
      </c>
      <c r="K1296" s="79"/>
      <c r="L1296" s="80"/>
    </row>
    <row r="1297" spans="1:12">
      <c r="A1297" s="1" t="s">
        <v>20</v>
      </c>
      <c r="B1297" s="14" t="s">
        <v>4623</v>
      </c>
      <c r="C1297" s="81" t="s">
        <v>49</v>
      </c>
      <c r="D1297" s="81" t="s">
        <v>4624</v>
      </c>
      <c r="E1297" s="81" t="s">
        <v>4625</v>
      </c>
      <c r="F1297" s="81" t="s">
        <v>40</v>
      </c>
      <c r="G1297" s="16">
        <v>45089.839583333334</v>
      </c>
      <c r="H1297" s="16">
        <v>45089.996527777781</v>
      </c>
      <c r="I1297" s="102" t="s">
        <v>3605</v>
      </c>
      <c r="J1297" s="83" t="s">
        <v>88</v>
      </c>
      <c r="K1297" s="83"/>
      <c r="L1297" s="84"/>
    </row>
    <row r="1298" spans="1:12">
      <c r="A1298" s="19" t="s">
        <v>106</v>
      </c>
      <c r="B1298" s="20" t="s">
        <v>4626</v>
      </c>
      <c r="C1298" s="77" t="s">
        <v>108</v>
      </c>
      <c r="D1298" s="77" t="s">
        <v>4627</v>
      </c>
      <c r="E1298" s="77" t="s">
        <v>4628</v>
      </c>
      <c r="F1298" s="77" t="s">
        <v>40</v>
      </c>
      <c r="G1298" s="22">
        <v>45089.99722222222</v>
      </c>
      <c r="H1298" s="22">
        <v>45089.997916666667</v>
      </c>
      <c r="I1298" s="103" t="s">
        <v>387</v>
      </c>
      <c r="J1298" s="79" t="s">
        <v>88</v>
      </c>
      <c r="K1298" s="79"/>
      <c r="L1298" s="80"/>
    </row>
    <row r="1299" spans="1:12">
      <c r="A1299" s="1" t="s">
        <v>20</v>
      </c>
      <c r="B1299" s="14" t="s">
        <v>4629</v>
      </c>
      <c r="C1299" s="81" t="s">
        <v>21</v>
      </c>
      <c r="D1299" s="81" t="s">
        <v>4630</v>
      </c>
      <c r="E1299" s="81" t="s">
        <v>4631</v>
      </c>
      <c r="F1299" s="81" t="s">
        <v>40</v>
      </c>
      <c r="G1299" s="16">
        <v>45119.487500000003</v>
      </c>
      <c r="H1299" s="16">
        <v>45119.500694444447</v>
      </c>
      <c r="I1299" s="102" t="s">
        <v>4359</v>
      </c>
      <c r="J1299" s="83" t="s">
        <v>94</v>
      </c>
      <c r="K1299" s="83"/>
      <c r="L1299" s="84"/>
    </row>
    <row r="1300" spans="1:12">
      <c r="A1300" s="19" t="s">
        <v>20</v>
      </c>
      <c r="B1300" s="20" t="s">
        <v>4632</v>
      </c>
      <c r="C1300" s="77" t="s">
        <v>49</v>
      </c>
      <c r="D1300" s="77" t="s">
        <v>4633</v>
      </c>
      <c r="E1300" s="77" t="s">
        <v>4634</v>
      </c>
      <c r="F1300" s="77" t="s">
        <v>40</v>
      </c>
      <c r="G1300" s="22">
        <v>45119.588888888888</v>
      </c>
      <c r="H1300" s="22">
        <v>45242.575694444444</v>
      </c>
      <c r="I1300" s="103" t="s">
        <v>4635</v>
      </c>
      <c r="J1300" s="79" t="s">
        <v>94</v>
      </c>
      <c r="K1300" s="79"/>
      <c r="L1300" s="80"/>
    </row>
    <row r="1301" spans="1:12">
      <c r="A1301" s="1" t="s">
        <v>20</v>
      </c>
      <c r="B1301" s="14" t="s">
        <v>4636</v>
      </c>
      <c r="C1301" s="81" t="s">
        <v>21</v>
      </c>
      <c r="D1301" s="81" t="s">
        <v>4637</v>
      </c>
      <c r="E1301" s="81" t="s">
        <v>4638</v>
      </c>
      <c r="F1301" s="81" t="s">
        <v>40</v>
      </c>
      <c r="G1301" s="16">
        <v>45119.720833333333</v>
      </c>
      <c r="H1301" s="16">
        <v>45119.747916666667</v>
      </c>
      <c r="I1301" s="102" t="s">
        <v>629</v>
      </c>
      <c r="J1301" s="83" t="s">
        <v>88</v>
      </c>
      <c r="K1301" s="83"/>
      <c r="L1301" s="84"/>
    </row>
    <row r="1302" spans="1:12">
      <c r="A1302" s="19" t="s">
        <v>20</v>
      </c>
      <c r="B1302" s="20" t="s">
        <v>4639</v>
      </c>
      <c r="C1302" s="77" t="s">
        <v>21</v>
      </c>
      <c r="D1302" s="77" t="s">
        <v>4640</v>
      </c>
      <c r="E1302" s="77" t="s">
        <v>4641</v>
      </c>
      <c r="F1302" s="77" t="s">
        <v>40</v>
      </c>
      <c r="G1302" s="22">
        <v>45119.863194444442</v>
      </c>
      <c r="H1302" s="22">
        <v>45150.026388888888</v>
      </c>
      <c r="I1302" s="103" t="s">
        <v>629</v>
      </c>
      <c r="J1302" s="79" t="s">
        <v>88</v>
      </c>
      <c r="K1302" s="79"/>
      <c r="L1302" s="80"/>
    </row>
    <row r="1303" spans="1:12">
      <c r="A1303" s="1" t="s">
        <v>20</v>
      </c>
      <c r="B1303" s="14" t="s">
        <v>4642</v>
      </c>
      <c r="C1303" s="81" t="s">
        <v>21</v>
      </c>
      <c r="D1303" s="81" t="s">
        <v>4643</v>
      </c>
      <c r="E1303" s="81" t="s">
        <v>4644</v>
      </c>
      <c r="F1303" s="81" t="s">
        <v>40</v>
      </c>
      <c r="G1303" s="16">
        <v>45150.027083333334</v>
      </c>
      <c r="H1303" s="16">
        <v>45150.105555555558</v>
      </c>
      <c r="I1303" s="102" t="s">
        <v>629</v>
      </c>
      <c r="J1303" s="83" t="s">
        <v>88</v>
      </c>
      <c r="K1303" s="83"/>
      <c r="L1303" s="84"/>
    </row>
    <row r="1304" spans="1:12">
      <c r="A1304" s="19" t="s">
        <v>20</v>
      </c>
      <c r="B1304" s="20" t="s">
        <v>4645</v>
      </c>
      <c r="C1304" s="77" t="s">
        <v>49</v>
      </c>
      <c r="D1304" s="77" t="s">
        <v>4646</v>
      </c>
      <c r="E1304" s="77" t="s">
        <v>4647</v>
      </c>
      <c r="F1304" s="77" t="s">
        <v>40</v>
      </c>
      <c r="G1304" s="22">
        <v>45150.239583333336</v>
      </c>
      <c r="H1304" s="22">
        <v>45150.337500000001</v>
      </c>
      <c r="I1304" s="103" t="s">
        <v>4648</v>
      </c>
      <c r="J1304" s="79" t="s">
        <v>94</v>
      </c>
      <c r="K1304" s="79"/>
      <c r="L1304" s="80"/>
    </row>
    <row r="1305" spans="1:12">
      <c r="A1305" s="1" t="s">
        <v>20</v>
      </c>
      <c r="B1305" s="14" t="s">
        <v>4649</v>
      </c>
      <c r="C1305" s="81" t="s">
        <v>21</v>
      </c>
      <c r="D1305" s="81" t="s">
        <v>4650</v>
      </c>
      <c r="E1305" s="81" t="s">
        <v>4651</v>
      </c>
      <c r="F1305" s="81" t="s">
        <v>40</v>
      </c>
      <c r="G1305" s="16">
        <v>45150.651388888888</v>
      </c>
      <c r="H1305" s="16">
        <v>45150.700694444444</v>
      </c>
      <c r="I1305" s="102" t="s">
        <v>640</v>
      </c>
      <c r="J1305" s="83" t="s">
        <v>94</v>
      </c>
      <c r="K1305" s="83" t="s">
        <v>88</v>
      </c>
      <c r="L1305" s="84"/>
    </row>
    <row r="1306" spans="1:12">
      <c r="A1306" s="19" t="s">
        <v>20</v>
      </c>
      <c r="B1306" s="20" t="s">
        <v>4652</v>
      </c>
      <c r="C1306" s="77" t="s">
        <v>21</v>
      </c>
      <c r="D1306" s="77" t="s">
        <v>4653</v>
      </c>
      <c r="E1306" s="77" t="s">
        <v>4654</v>
      </c>
      <c r="F1306" s="77" t="s">
        <v>40</v>
      </c>
      <c r="G1306" s="22">
        <v>45150.686111111114</v>
      </c>
      <c r="H1306" s="22">
        <v>45150.690972222219</v>
      </c>
      <c r="I1306" s="103" t="s">
        <v>4655</v>
      </c>
      <c r="J1306" s="79" t="s">
        <v>88</v>
      </c>
      <c r="K1306" s="79"/>
      <c r="L1306" s="80"/>
    </row>
    <row r="1307" spans="1:12">
      <c r="A1307" s="1" t="s">
        <v>20</v>
      </c>
      <c r="B1307" s="14" t="s">
        <v>4656</v>
      </c>
      <c r="C1307" s="81" t="s">
        <v>21</v>
      </c>
      <c r="D1307" s="81" t="s">
        <v>4657</v>
      </c>
      <c r="E1307" s="81" t="s">
        <v>4658</v>
      </c>
      <c r="F1307" s="81" t="s">
        <v>40</v>
      </c>
      <c r="G1307" s="16">
        <v>45150.70208333333</v>
      </c>
      <c r="H1307" s="16">
        <v>45150.712500000001</v>
      </c>
      <c r="I1307" s="102" t="s">
        <v>629</v>
      </c>
      <c r="J1307" s="83" t="s">
        <v>88</v>
      </c>
      <c r="K1307" s="83"/>
      <c r="L1307" s="84"/>
    </row>
    <row r="1308" spans="1:12">
      <c r="A1308" s="19" t="s">
        <v>20</v>
      </c>
      <c r="B1308" s="20" t="s">
        <v>4659</v>
      </c>
      <c r="C1308" s="77" t="s">
        <v>21</v>
      </c>
      <c r="D1308" s="77" t="s">
        <v>4660</v>
      </c>
      <c r="E1308" s="77" t="s">
        <v>4661</v>
      </c>
      <c r="F1308" s="77" t="s">
        <v>40</v>
      </c>
      <c r="G1308" s="22">
        <v>45150.740972222222</v>
      </c>
      <c r="H1308" s="22">
        <v>45150.789583333331</v>
      </c>
      <c r="I1308" s="103" t="s">
        <v>629</v>
      </c>
      <c r="J1308" s="79" t="s">
        <v>88</v>
      </c>
      <c r="K1308" s="79"/>
      <c r="L1308" s="80"/>
    </row>
    <row r="1309" spans="1:12">
      <c r="A1309" s="1" t="s">
        <v>106</v>
      </c>
      <c r="B1309" s="14" t="s">
        <v>4662</v>
      </c>
      <c r="C1309" s="81" t="s">
        <v>78</v>
      </c>
      <c r="D1309" s="81" t="s">
        <v>4663</v>
      </c>
      <c r="E1309" s="81" t="s">
        <v>4664</v>
      </c>
      <c r="F1309" s="81" t="s">
        <v>40</v>
      </c>
      <c r="G1309" s="16">
        <v>45150.802777777775</v>
      </c>
      <c r="H1309" s="16">
        <v>45181.138888888891</v>
      </c>
      <c r="I1309" s="102" t="s">
        <v>838</v>
      </c>
      <c r="J1309" s="83" t="s">
        <v>88</v>
      </c>
      <c r="K1309" s="83"/>
      <c r="L1309" s="84"/>
    </row>
    <row r="1310" spans="1:12">
      <c r="A1310" s="19" t="s">
        <v>106</v>
      </c>
      <c r="B1310" s="20" t="s">
        <v>4665</v>
      </c>
      <c r="C1310" s="77" t="s">
        <v>108</v>
      </c>
      <c r="D1310" s="77" t="s">
        <v>4666</v>
      </c>
      <c r="E1310" s="77" t="s">
        <v>4667</v>
      </c>
      <c r="F1310" s="77" t="s">
        <v>40</v>
      </c>
      <c r="G1310" s="22">
        <v>45181.350694444445</v>
      </c>
      <c r="H1310" s="22">
        <v>45181.607638888891</v>
      </c>
      <c r="I1310" s="103" t="s">
        <v>4220</v>
      </c>
      <c r="J1310" s="79" t="s">
        <v>94</v>
      </c>
      <c r="K1310" s="79"/>
      <c r="L1310" s="80"/>
    </row>
    <row r="1311" spans="1:12">
      <c r="A1311" s="1" t="s">
        <v>106</v>
      </c>
      <c r="B1311" s="14" t="s">
        <v>4668</v>
      </c>
      <c r="C1311" s="81" t="s">
        <v>333</v>
      </c>
      <c r="D1311" s="81" t="s">
        <v>4669</v>
      </c>
      <c r="E1311" s="81" t="s">
        <v>4670</v>
      </c>
      <c r="F1311" s="81" t="s">
        <v>40</v>
      </c>
      <c r="G1311" s="16">
        <v>45181.595138888886</v>
      </c>
      <c r="H1311" s="16">
        <v>45181.637499999997</v>
      </c>
      <c r="I1311" s="102" t="s">
        <v>4604</v>
      </c>
      <c r="J1311" s="83" t="s">
        <v>94</v>
      </c>
      <c r="K1311" s="83"/>
      <c r="L1311" s="84"/>
    </row>
    <row r="1312" spans="1:12">
      <c r="A1312" s="19" t="s">
        <v>20</v>
      </c>
      <c r="B1312" s="20" t="s">
        <v>4671</v>
      </c>
      <c r="C1312" s="77" t="s">
        <v>21</v>
      </c>
      <c r="D1312" s="77" t="s">
        <v>4672</v>
      </c>
      <c r="E1312" s="77" t="s">
        <v>4673</v>
      </c>
      <c r="F1312" s="77" t="s">
        <v>40</v>
      </c>
      <c r="G1312" s="22">
        <v>45181.737500000003</v>
      </c>
      <c r="H1312" s="22">
        <v>45181.752083333333</v>
      </c>
      <c r="I1312" s="103" t="s">
        <v>4655</v>
      </c>
      <c r="J1312" s="79" t="s">
        <v>88</v>
      </c>
      <c r="K1312" s="79"/>
      <c r="L1312" s="80"/>
    </row>
    <row r="1313" spans="1:12">
      <c r="A1313" s="1" t="s">
        <v>95</v>
      </c>
      <c r="B1313" s="14" t="s">
        <v>4674</v>
      </c>
      <c r="C1313" s="81" t="s">
        <v>113</v>
      </c>
      <c r="D1313" s="81" t="s">
        <v>4675</v>
      </c>
      <c r="E1313" s="81" t="s">
        <v>4676</v>
      </c>
      <c r="F1313" s="81" t="s">
        <v>40</v>
      </c>
      <c r="G1313" s="16">
        <v>45181.75277777778</v>
      </c>
      <c r="H1313" s="16">
        <v>45181.779861111114</v>
      </c>
      <c r="I1313" s="102" t="s">
        <v>4677</v>
      </c>
      <c r="J1313" s="83" t="s">
        <v>88</v>
      </c>
      <c r="K1313" s="83"/>
      <c r="L1313" s="84"/>
    </row>
    <row r="1314" spans="1:12">
      <c r="A1314" s="19" t="s">
        <v>20</v>
      </c>
      <c r="B1314" s="20" t="s">
        <v>4678</v>
      </c>
      <c r="C1314" s="77" t="s">
        <v>21</v>
      </c>
      <c r="D1314" s="77" t="s">
        <v>4679</v>
      </c>
      <c r="E1314" s="77" t="s">
        <v>4680</v>
      </c>
      <c r="F1314" s="77" t="s">
        <v>40</v>
      </c>
      <c r="G1314" s="22">
        <v>45181.794444444444</v>
      </c>
      <c r="H1314" s="22">
        <v>45181.838194444441</v>
      </c>
      <c r="I1314" s="103" t="s">
        <v>1628</v>
      </c>
      <c r="J1314" s="79" t="s">
        <v>88</v>
      </c>
      <c r="K1314" s="79"/>
      <c r="L1314" s="80"/>
    </row>
    <row r="1315" spans="1:12">
      <c r="A1315" s="1" t="s">
        <v>20</v>
      </c>
      <c r="B1315" s="14" t="s">
        <v>4681</v>
      </c>
      <c r="C1315" s="81" t="s">
        <v>21</v>
      </c>
      <c r="D1315" s="81" t="s">
        <v>4682</v>
      </c>
      <c r="E1315" s="81" t="s">
        <v>4683</v>
      </c>
      <c r="F1315" s="81" t="s">
        <v>40</v>
      </c>
      <c r="G1315" s="16">
        <v>45181.838888888888</v>
      </c>
      <c r="H1315" s="16">
        <v>45181.859722222223</v>
      </c>
      <c r="I1315" s="102" t="s">
        <v>1628</v>
      </c>
      <c r="J1315" s="83" t="s">
        <v>88</v>
      </c>
      <c r="K1315" s="83"/>
      <c r="L1315" s="84"/>
    </row>
    <row r="1316" spans="1:12">
      <c r="A1316" s="19" t="s">
        <v>20</v>
      </c>
      <c r="B1316" s="20" t="s">
        <v>4684</v>
      </c>
      <c r="C1316" s="77" t="s">
        <v>21</v>
      </c>
      <c r="D1316" s="77" t="s">
        <v>4685</v>
      </c>
      <c r="E1316" s="77" t="s">
        <v>4686</v>
      </c>
      <c r="F1316" s="77" t="s">
        <v>40</v>
      </c>
      <c r="G1316" s="22">
        <v>45181.890277777777</v>
      </c>
      <c r="H1316" s="22">
        <v>45181.954861111109</v>
      </c>
      <c r="I1316" s="103" t="s">
        <v>1628</v>
      </c>
      <c r="J1316" s="79" t="s">
        <v>88</v>
      </c>
      <c r="K1316" s="79"/>
      <c r="L1316" s="80"/>
    </row>
    <row r="1317" spans="1:12">
      <c r="A1317" s="1" t="s">
        <v>95</v>
      </c>
      <c r="B1317" s="14" t="s">
        <v>4687</v>
      </c>
      <c r="C1317" s="81" t="s">
        <v>118</v>
      </c>
      <c r="D1317" s="81" t="s">
        <v>4688</v>
      </c>
      <c r="E1317" s="81" t="s">
        <v>4689</v>
      </c>
      <c r="F1317" s="81" t="s">
        <v>40</v>
      </c>
      <c r="G1317" s="16">
        <v>45211.054861111108</v>
      </c>
      <c r="H1317" s="16">
        <v>45211.07916666667</v>
      </c>
      <c r="I1317" s="102" t="s">
        <v>3956</v>
      </c>
      <c r="J1317" s="83" t="s">
        <v>88</v>
      </c>
      <c r="K1317" s="83"/>
      <c r="L1317" s="84"/>
    </row>
    <row r="1318" spans="1:12">
      <c r="A1318" s="19" t="s">
        <v>106</v>
      </c>
      <c r="B1318" s="20" t="s">
        <v>4690</v>
      </c>
      <c r="C1318" s="77" t="s">
        <v>108</v>
      </c>
      <c r="D1318" s="77" t="s">
        <v>4691</v>
      </c>
      <c r="E1318" s="77" t="s">
        <v>4692</v>
      </c>
      <c r="F1318" s="77" t="s">
        <v>40</v>
      </c>
      <c r="G1318" s="22">
        <v>45211.421527777777</v>
      </c>
      <c r="H1318" s="22">
        <v>45211.480555555558</v>
      </c>
      <c r="I1318" s="103" t="s">
        <v>4693</v>
      </c>
      <c r="J1318" s="79" t="s">
        <v>94</v>
      </c>
      <c r="K1318" s="79"/>
      <c r="L1318" s="80"/>
    </row>
    <row r="1319" spans="1:12">
      <c r="A1319" s="1" t="s">
        <v>20</v>
      </c>
      <c r="B1319" s="14" t="s">
        <v>4694</v>
      </c>
      <c r="C1319" s="81" t="s">
        <v>21</v>
      </c>
      <c r="D1319" s="81" t="s">
        <v>4695</v>
      </c>
      <c r="E1319" s="81" t="s">
        <v>4696</v>
      </c>
      <c r="F1319" s="81" t="s">
        <v>40</v>
      </c>
      <c r="G1319" s="16">
        <v>45211.731944444444</v>
      </c>
      <c r="H1319" s="16">
        <v>45211.775000000001</v>
      </c>
      <c r="I1319" s="102" t="s">
        <v>1628</v>
      </c>
      <c r="J1319" s="83" t="s">
        <v>88</v>
      </c>
      <c r="K1319" s="83"/>
      <c r="L1319" s="84"/>
    </row>
    <row r="1320" spans="1:12">
      <c r="A1320" s="19" t="s">
        <v>20</v>
      </c>
      <c r="B1320" s="20" t="s">
        <v>4697</v>
      </c>
      <c r="C1320" s="77" t="s">
        <v>21</v>
      </c>
      <c r="D1320" s="77" t="s">
        <v>4698</v>
      </c>
      <c r="E1320" s="77" t="s">
        <v>4699</v>
      </c>
      <c r="F1320" s="77" t="s">
        <v>40</v>
      </c>
      <c r="G1320" s="22">
        <v>45211.820833333331</v>
      </c>
      <c r="H1320" s="22">
        <v>45211.834722222222</v>
      </c>
      <c r="I1320" s="103" t="s">
        <v>1628</v>
      </c>
      <c r="J1320" s="79" t="s">
        <v>88</v>
      </c>
      <c r="K1320" s="79"/>
      <c r="L1320" s="80"/>
    </row>
    <row r="1321" spans="1:12">
      <c r="A1321" s="1" t="s">
        <v>20</v>
      </c>
      <c r="B1321" s="14" t="s">
        <v>4700</v>
      </c>
      <c r="C1321" s="81" t="s">
        <v>21</v>
      </c>
      <c r="D1321" s="81" t="s">
        <v>4701</v>
      </c>
      <c r="E1321" s="81" t="s">
        <v>4702</v>
      </c>
      <c r="F1321" s="81" t="s">
        <v>40</v>
      </c>
      <c r="G1321" s="16">
        <v>45211.821527777778</v>
      </c>
      <c r="H1321" s="16">
        <v>45211.844444444447</v>
      </c>
      <c r="I1321" s="102" t="s">
        <v>1628</v>
      </c>
      <c r="J1321" s="83" t="s">
        <v>88</v>
      </c>
      <c r="K1321" s="83"/>
      <c r="L1321" s="84"/>
    </row>
    <row r="1322" spans="1:12">
      <c r="A1322" s="19" t="s">
        <v>20</v>
      </c>
      <c r="B1322" s="20" t="s">
        <v>4703</v>
      </c>
      <c r="C1322" s="77" t="s">
        <v>21</v>
      </c>
      <c r="D1322" s="77" t="s">
        <v>4704</v>
      </c>
      <c r="E1322" s="77" t="s">
        <v>4705</v>
      </c>
      <c r="F1322" s="77" t="s">
        <v>40</v>
      </c>
      <c r="G1322" s="22">
        <v>45211.85</v>
      </c>
      <c r="H1322" s="22">
        <v>45211.950694444444</v>
      </c>
      <c r="I1322" s="103" t="s">
        <v>1628</v>
      </c>
      <c r="J1322" s="79" t="s">
        <v>88</v>
      </c>
      <c r="K1322" s="79"/>
      <c r="L1322" s="80"/>
    </row>
    <row r="1323" spans="1:12">
      <c r="A1323" s="1" t="s">
        <v>20</v>
      </c>
      <c r="B1323" s="14" t="s">
        <v>4706</v>
      </c>
      <c r="C1323" s="81" t="s">
        <v>21</v>
      </c>
      <c r="D1323" s="81" t="s">
        <v>4707</v>
      </c>
      <c r="E1323" s="81" t="s">
        <v>4708</v>
      </c>
      <c r="F1323" s="81" t="s">
        <v>40</v>
      </c>
      <c r="G1323" s="16">
        <v>45211.926388888889</v>
      </c>
      <c r="H1323" s="16">
        <v>45211.948611111111</v>
      </c>
      <c r="I1323" s="102" t="s">
        <v>1628</v>
      </c>
      <c r="J1323" s="83" t="s">
        <v>88</v>
      </c>
      <c r="K1323" s="83"/>
      <c r="L1323" s="84"/>
    </row>
    <row r="1324" spans="1:12">
      <c r="A1324" s="19" t="s">
        <v>20</v>
      </c>
      <c r="B1324" s="20" t="s">
        <v>4709</v>
      </c>
      <c r="C1324" s="77" t="s">
        <v>21</v>
      </c>
      <c r="D1324" s="77" t="s">
        <v>4710</v>
      </c>
      <c r="E1324" s="77" t="s">
        <v>4711</v>
      </c>
      <c r="F1324" s="77" t="s">
        <v>40</v>
      </c>
      <c r="G1324" s="22">
        <v>45211.982638888891</v>
      </c>
      <c r="H1324" s="22">
        <v>45242.125694444447</v>
      </c>
      <c r="I1324" s="103" t="s">
        <v>1628</v>
      </c>
      <c r="J1324" s="79" t="s">
        <v>88</v>
      </c>
      <c r="K1324" s="79"/>
      <c r="L1324" s="80"/>
    </row>
    <row r="1325" spans="1:12">
      <c r="A1325" s="1" t="s">
        <v>106</v>
      </c>
      <c r="B1325" s="14" t="s">
        <v>4712</v>
      </c>
      <c r="C1325" s="81" t="s">
        <v>78</v>
      </c>
      <c r="D1325" s="81" t="s">
        <v>4713</v>
      </c>
      <c r="E1325" s="81" t="s">
        <v>4714</v>
      </c>
      <c r="F1325" s="81" t="s">
        <v>40</v>
      </c>
      <c r="G1325" s="16">
        <v>45242.296527777777</v>
      </c>
      <c r="H1325" s="16">
        <v>45242.34652777778</v>
      </c>
      <c r="I1325" s="102" t="s">
        <v>3971</v>
      </c>
      <c r="J1325" s="83" t="s">
        <v>94</v>
      </c>
      <c r="K1325" s="83"/>
      <c r="L1325" s="84"/>
    </row>
    <row r="1326" spans="1:12">
      <c r="A1326" s="19" t="s">
        <v>20</v>
      </c>
      <c r="B1326" s="20" t="s">
        <v>4715</v>
      </c>
      <c r="C1326" s="77" t="s">
        <v>21</v>
      </c>
      <c r="D1326" s="77" t="s">
        <v>4716</v>
      </c>
      <c r="E1326" s="77" t="s">
        <v>4717</v>
      </c>
      <c r="F1326" s="77" t="s">
        <v>40</v>
      </c>
      <c r="G1326" s="22">
        <v>45119.833333333336</v>
      </c>
      <c r="H1326" s="22">
        <v>45119.86041666667</v>
      </c>
      <c r="I1326" s="103" t="s">
        <v>4718</v>
      </c>
      <c r="J1326" s="79" t="s">
        <v>88</v>
      </c>
      <c r="K1326" s="79"/>
      <c r="L1326" s="80"/>
    </row>
    <row r="1327" spans="1:12">
      <c r="A1327" s="1" t="s">
        <v>106</v>
      </c>
      <c r="B1327" s="14" t="s">
        <v>4719</v>
      </c>
      <c r="C1327" s="81" t="s">
        <v>78</v>
      </c>
      <c r="D1327" s="81" t="s">
        <v>2432</v>
      </c>
      <c r="E1327" s="81" t="s">
        <v>4720</v>
      </c>
      <c r="F1327" s="81" t="s">
        <v>40</v>
      </c>
      <c r="G1327" s="16">
        <v>45242.463194444441</v>
      </c>
      <c r="H1327" s="16">
        <v>45242.469444444447</v>
      </c>
      <c r="I1327" s="102" t="s">
        <v>3971</v>
      </c>
      <c r="J1327" s="83" t="s">
        <v>94</v>
      </c>
      <c r="K1327" s="83"/>
      <c r="L1327" s="84"/>
    </row>
    <row r="1328" spans="1:12">
      <c r="A1328" s="19" t="s">
        <v>20</v>
      </c>
      <c r="B1328" s="20" t="s">
        <v>4721</v>
      </c>
      <c r="C1328" s="77" t="s">
        <v>13</v>
      </c>
      <c r="D1328" s="77" t="s">
        <v>4722</v>
      </c>
      <c r="E1328" s="77" t="s">
        <v>4723</v>
      </c>
      <c r="F1328" s="77" t="s">
        <v>40</v>
      </c>
      <c r="G1328" s="22">
        <v>45242.486111111109</v>
      </c>
      <c r="H1328" s="22">
        <v>45242.529166666667</v>
      </c>
      <c r="I1328" s="103" t="s">
        <v>17</v>
      </c>
      <c r="J1328" s="79" t="s">
        <v>94</v>
      </c>
      <c r="K1328" s="79"/>
      <c r="L1328" s="80"/>
    </row>
    <row r="1329" spans="1:12">
      <c r="A1329" s="1" t="s">
        <v>106</v>
      </c>
      <c r="B1329" s="14" t="s">
        <v>4724</v>
      </c>
      <c r="C1329" s="81" t="s">
        <v>108</v>
      </c>
      <c r="D1329" s="81" t="s">
        <v>4725</v>
      </c>
      <c r="E1329" s="81" t="s">
        <v>4726</v>
      </c>
      <c r="F1329" s="81" t="s">
        <v>40</v>
      </c>
      <c r="G1329" s="16">
        <v>45242.604861111111</v>
      </c>
      <c r="H1329" s="16">
        <v>45242.646527777775</v>
      </c>
      <c r="I1329" s="102" t="s">
        <v>396</v>
      </c>
      <c r="J1329" s="83" t="s">
        <v>94</v>
      </c>
      <c r="K1329" s="83"/>
      <c r="L1329" s="84"/>
    </row>
    <row r="1330" spans="1:12">
      <c r="A1330" s="19" t="s">
        <v>20</v>
      </c>
      <c r="B1330" s="20" t="s">
        <v>4727</v>
      </c>
      <c r="C1330" s="77" t="s">
        <v>21</v>
      </c>
      <c r="D1330" s="77" t="s">
        <v>4728</v>
      </c>
      <c r="E1330" s="77" t="s">
        <v>4729</v>
      </c>
      <c r="F1330" s="77" t="s">
        <v>40</v>
      </c>
      <c r="G1330" s="22">
        <v>45242.745833333334</v>
      </c>
      <c r="H1330" s="22">
        <v>45242.767361111109</v>
      </c>
      <c r="I1330" s="103" t="s">
        <v>1628</v>
      </c>
      <c r="J1330" s="79" t="s">
        <v>88</v>
      </c>
      <c r="K1330" s="79"/>
      <c r="L1330" s="80"/>
    </row>
    <row r="1331" spans="1:12">
      <c r="A1331" s="1" t="s">
        <v>20</v>
      </c>
      <c r="B1331" s="104" t="s">
        <v>4730</v>
      </c>
      <c r="C1331" s="81" t="s">
        <v>21</v>
      </c>
      <c r="D1331" s="81" t="s">
        <v>4731</v>
      </c>
      <c r="E1331" s="81" t="s">
        <v>4732</v>
      </c>
      <c r="F1331" s="81" t="s">
        <v>40</v>
      </c>
      <c r="G1331" s="16">
        <v>45242.767361111109</v>
      </c>
      <c r="H1331" s="16">
        <v>45242.780555555553</v>
      </c>
      <c r="I1331" s="102" t="s">
        <v>1628</v>
      </c>
      <c r="J1331" s="83" t="s">
        <v>88</v>
      </c>
      <c r="K1331" s="83"/>
      <c r="L1331" s="84"/>
    </row>
    <row r="1332" spans="1:12">
      <c r="A1332" s="19" t="s">
        <v>20</v>
      </c>
      <c r="B1332" s="20" t="s">
        <v>4733</v>
      </c>
      <c r="C1332" s="77" t="s">
        <v>21</v>
      </c>
      <c r="D1332" s="77" t="s">
        <v>4734</v>
      </c>
      <c r="E1332" s="77" t="s">
        <v>4735</v>
      </c>
      <c r="F1332" s="77" t="s">
        <v>40</v>
      </c>
      <c r="G1332" s="22">
        <v>45242.769444444442</v>
      </c>
      <c r="H1332" s="22">
        <v>45242.804166666669</v>
      </c>
      <c r="I1332" s="103" t="s">
        <v>1628</v>
      </c>
      <c r="J1332" s="79" t="s">
        <v>88</v>
      </c>
      <c r="K1332" s="79"/>
      <c r="L1332" s="80"/>
    </row>
    <row r="1333" spans="1:12">
      <c r="A1333" s="1" t="s">
        <v>20</v>
      </c>
      <c r="B1333" s="14" t="s">
        <v>4736</v>
      </c>
      <c r="C1333" s="81" t="s">
        <v>21</v>
      </c>
      <c r="D1333" s="81" t="s">
        <v>4737</v>
      </c>
      <c r="E1333" s="81" t="s">
        <v>4738</v>
      </c>
      <c r="F1333" s="81" t="s">
        <v>40</v>
      </c>
      <c r="G1333" s="16">
        <v>45242.814583333333</v>
      </c>
      <c r="H1333" s="16">
        <v>45242.834722222222</v>
      </c>
      <c r="I1333" s="102" t="s">
        <v>1628</v>
      </c>
      <c r="J1333" s="83" t="s">
        <v>88</v>
      </c>
      <c r="K1333" s="83"/>
      <c r="L1333" s="84"/>
    </row>
    <row r="1334" spans="1:12">
      <c r="A1334" s="19" t="s">
        <v>20</v>
      </c>
      <c r="B1334" s="20" t="s">
        <v>4739</v>
      </c>
      <c r="C1334" s="77" t="s">
        <v>21</v>
      </c>
      <c r="D1334" s="77" t="s">
        <v>4615</v>
      </c>
      <c r="E1334" s="77" t="s">
        <v>4740</v>
      </c>
      <c r="F1334" s="77" t="s">
        <v>40</v>
      </c>
      <c r="G1334" s="22">
        <v>45242.831944444442</v>
      </c>
      <c r="H1334" s="22">
        <v>45242.837500000001</v>
      </c>
      <c r="I1334" s="103" t="s">
        <v>1628</v>
      </c>
      <c r="J1334" s="79" t="s">
        <v>88</v>
      </c>
      <c r="K1334" s="79"/>
      <c r="L1334" s="80"/>
    </row>
    <row r="1335" spans="1:12">
      <c r="A1335" s="1" t="s">
        <v>20</v>
      </c>
      <c r="B1335" s="14" t="s">
        <v>4741</v>
      </c>
      <c r="C1335" s="81" t="s">
        <v>21</v>
      </c>
      <c r="D1335" s="81" t="s">
        <v>4742</v>
      </c>
      <c r="E1335" s="81" t="s">
        <v>4743</v>
      </c>
      <c r="F1335" s="81" t="s">
        <v>40</v>
      </c>
      <c r="G1335" s="16">
        <v>45242.832638888889</v>
      </c>
      <c r="H1335" s="16">
        <v>45242.838194444441</v>
      </c>
      <c r="I1335" s="102" t="s">
        <v>1628</v>
      </c>
      <c r="J1335" s="83" t="s">
        <v>88</v>
      </c>
      <c r="K1335" s="83"/>
      <c r="L1335" s="84"/>
    </row>
    <row r="1336" spans="1:12">
      <c r="A1336" s="19" t="s">
        <v>95</v>
      </c>
      <c r="B1336" s="20" t="s">
        <v>4744</v>
      </c>
      <c r="C1336" s="77" t="s">
        <v>97</v>
      </c>
      <c r="D1336" s="77" t="s">
        <v>4745</v>
      </c>
      <c r="E1336" s="77" t="s">
        <v>4746</v>
      </c>
      <c r="F1336" s="77" t="s">
        <v>40</v>
      </c>
      <c r="G1336" s="22">
        <v>45272.095138888886</v>
      </c>
      <c r="H1336" s="22">
        <v>45272.104166666664</v>
      </c>
      <c r="I1336" s="103" t="s">
        <v>4747</v>
      </c>
      <c r="J1336" s="79" t="s">
        <v>88</v>
      </c>
      <c r="K1336" s="79"/>
      <c r="L1336" s="80"/>
    </row>
    <row r="1337" spans="1:12">
      <c r="A1337" s="1" t="s">
        <v>20</v>
      </c>
      <c r="B1337" s="14" t="s">
        <v>4748</v>
      </c>
      <c r="C1337" s="81" t="s">
        <v>21</v>
      </c>
      <c r="D1337" s="81" t="s">
        <v>4749</v>
      </c>
      <c r="E1337" s="81" t="s">
        <v>4750</v>
      </c>
      <c r="F1337" s="81" t="s">
        <v>40</v>
      </c>
      <c r="G1337" s="16">
        <v>45272.688194444447</v>
      </c>
      <c r="H1337" s="16">
        <v>45272.705555555556</v>
      </c>
      <c r="I1337" s="102" t="s">
        <v>1628</v>
      </c>
      <c r="J1337" s="83" t="s">
        <v>88</v>
      </c>
      <c r="K1337" s="83"/>
      <c r="L1337" s="84"/>
    </row>
    <row r="1338" spans="1:12">
      <c r="A1338" s="19" t="s">
        <v>20</v>
      </c>
      <c r="B1338" s="20" t="s">
        <v>4751</v>
      </c>
      <c r="C1338" s="77" t="s">
        <v>21</v>
      </c>
      <c r="D1338" s="77" t="s">
        <v>4615</v>
      </c>
      <c r="E1338" s="77" t="s">
        <v>4752</v>
      </c>
      <c r="F1338" s="77" t="s">
        <v>40</v>
      </c>
      <c r="G1338" s="22">
        <v>45272.748611111114</v>
      </c>
      <c r="H1338" s="22">
        <v>45272.836111111108</v>
      </c>
      <c r="I1338" s="103" t="s">
        <v>1628</v>
      </c>
      <c r="J1338" s="79" t="s">
        <v>88</v>
      </c>
      <c r="K1338" s="79"/>
      <c r="L1338" s="80"/>
    </row>
    <row r="1339" spans="1:12">
      <c r="A1339" s="1" t="s">
        <v>20</v>
      </c>
      <c r="B1339" s="14" t="s">
        <v>4753</v>
      </c>
      <c r="C1339" s="81" t="s">
        <v>21</v>
      </c>
      <c r="D1339" s="81" t="s">
        <v>4754</v>
      </c>
      <c r="E1339" s="81" t="s">
        <v>4755</v>
      </c>
      <c r="F1339" s="81" t="s">
        <v>40</v>
      </c>
      <c r="G1339" s="16" t="s">
        <v>4756</v>
      </c>
      <c r="H1339" s="16" t="s">
        <v>4757</v>
      </c>
      <c r="I1339" s="102" t="s">
        <v>1628</v>
      </c>
      <c r="J1339" s="83" t="s">
        <v>88</v>
      </c>
      <c r="K1339" s="83"/>
      <c r="L1339" s="84"/>
    </row>
    <row r="1340" spans="1:12">
      <c r="A1340" s="19" t="s">
        <v>20</v>
      </c>
      <c r="B1340" s="20" t="s">
        <v>4758</v>
      </c>
      <c r="C1340" s="77" t="s">
        <v>21</v>
      </c>
      <c r="D1340" s="77" t="s">
        <v>4759</v>
      </c>
      <c r="E1340" s="77" t="s">
        <v>4760</v>
      </c>
      <c r="F1340" s="77" t="s">
        <v>40</v>
      </c>
      <c r="G1340" s="22" t="s">
        <v>4757</v>
      </c>
      <c r="H1340" s="22" t="s">
        <v>4761</v>
      </c>
      <c r="I1340" s="103" t="s">
        <v>1628</v>
      </c>
      <c r="J1340" s="79" t="s">
        <v>88</v>
      </c>
      <c r="K1340" s="79"/>
      <c r="L1340" s="80"/>
    </row>
    <row r="1341" spans="1:12">
      <c r="A1341" s="1" t="s">
        <v>106</v>
      </c>
      <c r="B1341" s="14" t="s">
        <v>4762</v>
      </c>
      <c r="C1341" s="81" t="s">
        <v>108</v>
      </c>
      <c r="D1341" s="81" t="s">
        <v>2838</v>
      </c>
      <c r="E1341" s="81" t="s">
        <v>2839</v>
      </c>
      <c r="F1341" s="81" t="s">
        <v>40</v>
      </c>
      <c r="G1341" s="16" t="s">
        <v>4763</v>
      </c>
      <c r="H1341" s="16" t="s">
        <v>4764</v>
      </c>
      <c r="I1341" s="102" t="s">
        <v>32</v>
      </c>
      <c r="J1341" s="83" t="s">
        <v>72</v>
      </c>
      <c r="K1341" s="83"/>
      <c r="L1341" s="84"/>
    </row>
    <row r="1342" spans="1:12">
      <c r="A1342" s="19" t="s">
        <v>106</v>
      </c>
      <c r="B1342" s="20" t="s">
        <v>4765</v>
      </c>
      <c r="C1342" s="77" t="s">
        <v>108</v>
      </c>
      <c r="D1342" s="77" t="s">
        <v>4766</v>
      </c>
      <c r="E1342" s="77" t="s">
        <v>4767</v>
      </c>
      <c r="F1342" s="77" t="s">
        <v>40</v>
      </c>
      <c r="G1342" s="22" t="s">
        <v>4768</v>
      </c>
      <c r="H1342" s="22" t="s">
        <v>4769</v>
      </c>
      <c r="I1342" s="103" t="s">
        <v>105</v>
      </c>
      <c r="J1342" s="79" t="s">
        <v>72</v>
      </c>
      <c r="K1342" s="79"/>
      <c r="L1342" s="80"/>
    </row>
    <row r="1343" spans="1:12">
      <c r="A1343" s="1" t="s">
        <v>106</v>
      </c>
      <c r="B1343" s="14" t="s">
        <v>4770</v>
      </c>
      <c r="C1343" s="81" t="s">
        <v>78</v>
      </c>
      <c r="D1343" s="81" t="s">
        <v>4771</v>
      </c>
      <c r="E1343" s="81" t="s">
        <v>4772</v>
      </c>
      <c r="F1343" s="81" t="s">
        <v>40</v>
      </c>
      <c r="G1343" s="16" t="s">
        <v>4773</v>
      </c>
      <c r="H1343" s="16">
        <v>45352.60833333333</v>
      </c>
      <c r="I1343" s="102" t="s">
        <v>258</v>
      </c>
      <c r="J1343" s="83" t="s">
        <v>72</v>
      </c>
      <c r="K1343" s="83" t="s">
        <v>94</v>
      </c>
      <c r="L1343" s="84">
        <v>45352.60833333333</v>
      </c>
    </row>
    <row r="1344" spans="1:12">
      <c r="A1344" s="19" t="s">
        <v>106</v>
      </c>
      <c r="B1344" s="20" t="s">
        <v>4774</v>
      </c>
      <c r="C1344" s="77" t="s">
        <v>108</v>
      </c>
      <c r="D1344" s="77" t="s">
        <v>4775</v>
      </c>
      <c r="E1344" s="77"/>
      <c r="F1344" s="77" t="s">
        <v>214</v>
      </c>
      <c r="G1344" s="22" t="s">
        <v>4776</v>
      </c>
      <c r="H1344" s="22"/>
      <c r="I1344" s="103" t="s">
        <v>4777</v>
      </c>
      <c r="J1344" s="79" t="s">
        <v>72</v>
      </c>
      <c r="K1344" s="79"/>
      <c r="L1344" s="80"/>
    </row>
    <row r="1345" spans="1:12">
      <c r="A1345" s="1" t="s">
        <v>20</v>
      </c>
      <c r="B1345" s="14" t="s">
        <v>4778</v>
      </c>
      <c r="C1345" s="81" t="s">
        <v>13</v>
      </c>
      <c r="D1345" s="81" t="s">
        <v>4779</v>
      </c>
      <c r="E1345" s="81"/>
      <c r="F1345" s="81" t="s">
        <v>308</v>
      </c>
      <c r="G1345" s="16" t="s">
        <v>4780</v>
      </c>
      <c r="H1345" s="16"/>
      <c r="I1345" s="102" t="s">
        <v>4781</v>
      </c>
      <c r="J1345" s="83" t="s">
        <v>72</v>
      </c>
      <c r="K1345" s="83"/>
      <c r="L1345" s="84"/>
    </row>
    <row r="1346" spans="1:12">
      <c r="A1346" s="19" t="s">
        <v>20</v>
      </c>
      <c r="B1346" s="20" t="s">
        <v>4782</v>
      </c>
      <c r="C1346" s="77" t="s">
        <v>21</v>
      </c>
      <c r="D1346" s="21" t="s">
        <v>4783</v>
      </c>
      <c r="E1346" s="77"/>
      <c r="F1346" s="77" t="s">
        <v>214</v>
      </c>
      <c r="G1346" s="22" t="s">
        <v>4784</v>
      </c>
      <c r="H1346" s="22"/>
      <c r="I1346" s="103" t="s">
        <v>64</v>
      </c>
      <c r="J1346" s="79" t="s">
        <v>61</v>
      </c>
      <c r="K1346" s="79"/>
      <c r="L1346" s="80"/>
    </row>
    <row r="1347" spans="1:12">
      <c r="A1347" s="1" t="s">
        <v>20</v>
      </c>
      <c r="B1347" s="14" t="s">
        <v>4785</v>
      </c>
      <c r="C1347" s="81" t="s">
        <v>21</v>
      </c>
      <c r="D1347" s="15" t="s">
        <v>4786</v>
      </c>
      <c r="E1347" s="81" t="s">
        <v>4787</v>
      </c>
      <c r="F1347" s="81" t="s">
        <v>40</v>
      </c>
      <c r="G1347" s="16" t="s">
        <v>4788</v>
      </c>
      <c r="H1347" s="16" t="s">
        <v>4789</v>
      </c>
      <c r="I1347" s="102" t="s">
        <v>64</v>
      </c>
      <c r="J1347" s="83" t="s">
        <v>61</v>
      </c>
      <c r="K1347" s="83"/>
      <c r="L1347" s="84"/>
    </row>
    <row r="1348" spans="1:12">
      <c r="A1348" s="19" t="s">
        <v>20</v>
      </c>
      <c r="B1348" s="20" t="s">
        <v>4790</v>
      </c>
      <c r="C1348" s="77" t="s">
        <v>21</v>
      </c>
      <c r="D1348" s="21" t="s">
        <v>3399</v>
      </c>
      <c r="E1348" s="77" t="s">
        <v>4791</v>
      </c>
      <c r="F1348" s="77" t="s">
        <v>40</v>
      </c>
      <c r="G1348" s="22" t="s">
        <v>4792</v>
      </c>
      <c r="H1348" s="22" t="s">
        <v>4793</v>
      </c>
      <c r="I1348" s="103" t="s">
        <v>2071</v>
      </c>
      <c r="J1348" s="79" t="s">
        <v>61</v>
      </c>
      <c r="K1348" s="79"/>
      <c r="L1348" s="80"/>
    </row>
    <row r="1349" spans="1:12">
      <c r="A1349" s="1" t="s">
        <v>20</v>
      </c>
      <c r="B1349" s="14" t="s">
        <v>4794</v>
      </c>
      <c r="C1349" s="81" t="s">
        <v>13</v>
      </c>
      <c r="D1349" s="15" t="s">
        <v>4795</v>
      </c>
      <c r="E1349" s="81" t="s">
        <v>4791</v>
      </c>
      <c r="F1349" s="81" t="s">
        <v>40</v>
      </c>
      <c r="G1349" s="16" t="s">
        <v>4796</v>
      </c>
      <c r="H1349" s="16" t="s">
        <v>4797</v>
      </c>
      <c r="I1349" s="102" t="s">
        <v>2071</v>
      </c>
      <c r="J1349" s="83" t="s">
        <v>61</v>
      </c>
      <c r="K1349" s="83"/>
      <c r="L1349" s="84"/>
    </row>
    <row r="1350" spans="1:12">
      <c r="A1350" s="19" t="s">
        <v>106</v>
      </c>
      <c r="B1350" s="20" t="s">
        <v>4798</v>
      </c>
      <c r="C1350" s="77" t="s">
        <v>108</v>
      </c>
      <c r="D1350" s="77" t="s">
        <v>4799</v>
      </c>
      <c r="E1350" s="77" t="s">
        <v>4800</v>
      </c>
      <c r="F1350" s="77" t="s">
        <v>40</v>
      </c>
      <c r="G1350" s="22" t="s">
        <v>4801</v>
      </c>
      <c r="H1350" s="22" t="s">
        <v>4802</v>
      </c>
      <c r="I1350" s="103" t="s">
        <v>111</v>
      </c>
      <c r="J1350" s="79" t="s">
        <v>72</v>
      </c>
      <c r="K1350" s="79"/>
      <c r="L1350" s="80"/>
    </row>
    <row r="1351" spans="1:12">
      <c r="A1351" s="1" t="s">
        <v>20</v>
      </c>
      <c r="B1351" s="14" t="s">
        <v>4803</v>
      </c>
      <c r="C1351" s="81" t="s">
        <v>21</v>
      </c>
      <c r="D1351" s="81" t="s">
        <v>4804</v>
      </c>
      <c r="E1351" s="81" t="s">
        <v>4805</v>
      </c>
      <c r="F1351" s="81" t="s">
        <v>40</v>
      </c>
      <c r="G1351" s="16" t="s">
        <v>4801</v>
      </c>
      <c r="H1351" s="16" t="s">
        <v>4801</v>
      </c>
      <c r="I1351" s="102" t="s">
        <v>1052</v>
      </c>
      <c r="J1351" s="83" t="s">
        <v>72</v>
      </c>
      <c r="K1351" s="83"/>
      <c r="L1351" s="84"/>
    </row>
    <row r="1352" spans="1:12">
      <c r="A1352" s="19" t="s">
        <v>20</v>
      </c>
      <c r="B1352" s="20" t="s">
        <v>4806</v>
      </c>
      <c r="C1352" s="77" t="s">
        <v>21</v>
      </c>
      <c r="D1352" s="77" t="s">
        <v>4807</v>
      </c>
      <c r="E1352" s="77" t="s">
        <v>4805</v>
      </c>
      <c r="F1352" s="77" t="s">
        <v>40</v>
      </c>
      <c r="G1352" s="22" t="s">
        <v>4801</v>
      </c>
      <c r="H1352" s="22" t="s">
        <v>4801</v>
      </c>
      <c r="I1352" s="103" t="s">
        <v>1052</v>
      </c>
      <c r="J1352" s="79" t="s">
        <v>72</v>
      </c>
      <c r="K1352" s="79"/>
      <c r="L1352" s="80"/>
    </row>
    <row r="1353" spans="1:12">
      <c r="A1353" s="1" t="s">
        <v>106</v>
      </c>
      <c r="B1353" s="34" t="s">
        <v>4808</v>
      </c>
      <c r="C1353" s="53" t="s">
        <v>108</v>
      </c>
      <c r="D1353" s="15" t="s">
        <v>2838</v>
      </c>
      <c r="E1353" s="15" t="s">
        <v>2839</v>
      </c>
      <c r="F1353" s="53" t="s">
        <v>40</v>
      </c>
      <c r="G1353" s="16" t="s">
        <v>4801</v>
      </c>
      <c r="H1353" s="16" t="s">
        <v>4801</v>
      </c>
      <c r="I1353" s="102" t="s">
        <v>32</v>
      </c>
      <c r="J1353" s="59" t="s">
        <v>72</v>
      </c>
      <c r="K1353" s="59"/>
      <c r="L1353" s="60"/>
    </row>
    <row r="1354" spans="1:12">
      <c r="A1354" s="19" t="s">
        <v>20</v>
      </c>
      <c r="B1354" s="30" t="s">
        <v>4809</v>
      </c>
      <c r="C1354" s="61" t="s">
        <v>13</v>
      </c>
      <c r="D1354" s="21" t="s">
        <v>4810</v>
      </c>
      <c r="E1354" s="21" t="s">
        <v>4811</v>
      </c>
      <c r="F1354" s="61" t="s">
        <v>40</v>
      </c>
      <c r="G1354" s="22" t="s">
        <v>4812</v>
      </c>
      <c r="H1354" s="22" t="s">
        <v>4813</v>
      </c>
      <c r="I1354" s="103" t="s">
        <v>4814</v>
      </c>
      <c r="J1354" s="63" t="s">
        <v>61</v>
      </c>
      <c r="K1354" s="63"/>
      <c r="L1354" s="64"/>
    </row>
    <row r="1355" spans="1:12">
      <c r="A1355" s="1" t="s">
        <v>106</v>
      </c>
      <c r="B1355" s="14" t="s">
        <v>4815</v>
      </c>
      <c r="C1355" s="81" t="s">
        <v>108</v>
      </c>
      <c r="D1355" s="81" t="s">
        <v>4816</v>
      </c>
      <c r="E1355" s="81" t="s">
        <v>4817</v>
      </c>
      <c r="F1355" s="81" t="s">
        <v>40</v>
      </c>
      <c r="G1355" s="16" t="s">
        <v>4818</v>
      </c>
      <c r="H1355" s="16" t="s">
        <v>4819</v>
      </c>
      <c r="I1355" s="102" t="s">
        <v>1470</v>
      </c>
      <c r="J1355" s="83" t="s">
        <v>61</v>
      </c>
      <c r="K1355" s="83"/>
      <c r="L1355" s="84"/>
    </row>
    <row r="1356" spans="1:12">
      <c r="A1356" s="19" t="s">
        <v>106</v>
      </c>
      <c r="B1356" s="20" t="s">
        <v>4820</v>
      </c>
      <c r="C1356" s="77" t="s">
        <v>333</v>
      </c>
      <c r="D1356" s="77" t="s">
        <v>4821</v>
      </c>
      <c r="E1356" s="77" t="s">
        <v>4822</v>
      </c>
      <c r="F1356" s="77" t="s">
        <v>40</v>
      </c>
      <c r="G1356" s="22" t="s">
        <v>4823</v>
      </c>
      <c r="H1356" s="22" t="s">
        <v>4823</v>
      </c>
      <c r="I1356" s="103" t="s">
        <v>346</v>
      </c>
      <c r="J1356" s="79" t="s">
        <v>72</v>
      </c>
      <c r="K1356" s="79"/>
      <c r="L1356" s="80"/>
    </row>
    <row r="1357" spans="1:12">
      <c r="A1357" s="1" t="s">
        <v>106</v>
      </c>
      <c r="B1357" s="14" t="s">
        <v>4824</v>
      </c>
      <c r="C1357" s="81" t="s">
        <v>108</v>
      </c>
      <c r="D1357" s="81" t="s">
        <v>2838</v>
      </c>
      <c r="E1357" s="81" t="s">
        <v>2839</v>
      </c>
      <c r="F1357" s="81" t="s">
        <v>40</v>
      </c>
      <c r="G1357" s="16" t="s">
        <v>4823</v>
      </c>
      <c r="H1357" s="16" t="s">
        <v>4823</v>
      </c>
      <c r="I1357" s="102" t="s">
        <v>32</v>
      </c>
      <c r="J1357" s="83" t="s">
        <v>72</v>
      </c>
      <c r="K1357" s="83"/>
      <c r="L1357" s="84"/>
    </row>
    <row r="1358" spans="1:12">
      <c r="A1358" s="19" t="s">
        <v>20</v>
      </c>
      <c r="B1358" s="20" t="s">
        <v>4825</v>
      </c>
      <c r="C1358" s="77" t="s">
        <v>49</v>
      </c>
      <c r="D1358" s="77" t="s">
        <v>1391</v>
      </c>
      <c r="E1358" s="77" t="s">
        <v>2839</v>
      </c>
      <c r="F1358" s="77" t="s">
        <v>40</v>
      </c>
      <c r="G1358" s="22" t="s">
        <v>4823</v>
      </c>
      <c r="H1358" s="22" t="s">
        <v>4823</v>
      </c>
      <c r="I1358" s="103" t="s">
        <v>32</v>
      </c>
      <c r="J1358" s="79" t="s">
        <v>72</v>
      </c>
      <c r="K1358" s="79"/>
      <c r="L1358" s="80"/>
    </row>
    <row r="1359" spans="1:12">
      <c r="A1359" s="1" t="s">
        <v>20</v>
      </c>
      <c r="B1359" s="14" t="s">
        <v>4826</v>
      </c>
      <c r="C1359" s="81" t="s">
        <v>13</v>
      </c>
      <c r="D1359" s="81" t="s">
        <v>4827</v>
      </c>
      <c r="E1359" s="81" t="s">
        <v>4828</v>
      </c>
      <c r="F1359" s="81" t="s">
        <v>40</v>
      </c>
      <c r="G1359" s="16" t="s">
        <v>4823</v>
      </c>
      <c r="H1359" s="16" t="s">
        <v>4823</v>
      </c>
      <c r="I1359" s="102" t="s">
        <v>4829</v>
      </c>
      <c r="J1359" s="83" t="s">
        <v>72</v>
      </c>
      <c r="K1359" s="83"/>
      <c r="L1359" s="84"/>
    </row>
    <row r="1360" spans="1:12">
      <c r="A1360" s="19" t="s">
        <v>20</v>
      </c>
      <c r="B1360" s="20" t="s">
        <v>4830</v>
      </c>
      <c r="C1360" s="77" t="s">
        <v>21</v>
      </c>
      <c r="D1360" s="21" t="s">
        <v>4831</v>
      </c>
      <c r="E1360" s="77" t="s">
        <v>4832</v>
      </c>
      <c r="F1360" s="77" t="s">
        <v>40</v>
      </c>
      <c r="G1360" s="22" t="s">
        <v>4833</v>
      </c>
      <c r="H1360" s="22" t="s">
        <v>4834</v>
      </c>
      <c r="I1360" s="103" t="s">
        <v>1052</v>
      </c>
      <c r="J1360" s="79" t="s">
        <v>61</v>
      </c>
      <c r="K1360" s="79"/>
      <c r="L1360" s="80"/>
    </row>
    <row r="1361" spans="1:12">
      <c r="A1361" s="1" t="s">
        <v>20</v>
      </c>
      <c r="B1361" s="14" t="s">
        <v>4835</v>
      </c>
      <c r="C1361" s="81" t="s">
        <v>21</v>
      </c>
      <c r="D1361" s="15" t="s">
        <v>4836</v>
      </c>
      <c r="E1361" s="81" t="s">
        <v>4832</v>
      </c>
      <c r="F1361" s="81" t="s">
        <v>40</v>
      </c>
      <c r="G1361" s="16" t="s">
        <v>4837</v>
      </c>
      <c r="H1361" s="16" t="s">
        <v>4838</v>
      </c>
      <c r="I1361" s="102" t="s">
        <v>1052</v>
      </c>
      <c r="J1361" s="83" t="s">
        <v>61</v>
      </c>
      <c r="K1361" s="83"/>
      <c r="L1361" s="84"/>
    </row>
    <row r="1362" spans="1:12">
      <c r="A1362" s="19" t="s">
        <v>20</v>
      </c>
      <c r="B1362" s="20" t="s">
        <v>4839</v>
      </c>
      <c r="C1362" s="77" t="s">
        <v>21</v>
      </c>
      <c r="D1362" s="21" t="s">
        <v>4840</v>
      </c>
      <c r="E1362" s="77" t="s">
        <v>4832</v>
      </c>
      <c r="F1362" s="77" t="s">
        <v>40</v>
      </c>
      <c r="G1362" s="22" t="s">
        <v>4841</v>
      </c>
      <c r="H1362" s="22" t="s">
        <v>4842</v>
      </c>
      <c r="I1362" s="103" t="s">
        <v>4843</v>
      </c>
      <c r="J1362" s="79" t="s">
        <v>61</v>
      </c>
      <c r="K1362" s="79"/>
      <c r="L1362" s="80"/>
    </row>
    <row r="1363" spans="1:12">
      <c r="A1363" s="1" t="s">
        <v>20</v>
      </c>
      <c r="B1363" s="14" t="s">
        <v>4844</v>
      </c>
      <c r="C1363" s="81" t="s">
        <v>21</v>
      </c>
      <c r="D1363" s="15" t="s">
        <v>4845</v>
      </c>
      <c r="E1363" s="15" t="s">
        <v>4846</v>
      </c>
      <c r="F1363" s="81" t="s">
        <v>40</v>
      </c>
      <c r="G1363" s="16" t="s">
        <v>4847</v>
      </c>
      <c r="H1363" s="16" t="s">
        <v>4848</v>
      </c>
      <c r="I1363" s="102" t="s">
        <v>4843</v>
      </c>
      <c r="J1363" s="83" t="s">
        <v>61</v>
      </c>
      <c r="K1363" s="83"/>
      <c r="L1363" s="84"/>
    </row>
    <row r="1364" spans="1:12">
      <c r="A1364" s="19" t="s">
        <v>106</v>
      </c>
      <c r="B1364" s="20" t="s">
        <v>4849</v>
      </c>
      <c r="C1364" s="77" t="s">
        <v>108</v>
      </c>
      <c r="D1364" s="21" t="s">
        <v>4850</v>
      </c>
      <c r="E1364" s="21" t="s">
        <v>4851</v>
      </c>
      <c r="F1364" s="77" t="s">
        <v>40</v>
      </c>
      <c r="G1364" s="22" t="s">
        <v>4852</v>
      </c>
      <c r="H1364" s="22" t="s">
        <v>4853</v>
      </c>
      <c r="I1364" s="103" t="s">
        <v>1470</v>
      </c>
      <c r="J1364" s="79" t="s">
        <v>61</v>
      </c>
      <c r="K1364" s="79"/>
      <c r="L1364" s="80"/>
    </row>
    <row r="1365" spans="1:12">
      <c r="A1365" s="1" t="s">
        <v>95</v>
      </c>
      <c r="B1365" s="14" t="s">
        <v>4854</v>
      </c>
      <c r="C1365" s="81" t="s">
        <v>118</v>
      </c>
      <c r="D1365" s="15" t="s">
        <v>4855</v>
      </c>
      <c r="E1365" s="15" t="s">
        <v>4856</v>
      </c>
      <c r="F1365" s="81" t="s">
        <v>40</v>
      </c>
      <c r="G1365" s="16" t="s">
        <v>4857</v>
      </c>
      <c r="H1365" s="16" t="s">
        <v>4858</v>
      </c>
      <c r="I1365" s="102" t="s">
        <v>4859</v>
      </c>
      <c r="J1365" s="83" t="s">
        <v>61</v>
      </c>
      <c r="K1365" s="83"/>
      <c r="L1365" s="84"/>
    </row>
    <row r="1366" spans="1:12">
      <c r="A1366" s="19" t="s">
        <v>106</v>
      </c>
      <c r="B1366" s="20" t="s">
        <v>4860</v>
      </c>
      <c r="C1366" s="77" t="s">
        <v>108</v>
      </c>
      <c r="D1366" s="21" t="s">
        <v>4861</v>
      </c>
      <c r="E1366" s="21" t="s">
        <v>4862</v>
      </c>
      <c r="F1366" s="77" t="s">
        <v>40</v>
      </c>
      <c r="G1366" s="22" t="s">
        <v>4863</v>
      </c>
      <c r="H1366" s="22" t="s">
        <v>4864</v>
      </c>
      <c r="I1366" s="103" t="s">
        <v>1470</v>
      </c>
      <c r="J1366" s="79" t="s">
        <v>61</v>
      </c>
      <c r="K1366" s="79"/>
      <c r="L1366" s="80"/>
    </row>
    <row r="1367" spans="1:12">
      <c r="A1367" s="1" t="s">
        <v>20</v>
      </c>
      <c r="B1367" s="14" t="s">
        <v>4865</v>
      </c>
      <c r="C1367" s="81" t="s">
        <v>21</v>
      </c>
      <c r="D1367" s="15" t="s">
        <v>4866</v>
      </c>
      <c r="E1367" s="15" t="s">
        <v>4867</v>
      </c>
      <c r="F1367" s="81" t="s">
        <v>40</v>
      </c>
      <c r="G1367" s="16" t="s">
        <v>4868</v>
      </c>
      <c r="H1367" s="16" t="s">
        <v>4869</v>
      </c>
      <c r="I1367" s="102" t="s">
        <v>1947</v>
      </c>
      <c r="J1367" s="83" t="s">
        <v>61</v>
      </c>
      <c r="K1367" s="83"/>
      <c r="L1367" s="84"/>
    </row>
    <row r="1368" spans="1:12">
      <c r="A1368" s="19" t="s">
        <v>20</v>
      </c>
      <c r="B1368" s="20" t="s">
        <v>4870</v>
      </c>
      <c r="C1368" s="77" t="s">
        <v>13</v>
      </c>
      <c r="D1368" s="21" t="s">
        <v>4871</v>
      </c>
      <c r="E1368" s="21" t="s">
        <v>4872</v>
      </c>
      <c r="F1368" s="77" t="s">
        <v>40</v>
      </c>
      <c r="G1368" s="22" t="s">
        <v>4873</v>
      </c>
      <c r="H1368" s="22" t="s">
        <v>4874</v>
      </c>
      <c r="I1368" s="103" t="s">
        <v>4875</v>
      </c>
      <c r="J1368" s="79" t="s">
        <v>61</v>
      </c>
      <c r="K1368" s="79"/>
      <c r="L1368" s="80"/>
    </row>
    <row r="1369" spans="1:12">
      <c r="A1369" s="1" t="s">
        <v>20</v>
      </c>
      <c r="B1369" s="14" t="s">
        <v>4876</v>
      </c>
      <c r="C1369" s="81" t="s">
        <v>49</v>
      </c>
      <c r="D1369" s="15" t="s">
        <v>4877</v>
      </c>
      <c r="E1369" s="15" t="s">
        <v>4878</v>
      </c>
      <c r="F1369" s="81" t="s">
        <v>40</v>
      </c>
      <c r="G1369" s="16" t="s">
        <v>4879</v>
      </c>
      <c r="H1369" s="16" t="s">
        <v>4880</v>
      </c>
      <c r="I1369" s="102" t="s">
        <v>4881</v>
      </c>
      <c r="J1369" s="83" t="s">
        <v>61</v>
      </c>
      <c r="K1369" s="83"/>
      <c r="L1369" s="84"/>
    </row>
    <row r="1370" spans="1:12">
      <c r="A1370" s="19" t="s">
        <v>20</v>
      </c>
      <c r="B1370" s="20" t="s">
        <v>4882</v>
      </c>
      <c r="C1370" s="77" t="s">
        <v>21</v>
      </c>
      <c r="D1370" s="21" t="s">
        <v>4883</v>
      </c>
      <c r="E1370" s="21" t="s">
        <v>4884</v>
      </c>
      <c r="F1370" s="77" t="s">
        <v>40</v>
      </c>
      <c r="G1370" s="22" t="s">
        <v>4885</v>
      </c>
      <c r="H1370" s="22" t="s">
        <v>4886</v>
      </c>
      <c r="I1370" s="103" t="s">
        <v>1947</v>
      </c>
      <c r="J1370" s="79" t="s">
        <v>61</v>
      </c>
      <c r="K1370" s="79"/>
      <c r="L1370" s="80"/>
    </row>
    <row r="1371" spans="1:12">
      <c r="A1371" s="1" t="s">
        <v>20</v>
      </c>
      <c r="B1371" s="14" t="s">
        <v>4887</v>
      </c>
      <c r="C1371" s="81" t="s">
        <v>21</v>
      </c>
      <c r="D1371" s="15" t="s">
        <v>4888</v>
      </c>
      <c r="E1371" s="15" t="s">
        <v>4889</v>
      </c>
      <c r="F1371" s="81" t="s">
        <v>40</v>
      </c>
      <c r="G1371" s="16" t="s">
        <v>4890</v>
      </c>
      <c r="H1371" s="16" t="s">
        <v>4891</v>
      </c>
      <c r="I1371" s="102" t="s">
        <v>1947</v>
      </c>
      <c r="J1371" s="83" t="s">
        <v>61</v>
      </c>
      <c r="K1371" s="83"/>
      <c r="L1371" s="84"/>
    </row>
    <row r="1372" spans="1:12">
      <c r="A1372" s="19" t="s">
        <v>95</v>
      </c>
      <c r="B1372" s="20" t="s">
        <v>4892</v>
      </c>
      <c r="C1372" s="77" t="s">
        <v>113</v>
      </c>
      <c r="D1372" s="21" t="s">
        <v>4893</v>
      </c>
      <c r="E1372" s="21" t="s">
        <v>4894</v>
      </c>
      <c r="F1372" s="77" t="s">
        <v>40</v>
      </c>
      <c r="G1372" s="22" t="s">
        <v>4895</v>
      </c>
      <c r="H1372" s="22" t="s">
        <v>4896</v>
      </c>
      <c r="I1372" s="103" t="s">
        <v>2541</v>
      </c>
      <c r="J1372" s="79" t="s">
        <v>61</v>
      </c>
      <c r="K1372" s="79"/>
      <c r="L1372" s="80"/>
    </row>
    <row r="1373" spans="1:12">
      <c r="A1373" s="1" t="s">
        <v>20</v>
      </c>
      <c r="B1373" s="14" t="s">
        <v>4897</v>
      </c>
      <c r="C1373" s="81" t="s">
        <v>21</v>
      </c>
      <c r="D1373" s="15" t="s">
        <v>4898</v>
      </c>
      <c r="E1373" s="15" t="s">
        <v>4899</v>
      </c>
      <c r="F1373" s="81" t="s">
        <v>40</v>
      </c>
      <c r="G1373" s="16" t="s">
        <v>4900</v>
      </c>
      <c r="H1373" s="16" t="s">
        <v>4901</v>
      </c>
      <c r="I1373" s="102" t="s">
        <v>1947</v>
      </c>
      <c r="J1373" s="83" t="s">
        <v>61</v>
      </c>
      <c r="K1373" s="83"/>
      <c r="L1373" s="84"/>
    </row>
    <row r="1374" spans="1:12">
      <c r="A1374" s="19" t="s">
        <v>95</v>
      </c>
      <c r="B1374" s="20" t="s">
        <v>4902</v>
      </c>
      <c r="C1374" s="77" t="s">
        <v>118</v>
      </c>
      <c r="D1374" s="21" t="s">
        <v>4903</v>
      </c>
      <c r="E1374" s="21" t="s">
        <v>4904</v>
      </c>
      <c r="F1374" s="77" t="s">
        <v>40</v>
      </c>
      <c r="G1374" s="22" t="s">
        <v>4905</v>
      </c>
      <c r="H1374" s="22" t="s">
        <v>4906</v>
      </c>
      <c r="I1374" s="103" t="s">
        <v>4907</v>
      </c>
      <c r="J1374" s="79" t="s">
        <v>61</v>
      </c>
      <c r="K1374" s="79"/>
      <c r="L1374" s="80"/>
    </row>
    <row r="1375" spans="1:12">
      <c r="A1375" s="1" t="s">
        <v>20</v>
      </c>
      <c r="B1375" s="14" t="s">
        <v>4908</v>
      </c>
      <c r="C1375" s="81" t="s">
        <v>21</v>
      </c>
      <c r="D1375" s="15" t="s">
        <v>4909</v>
      </c>
      <c r="E1375" s="15" t="s">
        <v>4910</v>
      </c>
      <c r="F1375" s="81" t="s">
        <v>40</v>
      </c>
      <c r="G1375" s="16" t="s">
        <v>4911</v>
      </c>
      <c r="H1375" s="16" t="s">
        <v>4912</v>
      </c>
      <c r="I1375" s="102" t="s">
        <v>1947</v>
      </c>
      <c r="J1375" s="83" t="s">
        <v>61</v>
      </c>
      <c r="K1375" s="83"/>
      <c r="L1375" s="84"/>
    </row>
    <row r="1376" spans="1:12">
      <c r="A1376" s="19" t="s">
        <v>95</v>
      </c>
      <c r="B1376" s="20" t="s">
        <v>4913</v>
      </c>
      <c r="C1376" s="77" t="s">
        <v>97</v>
      </c>
      <c r="D1376" s="77" t="s">
        <v>4914</v>
      </c>
      <c r="E1376" s="21" t="s">
        <v>4915</v>
      </c>
      <c r="F1376" s="77" t="s">
        <v>40</v>
      </c>
      <c r="G1376" s="22" t="s">
        <v>4916</v>
      </c>
      <c r="H1376" s="22" t="s">
        <v>4917</v>
      </c>
      <c r="I1376" s="103" t="s">
        <v>2544</v>
      </c>
      <c r="J1376" s="79" t="s">
        <v>61</v>
      </c>
      <c r="K1376" s="79"/>
      <c r="L1376" s="80"/>
    </row>
    <row r="1377" spans="1:12">
      <c r="A1377" s="1" t="s">
        <v>106</v>
      </c>
      <c r="B1377" s="14" t="s">
        <v>4918</v>
      </c>
      <c r="C1377" s="81" t="s">
        <v>108</v>
      </c>
      <c r="D1377" s="81" t="s">
        <v>4919</v>
      </c>
      <c r="E1377" s="81" t="s">
        <v>4920</v>
      </c>
      <c r="F1377" s="81" t="s">
        <v>40</v>
      </c>
      <c r="G1377" s="16" t="s">
        <v>4921</v>
      </c>
      <c r="H1377" s="16" t="s">
        <v>4922</v>
      </c>
      <c r="I1377" s="102" t="s">
        <v>4923</v>
      </c>
      <c r="J1377" s="83" t="s">
        <v>88</v>
      </c>
      <c r="K1377" s="83"/>
      <c r="L1377" s="84"/>
    </row>
    <row r="1378" spans="1:12">
      <c r="A1378" s="19" t="s">
        <v>106</v>
      </c>
      <c r="B1378" s="20" t="s">
        <v>4924</v>
      </c>
      <c r="C1378" s="77" t="s">
        <v>333</v>
      </c>
      <c r="D1378" s="77" t="s">
        <v>4925</v>
      </c>
      <c r="E1378" s="77" t="s">
        <v>4926</v>
      </c>
      <c r="F1378" s="77" t="s">
        <v>40</v>
      </c>
      <c r="G1378" s="22" t="s">
        <v>4927</v>
      </c>
      <c r="H1378" s="22" t="s">
        <v>4928</v>
      </c>
      <c r="I1378" s="103" t="s">
        <v>2351</v>
      </c>
      <c r="J1378" s="79" t="s">
        <v>88</v>
      </c>
      <c r="K1378" s="79"/>
      <c r="L1378" s="80"/>
    </row>
    <row r="1379" spans="1:12">
      <c r="A1379" s="1" t="s">
        <v>20</v>
      </c>
      <c r="B1379" s="14" t="s">
        <v>4929</v>
      </c>
      <c r="C1379" s="81" t="s">
        <v>13</v>
      </c>
      <c r="D1379" s="81" t="s">
        <v>4930</v>
      </c>
      <c r="E1379" s="81" t="s">
        <v>4931</v>
      </c>
      <c r="F1379" s="81" t="s">
        <v>40</v>
      </c>
      <c r="G1379" s="16" t="s">
        <v>4932</v>
      </c>
      <c r="H1379" s="16" t="s">
        <v>4922</v>
      </c>
      <c r="I1379" s="102" t="s">
        <v>17</v>
      </c>
      <c r="J1379" s="83" t="s">
        <v>88</v>
      </c>
      <c r="K1379" s="83"/>
      <c r="L1379" s="84"/>
    </row>
    <row r="1380" spans="1:12">
      <c r="A1380" s="19" t="s">
        <v>106</v>
      </c>
      <c r="B1380" s="20" t="s">
        <v>4933</v>
      </c>
      <c r="C1380" s="77" t="s">
        <v>108</v>
      </c>
      <c r="D1380" s="77" t="s">
        <v>4934</v>
      </c>
      <c r="E1380" s="77" t="s">
        <v>4935</v>
      </c>
      <c r="F1380" s="77" t="s">
        <v>40</v>
      </c>
      <c r="G1380" s="22" t="s">
        <v>4936</v>
      </c>
      <c r="H1380" s="22" t="s">
        <v>4937</v>
      </c>
      <c r="I1380" s="103" t="s">
        <v>3932</v>
      </c>
      <c r="J1380" s="79" t="s">
        <v>88</v>
      </c>
      <c r="K1380" s="79" t="s">
        <v>94</v>
      </c>
      <c r="L1380" s="80"/>
    </row>
    <row r="1381" spans="1:12">
      <c r="A1381" s="1" t="s">
        <v>95</v>
      </c>
      <c r="B1381" s="14" t="s">
        <v>4938</v>
      </c>
      <c r="C1381" s="81" t="s">
        <v>118</v>
      </c>
      <c r="D1381" s="81" t="s">
        <v>4939</v>
      </c>
      <c r="E1381" s="81" t="s">
        <v>4940</v>
      </c>
      <c r="F1381" s="81" t="s">
        <v>40</v>
      </c>
      <c r="G1381" s="16" t="s">
        <v>4941</v>
      </c>
      <c r="H1381" s="16" t="s">
        <v>4942</v>
      </c>
      <c r="I1381" s="102" t="s">
        <v>4943</v>
      </c>
      <c r="J1381" s="83" t="s">
        <v>94</v>
      </c>
      <c r="K1381" s="83"/>
      <c r="L1381" s="84"/>
    </row>
    <row r="1382" spans="1:12">
      <c r="A1382" s="19" t="s">
        <v>106</v>
      </c>
      <c r="B1382" s="20" t="s">
        <v>4944</v>
      </c>
      <c r="C1382" s="77" t="s">
        <v>108</v>
      </c>
      <c r="D1382" s="77" t="s">
        <v>4945</v>
      </c>
      <c r="E1382" s="61" t="s">
        <v>4946</v>
      </c>
      <c r="F1382" s="77" t="s">
        <v>40</v>
      </c>
      <c r="G1382" s="22" t="s">
        <v>4947</v>
      </c>
      <c r="H1382" s="22" t="s">
        <v>4948</v>
      </c>
      <c r="I1382" s="103" t="s">
        <v>3041</v>
      </c>
      <c r="J1382" s="79" t="s">
        <v>88</v>
      </c>
      <c r="K1382" s="79"/>
      <c r="L1382" s="80"/>
    </row>
    <row r="1383" spans="1:12">
      <c r="A1383" s="1" t="s">
        <v>106</v>
      </c>
      <c r="B1383" s="14" t="s">
        <v>4949</v>
      </c>
      <c r="C1383" s="81" t="s">
        <v>333</v>
      </c>
      <c r="D1383" s="81" t="s">
        <v>4950</v>
      </c>
      <c r="E1383" s="81" t="s">
        <v>4951</v>
      </c>
      <c r="F1383" s="81" t="s">
        <v>40</v>
      </c>
      <c r="G1383" s="16" t="s">
        <v>4952</v>
      </c>
      <c r="H1383" s="16" t="s">
        <v>4953</v>
      </c>
      <c r="I1383" s="102" t="s">
        <v>346</v>
      </c>
      <c r="J1383" s="83" t="s">
        <v>88</v>
      </c>
      <c r="K1383" s="83"/>
      <c r="L1383" s="84"/>
    </row>
    <row r="1384" spans="1:12">
      <c r="A1384" s="19" t="s">
        <v>95</v>
      </c>
      <c r="B1384" s="20" t="s">
        <v>4954</v>
      </c>
      <c r="C1384" s="77" t="s">
        <v>118</v>
      </c>
      <c r="D1384" s="77" t="s">
        <v>4955</v>
      </c>
      <c r="E1384" s="77"/>
      <c r="F1384" s="77" t="s">
        <v>308</v>
      </c>
      <c r="G1384" s="22" t="s">
        <v>4956</v>
      </c>
      <c r="H1384" s="22"/>
      <c r="I1384" s="103" t="s">
        <v>1241</v>
      </c>
      <c r="J1384" s="79" t="s">
        <v>88</v>
      </c>
      <c r="K1384" s="79"/>
      <c r="L1384" s="80"/>
    </row>
    <row r="1385" spans="1:12">
      <c r="A1385" s="1" t="s">
        <v>20</v>
      </c>
      <c r="B1385" s="14" t="s">
        <v>4957</v>
      </c>
      <c r="C1385" s="81" t="s">
        <v>13</v>
      </c>
      <c r="D1385" s="81" t="s">
        <v>4197</v>
      </c>
      <c r="E1385" s="81" t="s">
        <v>4958</v>
      </c>
      <c r="F1385" s="81" t="s">
        <v>40</v>
      </c>
      <c r="G1385" s="16" t="s">
        <v>4959</v>
      </c>
      <c r="H1385" s="16" t="s">
        <v>4960</v>
      </c>
      <c r="I1385" s="102" t="s">
        <v>17</v>
      </c>
      <c r="J1385" s="83" t="s">
        <v>88</v>
      </c>
      <c r="K1385" s="83" t="s">
        <v>94</v>
      </c>
      <c r="L1385" s="84"/>
    </row>
    <row r="1386" spans="1:12">
      <c r="A1386" s="19" t="s">
        <v>106</v>
      </c>
      <c r="B1386" s="20" t="s">
        <v>4961</v>
      </c>
      <c r="C1386" s="77" t="s">
        <v>78</v>
      </c>
      <c r="D1386" s="77" t="s">
        <v>4962</v>
      </c>
      <c r="E1386" s="77" t="s">
        <v>4963</v>
      </c>
      <c r="F1386" s="77" t="s">
        <v>40</v>
      </c>
      <c r="G1386" s="22" t="s">
        <v>4964</v>
      </c>
      <c r="H1386" s="22" t="s">
        <v>4965</v>
      </c>
      <c r="I1386" s="103" t="s">
        <v>258</v>
      </c>
      <c r="J1386" s="79" t="s">
        <v>88</v>
      </c>
      <c r="K1386" s="79"/>
      <c r="L1386" s="80"/>
    </row>
    <row r="1387" spans="1:12">
      <c r="A1387" s="1" t="s">
        <v>20</v>
      </c>
      <c r="B1387" s="14" t="s">
        <v>4966</v>
      </c>
      <c r="C1387" s="81" t="s">
        <v>13</v>
      </c>
      <c r="D1387" s="81" t="s">
        <v>4967</v>
      </c>
      <c r="E1387" s="81" t="s">
        <v>4968</v>
      </c>
      <c r="F1387" s="81" t="s">
        <v>40</v>
      </c>
      <c r="G1387" s="16" t="s">
        <v>4969</v>
      </c>
      <c r="H1387" s="16" t="s">
        <v>4960</v>
      </c>
      <c r="I1387" s="102" t="s">
        <v>17</v>
      </c>
      <c r="J1387" s="83" t="s">
        <v>88</v>
      </c>
      <c r="K1387" s="83" t="s">
        <v>94</v>
      </c>
      <c r="L1387" s="84"/>
    </row>
    <row r="1388" spans="1:12">
      <c r="A1388" s="19" t="s">
        <v>20</v>
      </c>
      <c r="B1388" s="20" t="s">
        <v>4970</v>
      </c>
      <c r="C1388" s="77" t="s">
        <v>13</v>
      </c>
      <c r="D1388" s="77" t="s">
        <v>4971</v>
      </c>
      <c r="E1388" s="61"/>
      <c r="F1388" s="77" t="s">
        <v>214</v>
      </c>
      <c r="G1388" s="22" t="s">
        <v>4972</v>
      </c>
      <c r="H1388" s="22"/>
      <c r="I1388" s="103" t="s">
        <v>3014</v>
      </c>
      <c r="J1388" s="79" t="s">
        <v>88</v>
      </c>
      <c r="K1388" s="79" t="s">
        <v>94</v>
      </c>
      <c r="L1388" s="80"/>
    </row>
    <row r="1389" spans="1:12">
      <c r="A1389" s="1" t="s">
        <v>106</v>
      </c>
      <c r="B1389" s="14" t="s">
        <v>4973</v>
      </c>
      <c r="C1389" s="81" t="s">
        <v>108</v>
      </c>
      <c r="D1389" s="81" t="s">
        <v>4974</v>
      </c>
      <c r="E1389" s="81" t="s">
        <v>4975</v>
      </c>
      <c r="F1389" s="81" t="s">
        <v>40</v>
      </c>
      <c r="G1389" s="16" t="s">
        <v>4976</v>
      </c>
      <c r="H1389" s="16" t="s">
        <v>4977</v>
      </c>
      <c r="I1389" s="102" t="s">
        <v>1373</v>
      </c>
      <c r="J1389" s="83" t="s">
        <v>94</v>
      </c>
      <c r="K1389" s="83"/>
      <c r="L1389" s="84"/>
    </row>
    <row r="1390" spans="1:12">
      <c r="A1390" s="19" t="s">
        <v>20</v>
      </c>
      <c r="B1390" s="30" t="s">
        <v>4978</v>
      </c>
      <c r="C1390" s="77" t="s">
        <v>21</v>
      </c>
      <c r="D1390" s="77" t="s">
        <v>4979</v>
      </c>
      <c r="E1390" s="77" t="s">
        <v>4980</v>
      </c>
      <c r="F1390" s="77" t="s">
        <v>40</v>
      </c>
      <c r="G1390" s="22" t="s">
        <v>4981</v>
      </c>
      <c r="H1390" s="22" t="s">
        <v>4982</v>
      </c>
      <c r="I1390" s="103" t="s">
        <v>1644</v>
      </c>
      <c r="J1390" s="79" t="s">
        <v>94</v>
      </c>
      <c r="K1390" s="79"/>
      <c r="L1390" s="80"/>
    </row>
    <row r="1391" spans="1:12">
      <c r="A1391" s="1" t="s">
        <v>106</v>
      </c>
      <c r="B1391" s="14" t="s">
        <v>4983</v>
      </c>
      <c r="C1391" s="81" t="s">
        <v>313</v>
      </c>
      <c r="D1391" s="81" t="s">
        <v>4984</v>
      </c>
      <c r="E1391" s="53"/>
      <c r="F1391" s="81" t="s">
        <v>214</v>
      </c>
      <c r="G1391" s="16" t="s">
        <v>4985</v>
      </c>
      <c r="H1391" s="16"/>
      <c r="I1391" s="102" t="s">
        <v>32</v>
      </c>
      <c r="J1391" s="83" t="s">
        <v>94</v>
      </c>
      <c r="K1391" s="83" t="s">
        <v>88</v>
      </c>
      <c r="L1391" s="84"/>
    </row>
    <row r="1392" spans="1:12">
      <c r="A1392" s="19" t="s">
        <v>106</v>
      </c>
      <c r="B1392" s="20" t="s">
        <v>4986</v>
      </c>
      <c r="C1392" s="77" t="s">
        <v>108</v>
      </c>
      <c r="D1392" s="77" t="s">
        <v>4987</v>
      </c>
      <c r="E1392" s="77" t="s">
        <v>4988</v>
      </c>
      <c r="F1392" s="77" t="s">
        <v>40</v>
      </c>
      <c r="G1392" s="22" t="s">
        <v>4989</v>
      </c>
      <c r="H1392" s="22" t="s">
        <v>4990</v>
      </c>
      <c r="I1392" s="103" t="s">
        <v>1373</v>
      </c>
      <c r="J1392" s="79" t="s">
        <v>94</v>
      </c>
      <c r="K1392" s="79"/>
      <c r="L1392" s="80"/>
    </row>
    <row r="1393" spans="1:12">
      <c r="A1393" s="1" t="s">
        <v>106</v>
      </c>
      <c r="B1393" s="34" t="s">
        <v>4991</v>
      </c>
      <c r="C1393" s="53" t="s">
        <v>333</v>
      </c>
      <c r="D1393" s="53" t="s">
        <v>4992</v>
      </c>
      <c r="E1393" s="53"/>
      <c r="F1393" s="53" t="s">
        <v>214</v>
      </c>
      <c r="G1393" s="16" t="s">
        <v>4993</v>
      </c>
      <c r="H1393" s="16">
        <v>45323.636111111111</v>
      </c>
      <c r="I1393" s="102" t="s">
        <v>2646</v>
      </c>
      <c r="J1393" s="59" t="s">
        <v>94</v>
      </c>
      <c r="K1393" s="83" t="s">
        <v>88</v>
      </c>
      <c r="L1393" s="84"/>
    </row>
    <row r="1394" spans="1:12">
      <c r="A1394" s="19" t="s">
        <v>95</v>
      </c>
      <c r="B1394" s="20" t="s">
        <v>4994</v>
      </c>
      <c r="C1394" s="77" t="s">
        <v>97</v>
      </c>
      <c r="D1394" s="77" t="s">
        <v>4995</v>
      </c>
      <c r="E1394" s="77" t="s">
        <v>4996</v>
      </c>
      <c r="F1394" s="77" t="s">
        <v>40</v>
      </c>
      <c r="G1394" s="22" t="s">
        <v>4997</v>
      </c>
      <c r="H1394" s="22" t="s">
        <v>4998</v>
      </c>
      <c r="I1394" s="103" t="s">
        <v>991</v>
      </c>
      <c r="J1394" s="79" t="s">
        <v>88</v>
      </c>
      <c r="K1394" s="79"/>
      <c r="L1394" s="80"/>
    </row>
    <row r="1395" spans="1:12">
      <c r="A1395" s="1" t="s">
        <v>95</v>
      </c>
      <c r="B1395" s="14" t="s">
        <v>4999</v>
      </c>
      <c r="C1395" s="81" t="s">
        <v>97</v>
      </c>
      <c r="D1395" s="81" t="s">
        <v>5000</v>
      </c>
      <c r="E1395" s="81" t="s">
        <v>5001</v>
      </c>
      <c r="F1395" s="81" t="s">
        <v>40</v>
      </c>
      <c r="G1395" s="16" t="s">
        <v>5002</v>
      </c>
      <c r="H1395" s="16" t="s">
        <v>5003</v>
      </c>
      <c r="I1395" s="102" t="s">
        <v>991</v>
      </c>
      <c r="J1395" s="83" t="s">
        <v>88</v>
      </c>
      <c r="K1395" s="83"/>
      <c r="L1395" s="84"/>
    </row>
    <row r="1396" spans="1:12">
      <c r="A1396" s="19" t="s">
        <v>20</v>
      </c>
      <c r="B1396" s="20" t="s">
        <v>5004</v>
      </c>
      <c r="C1396" s="77" t="s">
        <v>13</v>
      </c>
      <c r="D1396" s="77" t="s">
        <v>5005</v>
      </c>
      <c r="E1396" s="77" t="s">
        <v>5006</v>
      </c>
      <c r="F1396" s="77" t="s">
        <v>40</v>
      </c>
      <c r="G1396" s="22" t="s">
        <v>5007</v>
      </c>
      <c r="H1396" s="22" t="s">
        <v>5008</v>
      </c>
      <c r="I1396" s="103" t="s">
        <v>5009</v>
      </c>
      <c r="J1396" s="79" t="s">
        <v>88</v>
      </c>
      <c r="K1396" s="79"/>
      <c r="L1396" s="80"/>
    </row>
    <row r="1397" spans="1:12">
      <c r="A1397" s="1" t="s">
        <v>106</v>
      </c>
      <c r="B1397" s="14" t="s">
        <v>5010</v>
      </c>
      <c r="C1397" s="81" t="s">
        <v>108</v>
      </c>
      <c r="D1397" s="81" t="s">
        <v>5011</v>
      </c>
      <c r="E1397" s="81" t="s">
        <v>5012</v>
      </c>
      <c r="F1397" s="81" t="s">
        <v>40</v>
      </c>
      <c r="G1397" s="16" t="s">
        <v>5013</v>
      </c>
      <c r="H1397" s="16" t="s">
        <v>5014</v>
      </c>
      <c r="I1397" s="102" t="s">
        <v>1373</v>
      </c>
      <c r="J1397" s="83" t="s">
        <v>94</v>
      </c>
      <c r="K1397" s="83"/>
      <c r="L1397" s="84"/>
    </row>
    <row r="1398" spans="1:12">
      <c r="A1398" s="19" t="s">
        <v>20</v>
      </c>
      <c r="B1398" s="20" t="s">
        <v>5015</v>
      </c>
      <c r="C1398" s="77" t="s">
        <v>13</v>
      </c>
      <c r="D1398" s="77" t="s">
        <v>5016</v>
      </c>
      <c r="E1398" s="77" t="s">
        <v>5017</v>
      </c>
      <c r="F1398" s="77" t="s">
        <v>40</v>
      </c>
      <c r="G1398" s="22" t="s">
        <v>5018</v>
      </c>
      <c r="H1398" s="22" t="s">
        <v>5019</v>
      </c>
      <c r="I1398" s="103" t="s">
        <v>5020</v>
      </c>
      <c r="J1398" s="79" t="s">
        <v>94</v>
      </c>
      <c r="K1398" s="79"/>
      <c r="L1398" s="80"/>
    </row>
    <row r="1399" spans="1:12">
      <c r="A1399" s="1" t="s">
        <v>106</v>
      </c>
      <c r="B1399" s="14" t="s">
        <v>5021</v>
      </c>
      <c r="C1399" s="81" t="s">
        <v>108</v>
      </c>
      <c r="D1399" s="81" t="s">
        <v>5022</v>
      </c>
      <c r="E1399" s="81" t="s">
        <v>5023</v>
      </c>
      <c r="F1399" s="81" t="s">
        <v>40</v>
      </c>
      <c r="G1399" s="16" t="s">
        <v>5024</v>
      </c>
      <c r="H1399" s="16" t="s">
        <v>5025</v>
      </c>
      <c r="I1399" s="102" t="s">
        <v>3041</v>
      </c>
      <c r="J1399" s="83" t="s">
        <v>88</v>
      </c>
      <c r="K1399" s="83"/>
      <c r="L1399" s="84"/>
    </row>
    <row r="1400" spans="1:12">
      <c r="A1400" s="19" t="s">
        <v>20</v>
      </c>
      <c r="B1400" s="20" t="s">
        <v>5026</v>
      </c>
      <c r="C1400" s="77" t="s">
        <v>13</v>
      </c>
      <c r="D1400" s="77" t="s">
        <v>5027</v>
      </c>
      <c r="E1400" s="77" t="s">
        <v>5028</v>
      </c>
      <c r="F1400" s="77" t="s">
        <v>40</v>
      </c>
      <c r="G1400" s="22" t="s">
        <v>5029</v>
      </c>
      <c r="H1400" s="22" t="s">
        <v>5030</v>
      </c>
      <c r="I1400" s="103" t="s">
        <v>17</v>
      </c>
      <c r="J1400" s="79" t="s">
        <v>88</v>
      </c>
      <c r="K1400" s="79"/>
      <c r="L1400" s="80"/>
    </row>
    <row r="1401" spans="1:12">
      <c r="A1401" s="1" t="s">
        <v>106</v>
      </c>
      <c r="B1401" s="14" t="s">
        <v>5031</v>
      </c>
      <c r="C1401" s="81" t="s">
        <v>78</v>
      </c>
      <c r="D1401" s="81" t="s">
        <v>5032</v>
      </c>
      <c r="E1401" s="81" t="s">
        <v>5033</v>
      </c>
      <c r="F1401" s="81" t="s">
        <v>40</v>
      </c>
      <c r="G1401" s="16" t="s">
        <v>5034</v>
      </c>
      <c r="H1401" s="16" t="s">
        <v>5035</v>
      </c>
      <c r="I1401" s="102" t="s">
        <v>258</v>
      </c>
      <c r="J1401" s="83" t="s">
        <v>88</v>
      </c>
      <c r="K1401" s="83"/>
      <c r="L1401" s="84"/>
    </row>
    <row r="1402" spans="1:12">
      <c r="A1402" s="19" t="s">
        <v>106</v>
      </c>
      <c r="B1402" s="20" t="s">
        <v>5036</v>
      </c>
      <c r="C1402" s="77" t="s">
        <v>108</v>
      </c>
      <c r="D1402" s="77" t="s">
        <v>5037</v>
      </c>
      <c r="E1402" s="77" t="s">
        <v>5038</v>
      </c>
      <c r="F1402" s="77" t="s">
        <v>40</v>
      </c>
      <c r="G1402" s="22" t="s">
        <v>5039</v>
      </c>
      <c r="H1402" s="22" t="s">
        <v>5040</v>
      </c>
      <c r="I1402" s="103" t="s">
        <v>111</v>
      </c>
      <c r="J1402" s="79" t="s">
        <v>88</v>
      </c>
      <c r="K1402" s="79" t="s">
        <v>94</v>
      </c>
      <c r="L1402" s="80"/>
    </row>
    <row r="1403" spans="1:12">
      <c r="A1403" s="1" t="s">
        <v>106</v>
      </c>
      <c r="B1403" s="14" t="s">
        <v>5041</v>
      </c>
      <c r="C1403" s="81" t="s">
        <v>78</v>
      </c>
      <c r="D1403" s="81" t="s">
        <v>5042</v>
      </c>
      <c r="E1403" s="81" t="s">
        <v>5043</v>
      </c>
      <c r="F1403" s="81" t="s">
        <v>40</v>
      </c>
      <c r="G1403" s="16" t="s">
        <v>5044</v>
      </c>
      <c r="H1403" s="16" t="s">
        <v>5045</v>
      </c>
      <c r="I1403" s="102" t="s">
        <v>5046</v>
      </c>
      <c r="J1403" s="83" t="s">
        <v>88</v>
      </c>
      <c r="K1403" s="83"/>
      <c r="L1403" s="84"/>
    </row>
    <row r="1404" spans="1:12">
      <c r="A1404" s="19" t="s">
        <v>20</v>
      </c>
      <c r="B1404" s="20" t="s">
        <v>5047</v>
      </c>
      <c r="C1404" s="77" t="s">
        <v>21</v>
      </c>
      <c r="D1404" s="77" t="s">
        <v>5048</v>
      </c>
      <c r="E1404" s="77" t="s">
        <v>5049</v>
      </c>
      <c r="F1404" s="77" t="s">
        <v>40</v>
      </c>
      <c r="G1404" s="22" t="s">
        <v>5050</v>
      </c>
      <c r="H1404" s="22" t="s">
        <v>5051</v>
      </c>
      <c r="I1404" s="103" t="s">
        <v>848</v>
      </c>
      <c r="J1404" s="79" t="s">
        <v>94</v>
      </c>
      <c r="K1404" s="79"/>
      <c r="L1404" s="80"/>
    </row>
    <row r="1405" spans="1:12">
      <c r="A1405" s="1" t="s">
        <v>106</v>
      </c>
      <c r="B1405" s="14" t="s">
        <v>5052</v>
      </c>
      <c r="C1405" s="81" t="s">
        <v>108</v>
      </c>
      <c r="D1405" s="81" t="s">
        <v>1767</v>
      </c>
      <c r="E1405" s="81" t="s">
        <v>5053</v>
      </c>
      <c r="F1405" s="81" t="s">
        <v>40</v>
      </c>
      <c r="G1405" s="16" t="s">
        <v>5054</v>
      </c>
      <c r="H1405" s="16" t="s">
        <v>5055</v>
      </c>
      <c r="I1405" s="102" t="s">
        <v>1373</v>
      </c>
      <c r="J1405" s="83" t="s">
        <v>94</v>
      </c>
      <c r="K1405" s="83"/>
      <c r="L1405" s="84"/>
    </row>
    <row r="1406" spans="1:12">
      <c r="A1406" s="19" t="s">
        <v>95</v>
      </c>
      <c r="B1406" s="20" t="s">
        <v>5056</v>
      </c>
      <c r="C1406" s="77" t="s">
        <v>118</v>
      </c>
      <c r="D1406" s="77" t="s">
        <v>5057</v>
      </c>
      <c r="E1406" s="77" t="s">
        <v>5058</v>
      </c>
      <c r="F1406" s="77" t="s">
        <v>40</v>
      </c>
      <c r="G1406" s="22" t="s">
        <v>5059</v>
      </c>
      <c r="H1406" s="22" t="s">
        <v>5060</v>
      </c>
      <c r="I1406" s="103" t="s">
        <v>5061</v>
      </c>
      <c r="J1406" s="79" t="s">
        <v>94</v>
      </c>
      <c r="K1406" s="79"/>
      <c r="L1406" s="80"/>
    </row>
    <row r="1407" spans="1:12">
      <c r="A1407" s="1" t="s">
        <v>20</v>
      </c>
      <c r="B1407" s="14" t="s">
        <v>5062</v>
      </c>
      <c r="C1407" s="81" t="s">
        <v>21</v>
      </c>
      <c r="D1407" s="15" t="s">
        <v>5063</v>
      </c>
      <c r="E1407" s="15" t="s">
        <v>5064</v>
      </c>
      <c r="F1407" s="81" t="s">
        <v>40</v>
      </c>
      <c r="G1407" s="16" t="s">
        <v>5065</v>
      </c>
      <c r="H1407" s="16" t="s">
        <v>5066</v>
      </c>
      <c r="I1407" s="102" t="s">
        <v>2909</v>
      </c>
      <c r="J1407" s="83" t="s">
        <v>61</v>
      </c>
      <c r="K1407" s="83"/>
      <c r="L1407" s="84"/>
    </row>
    <row r="1408" spans="1:12">
      <c r="A1408" s="19" t="s">
        <v>106</v>
      </c>
      <c r="B1408" s="20" t="s">
        <v>5067</v>
      </c>
      <c r="C1408" s="77" t="s">
        <v>108</v>
      </c>
      <c r="D1408" s="21" t="s">
        <v>5068</v>
      </c>
      <c r="E1408" s="21" t="s">
        <v>5069</v>
      </c>
      <c r="F1408" s="77" t="s">
        <v>40</v>
      </c>
      <c r="G1408" s="22" t="s">
        <v>5070</v>
      </c>
      <c r="H1408" s="22" t="s">
        <v>5071</v>
      </c>
      <c r="I1408" s="103" t="s">
        <v>111</v>
      </c>
      <c r="J1408" s="79" t="s">
        <v>61</v>
      </c>
      <c r="K1408" s="79"/>
      <c r="L1408" s="80"/>
    </row>
    <row r="1409" spans="1:12">
      <c r="A1409" s="1" t="s">
        <v>20</v>
      </c>
      <c r="B1409" s="14" t="s">
        <v>5072</v>
      </c>
      <c r="C1409" s="81" t="s">
        <v>49</v>
      </c>
      <c r="D1409" s="15" t="s">
        <v>5073</v>
      </c>
      <c r="E1409" s="15" t="s">
        <v>5074</v>
      </c>
      <c r="F1409" s="81" t="s">
        <v>40</v>
      </c>
      <c r="G1409" s="16" t="s">
        <v>5075</v>
      </c>
      <c r="H1409" s="16" t="s">
        <v>5076</v>
      </c>
      <c r="I1409" s="102" t="s">
        <v>2855</v>
      </c>
      <c r="J1409" s="83" t="s">
        <v>61</v>
      </c>
      <c r="K1409" s="83"/>
      <c r="L1409" s="84"/>
    </row>
    <row r="1410" spans="1:12">
      <c r="A1410" s="19" t="s">
        <v>106</v>
      </c>
      <c r="B1410" s="20" t="s">
        <v>5077</v>
      </c>
      <c r="C1410" s="77" t="s">
        <v>78</v>
      </c>
      <c r="D1410" s="21" t="s">
        <v>5078</v>
      </c>
      <c r="E1410" s="21" t="s">
        <v>5079</v>
      </c>
      <c r="F1410" s="77" t="s">
        <v>308</v>
      </c>
      <c r="G1410" s="22" t="s">
        <v>5080</v>
      </c>
      <c r="H1410" s="22" t="s">
        <v>5081</v>
      </c>
      <c r="I1410" s="103" t="s">
        <v>5082</v>
      </c>
      <c r="J1410" s="79" t="s">
        <v>61</v>
      </c>
      <c r="K1410" s="79"/>
      <c r="L1410" s="80"/>
    </row>
    <row r="1411" spans="1:12">
      <c r="A1411" s="1" t="s">
        <v>106</v>
      </c>
      <c r="B1411" s="14" t="s">
        <v>5083</v>
      </c>
      <c r="C1411" s="81" t="s">
        <v>108</v>
      </c>
      <c r="D1411" s="15" t="s">
        <v>5084</v>
      </c>
      <c r="E1411" s="15" t="s">
        <v>5085</v>
      </c>
      <c r="F1411" s="81" t="s">
        <v>40</v>
      </c>
      <c r="G1411" s="16" t="s">
        <v>5086</v>
      </c>
      <c r="H1411" s="16" t="s">
        <v>5087</v>
      </c>
      <c r="I1411" s="102" t="s">
        <v>5088</v>
      </c>
      <c r="J1411" s="83" t="s">
        <v>61</v>
      </c>
      <c r="K1411" s="83"/>
      <c r="L1411" s="84"/>
    </row>
    <row r="1412" spans="1:12">
      <c r="A1412" s="19" t="s">
        <v>106</v>
      </c>
      <c r="B1412" s="20" t="s">
        <v>5089</v>
      </c>
      <c r="C1412" s="77" t="s">
        <v>108</v>
      </c>
      <c r="D1412" s="77" t="s">
        <v>5090</v>
      </c>
      <c r="E1412" s="77" t="s">
        <v>5091</v>
      </c>
      <c r="F1412" s="77" t="s">
        <v>40</v>
      </c>
      <c r="G1412" s="22" t="s">
        <v>5092</v>
      </c>
      <c r="H1412" s="22" t="s">
        <v>5093</v>
      </c>
      <c r="I1412" s="103" t="s">
        <v>5094</v>
      </c>
      <c r="J1412" s="79" t="s">
        <v>72</v>
      </c>
      <c r="K1412" s="79"/>
      <c r="L1412" s="80"/>
    </row>
    <row r="1413" spans="1:12">
      <c r="A1413" s="1" t="s">
        <v>106</v>
      </c>
      <c r="B1413" s="14" t="s">
        <v>5095</v>
      </c>
      <c r="C1413" s="81" t="s">
        <v>108</v>
      </c>
      <c r="D1413" s="81" t="s">
        <v>2838</v>
      </c>
      <c r="E1413" s="81" t="s">
        <v>2839</v>
      </c>
      <c r="F1413" s="81" t="s">
        <v>40</v>
      </c>
      <c r="G1413" s="16" t="s">
        <v>5092</v>
      </c>
      <c r="H1413" s="16" t="s">
        <v>5096</v>
      </c>
      <c r="I1413" s="102" t="s">
        <v>32</v>
      </c>
      <c r="J1413" s="83" t="s">
        <v>72</v>
      </c>
      <c r="K1413" s="83"/>
      <c r="L1413" s="84"/>
    </row>
    <row r="1414" spans="1:12">
      <c r="A1414" s="19" t="s">
        <v>20</v>
      </c>
      <c r="B1414" s="20" t="s">
        <v>5097</v>
      </c>
      <c r="C1414" s="77" t="s">
        <v>21</v>
      </c>
      <c r="D1414" s="77" t="s">
        <v>5098</v>
      </c>
      <c r="E1414" s="77" t="s">
        <v>5099</v>
      </c>
      <c r="F1414" s="77" t="s">
        <v>40</v>
      </c>
      <c r="G1414" s="22" t="s">
        <v>5100</v>
      </c>
      <c r="H1414" s="22" t="s">
        <v>5101</v>
      </c>
      <c r="I1414" s="103" t="s">
        <v>52</v>
      </c>
      <c r="J1414" s="79" t="s">
        <v>72</v>
      </c>
      <c r="K1414" s="79"/>
      <c r="L1414" s="80"/>
    </row>
    <row r="1415" spans="1:12">
      <c r="A1415" s="1" t="s">
        <v>95</v>
      </c>
      <c r="B1415" s="34" t="s">
        <v>5102</v>
      </c>
      <c r="C1415" s="53" t="s">
        <v>118</v>
      </c>
      <c r="D1415" s="53" t="s">
        <v>5103</v>
      </c>
      <c r="E1415" s="53" t="s">
        <v>5104</v>
      </c>
      <c r="F1415" s="53" t="s">
        <v>40</v>
      </c>
      <c r="G1415" s="16" t="s">
        <v>5105</v>
      </c>
      <c r="H1415" s="16" t="s">
        <v>5106</v>
      </c>
      <c r="I1415" s="102" t="s">
        <v>5107</v>
      </c>
      <c r="J1415" s="59" t="s">
        <v>61</v>
      </c>
      <c r="K1415" s="83"/>
      <c r="L1415" s="84"/>
    </row>
    <row r="1416" spans="1:12">
      <c r="A1416" s="19" t="s">
        <v>20</v>
      </c>
      <c r="B1416" s="20" t="s">
        <v>5108</v>
      </c>
      <c r="C1416" s="77" t="s">
        <v>13</v>
      </c>
      <c r="D1416" s="21" t="s">
        <v>5109</v>
      </c>
      <c r="E1416" s="21" t="s">
        <v>5110</v>
      </c>
      <c r="F1416" s="77" t="s">
        <v>40</v>
      </c>
      <c r="G1416" s="22" t="s">
        <v>5111</v>
      </c>
      <c r="H1416" s="22" t="s">
        <v>5112</v>
      </c>
      <c r="I1416" s="103" t="s">
        <v>149</v>
      </c>
      <c r="J1416" s="79" t="s">
        <v>61</v>
      </c>
      <c r="K1416" s="79"/>
      <c r="L1416" s="80"/>
    </row>
    <row r="1417" spans="1:12">
      <c r="A1417" s="1" t="s">
        <v>106</v>
      </c>
      <c r="B1417" s="14" t="s">
        <v>5113</v>
      </c>
      <c r="C1417" s="81" t="s">
        <v>108</v>
      </c>
      <c r="D1417" s="15" t="s">
        <v>5114</v>
      </c>
      <c r="E1417" s="15" t="s">
        <v>5115</v>
      </c>
      <c r="F1417" s="81" t="s">
        <v>40</v>
      </c>
      <c r="G1417" s="16" t="s">
        <v>5116</v>
      </c>
      <c r="H1417" s="16" t="s">
        <v>5117</v>
      </c>
      <c r="I1417" s="102" t="s">
        <v>3359</v>
      </c>
      <c r="J1417" s="83" t="s">
        <v>61</v>
      </c>
      <c r="K1417" s="83"/>
      <c r="L1417" s="84"/>
    </row>
    <row r="1418" spans="1:12">
      <c r="A1418" s="19" t="s">
        <v>95</v>
      </c>
      <c r="B1418" s="20" t="s">
        <v>5118</v>
      </c>
      <c r="C1418" s="77" t="s">
        <v>118</v>
      </c>
      <c r="D1418" s="21" t="s">
        <v>5119</v>
      </c>
      <c r="E1418" s="21" t="s">
        <v>5120</v>
      </c>
      <c r="F1418" s="77" t="s">
        <v>40</v>
      </c>
      <c r="G1418" s="22" t="s">
        <v>5121</v>
      </c>
      <c r="H1418" s="22" t="s">
        <v>5122</v>
      </c>
      <c r="I1418" s="103" t="s">
        <v>1999</v>
      </c>
      <c r="J1418" s="79" t="s">
        <v>61</v>
      </c>
      <c r="K1418" s="79"/>
      <c r="L1418" s="80"/>
    </row>
    <row r="1419" spans="1:12">
      <c r="A1419" s="1" t="s">
        <v>106</v>
      </c>
      <c r="B1419" s="14" t="s">
        <v>5123</v>
      </c>
      <c r="C1419" s="81" t="s">
        <v>108</v>
      </c>
      <c r="D1419" s="81" t="s">
        <v>2838</v>
      </c>
      <c r="E1419" s="81" t="s">
        <v>2839</v>
      </c>
      <c r="F1419" s="81" t="s">
        <v>40</v>
      </c>
      <c r="G1419" s="16" t="s">
        <v>5124</v>
      </c>
      <c r="H1419" s="16" t="s">
        <v>5125</v>
      </c>
      <c r="I1419" s="102" t="s">
        <v>32</v>
      </c>
      <c r="J1419" s="83" t="s">
        <v>72</v>
      </c>
      <c r="K1419" s="83"/>
      <c r="L1419" s="84"/>
    </row>
    <row r="1420" spans="1:12">
      <c r="A1420" s="19" t="s">
        <v>20</v>
      </c>
      <c r="B1420" s="20" t="s">
        <v>5126</v>
      </c>
      <c r="C1420" s="77" t="s">
        <v>21</v>
      </c>
      <c r="D1420" s="77" t="s">
        <v>5127</v>
      </c>
      <c r="E1420" s="77" t="s">
        <v>5128</v>
      </c>
      <c r="F1420" s="77" t="s">
        <v>40</v>
      </c>
      <c r="G1420" s="22" t="s">
        <v>5129</v>
      </c>
      <c r="H1420" s="22" t="s">
        <v>5130</v>
      </c>
      <c r="I1420" s="103" t="s">
        <v>52</v>
      </c>
      <c r="J1420" s="79" t="s">
        <v>72</v>
      </c>
      <c r="K1420" s="79"/>
      <c r="L1420" s="80"/>
    </row>
    <row r="1421" spans="1:12">
      <c r="A1421" s="1" t="s">
        <v>20</v>
      </c>
      <c r="B1421" s="14" t="s">
        <v>5131</v>
      </c>
      <c r="C1421" s="81" t="s">
        <v>21</v>
      </c>
      <c r="D1421" s="81" t="s">
        <v>5132</v>
      </c>
      <c r="E1421" s="81" t="s">
        <v>5133</v>
      </c>
      <c r="F1421" s="81" t="s">
        <v>40</v>
      </c>
      <c r="G1421" s="16" t="s">
        <v>5134</v>
      </c>
      <c r="H1421" s="16" t="s">
        <v>5135</v>
      </c>
      <c r="I1421" s="102" t="s">
        <v>52</v>
      </c>
      <c r="J1421" s="83" t="s">
        <v>72</v>
      </c>
      <c r="K1421" s="83"/>
      <c r="L1421" s="84"/>
    </row>
    <row r="1422" spans="1:12">
      <c r="A1422" s="19" t="s">
        <v>106</v>
      </c>
      <c r="B1422" s="20" t="s">
        <v>5136</v>
      </c>
      <c r="C1422" s="77" t="s">
        <v>78</v>
      </c>
      <c r="D1422" s="21" t="s">
        <v>5137</v>
      </c>
      <c r="E1422" s="21" t="s">
        <v>5138</v>
      </c>
      <c r="F1422" s="77" t="s">
        <v>40</v>
      </c>
      <c r="G1422" s="22" t="s">
        <v>5139</v>
      </c>
      <c r="H1422" s="22" t="s">
        <v>5140</v>
      </c>
      <c r="I1422" s="103" t="s">
        <v>5141</v>
      </c>
      <c r="J1422" s="79" t="s">
        <v>61</v>
      </c>
      <c r="K1422" s="79"/>
      <c r="L1422" s="80"/>
    </row>
    <row r="1423" spans="1:12">
      <c r="A1423" s="1" t="s">
        <v>20</v>
      </c>
      <c r="B1423" s="14" t="s">
        <v>5142</v>
      </c>
      <c r="C1423" s="81" t="s">
        <v>13</v>
      </c>
      <c r="D1423" s="81" t="s">
        <v>5143</v>
      </c>
      <c r="E1423" s="81" t="s">
        <v>5144</v>
      </c>
      <c r="F1423" s="81" t="s">
        <v>40</v>
      </c>
      <c r="G1423" s="16" t="s">
        <v>5145</v>
      </c>
      <c r="H1423" s="16" t="s">
        <v>5146</v>
      </c>
      <c r="I1423" s="102" t="s">
        <v>149</v>
      </c>
      <c r="J1423" s="83" t="s">
        <v>72</v>
      </c>
      <c r="K1423" s="83"/>
      <c r="L1423" s="84"/>
    </row>
    <row r="1424" spans="1:12">
      <c r="A1424" s="19" t="s">
        <v>106</v>
      </c>
      <c r="B1424" s="20" t="s">
        <v>5147</v>
      </c>
      <c r="C1424" s="77" t="s">
        <v>108</v>
      </c>
      <c r="D1424" s="77" t="s">
        <v>2838</v>
      </c>
      <c r="E1424" s="77" t="s">
        <v>2839</v>
      </c>
      <c r="F1424" s="77" t="s">
        <v>40</v>
      </c>
      <c r="G1424" s="22" t="s">
        <v>5148</v>
      </c>
      <c r="H1424" s="22" t="s">
        <v>5149</v>
      </c>
      <c r="I1424" s="103" t="s">
        <v>32</v>
      </c>
      <c r="J1424" s="79" t="s">
        <v>72</v>
      </c>
      <c r="K1424" s="79"/>
      <c r="L1424" s="80"/>
    </row>
    <row r="1425" spans="1:12">
      <c r="A1425" s="1" t="s">
        <v>20</v>
      </c>
      <c r="B1425" s="14" t="s">
        <v>5150</v>
      </c>
      <c r="C1425" s="81" t="s">
        <v>21</v>
      </c>
      <c r="D1425" s="81" t="s">
        <v>5151</v>
      </c>
      <c r="E1425" s="81" t="s">
        <v>5152</v>
      </c>
      <c r="F1425" s="81" t="s">
        <v>40</v>
      </c>
      <c r="G1425" s="16" t="s">
        <v>5153</v>
      </c>
      <c r="H1425" s="16" t="s">
        <v>5154</v>
      </c>
      <c r="I1425" s="102" t="s">
        <v>52</v>
      </c>
      <c r="J1425" s="83" t="s">
        <v>72</v>
      </c>
      <c r="K1425" s="83"/>
      <c r="L1425" s="84"/>
    </row>
    <row r="1426" spans="1:12">
      <c r="A1426" s="19" t="s">
        <v>106</v>
      </c>
      <c r="B1426" s="20" t="s">
        <v>5155</v>
      </c>
      <c r="C1426" s="77" t="s">
        <v>108</v>
      </c>
      <c r="D1426" s="77" t="s">
        <v>5156</v>
      </c>
      <c r="E1426" s="77" t="s">
        <v>5157</v>
      </c>
      <c r="F1426" s="77" t="s">
        <v>40</v>
      </c>
      <c r="G1426" s="22" t="s">
        <v>5158</v>
      </c>
      <c r="H1426" s="22" t="s">
        <v>5159</v>
      </c>
      <c r="I1426" s="103" t="s">
        <v>149</v>
      </c>
      <c r="J1426" s="79" t="s">
        <v>72</v>
      </c>
      <c r="K1426" s="79"/>
      <c r="L1426" s="80"/>
    </row>
    <row r="1427" spans="1:12">
      <c r="A1427" s="1" t="s">
        <v>106</v>
      </c>
      <c r="B1427" s="14" t="s">
        <v>5160</v>
      </c>
      <c r="C1427" s="81" t="s">
        <v>108</v>
      </c>
      <c r="D1427" s="81" t="s">
        <v>5161</v>
      </c>
      <c r="E1427" s="81" t="s">
        <v>5162</v>
      </c>
      <c r="F1427" s="81" t="s">
        <v>40</v>
      </c>
      <c r="G1427" s="16" t="s">
        <v>5163</v>
      </c>
      <c r="H1427" s="16" t="s">
        <v>5164</v>
      </c>
      <c r="I1427" s="102" t="s">
        <v>149</v>
      </c>
      <c r="J1427" s="83" t="s">
        <v>72</v>
      </c>
      <c r="K1427" s="83"/>
      <c r="L1427" s="84"/>
    </row>
    <row r="1428" spans="1:12" ht="290">
      <c r="A1428" s="19" t="s">
        <v>20</v>
      </c>
      <c r="B1428" s="20" t="s">
        <v>5165</v>
      </c>
      <c r="C1428" s="77" t="s">
        <v>21</v>
      </c>
      <c r="D1428" s="77" t="s">
        <v>5166</v>
      </c>
      <c r="E1428" s="94" t="s">
        <v>5167</v>
      </c>
      <c r="F1428" s="77" t="s">
        <v>40</v>
      </c>
      <c r="G1428" s="22" t="s">
        <v>5168</v>
      </c>
      <c r="H1428" s="22" t="s">
        <v>5169</v>
      </c>
      <c r="I1428" s="103" t="s">
        <v>52</v>
      </c>
      <c r="J1428" s="79" t="s">
        <v>72</v>
      </c>
      <c r="K1428" s="79"/>
      <c r="L1428" s="80"/>
    </row>
    <row r="1429" spans="1:12">
      <c r="A1429" s="1" t="s">
        <v>20</v>
      </c>
      <c r="B1429" s="14" t="s">
        <v>5170</v>
      </c>
      <c r="C1429" s="81" t="s">
        <v>21</v>
      </c>
      <c r="D1429" s="81" t="s">
        <v>5171</v>
      </c>
      <c r="E1429" s="81" t="s">
        <v>2324</v>
      </c>
      <c r="F1429" s="81" t="s">
        <v>40</v>
      </c>
      <c r="G1429" s="16" t="s">
        <v>5172</v>
      </c>
      <c r="H1429" s="16" t="s">
        <v>5173</v>
      </c>
      <c r="I1429" s="102" t="s">
        <v>52</v>
      </c>
      <c r="J1429" s="83" t="s">
        <v>72</v>
      </c>
      <c r="K1429" s="83"/>
      <c r="L1429" s="84"/>
    </row>
    <row r="1430" spans="1:12">
      <c r="A1430" s="19" t="s">
        <v>20</v>
      </c>
      <c r="B1430" s="20" t="s">
        <v>5174</v>
      </c>
      <c r="C1430" s="77" t="s">
        <v>21</v>
      </c>
      <c r="D1430" s="77" t="s">
        <v>5175</v>
      </c>
      <c r="E1430" s="77" t="s">
        <v>5176</v>
      </c>
      <c r="F1430" s="77" t="s">
        <v>40</v>
      </c>
      <c r="G1430" s="22" t="s">
        <v>5177</v>
      </c>
      <c r="H1430" s="22" t="s">
        <v>5178</v>
      </c>
      <c r="I1430" s="103" t="s">
        <v>52</v>
      </c>
      <c r="J1430" s="79" t="s">
        <v>72</v>
      </c>
      <c r="K1430" s="79"/>
      <c r="L1430" s="80"/>
    </row>
    <row r="1431" spans="1:12">
      <c r="A1431" s="1" t="s">
        <v>95</v>
      </c>
      <c r="B1431" s="14" t="s">
        <v>5179</v>
      </c>
      <c r="C1431" s="81" t="s">
        <v>1763</v>
      </c>
      <c r="D1431" s="15" t="s">
        <v>5180</v>
      </c>
      <c r="E1431" s="15" t="s">
        <v>5181</v>
      </c>
      <c r="F1431" s="81" t="s">
        <v>40</v>
      </c>
      <c r="G1431" s="16" t="s">
        <v>5182</v>
      </c>
      <c r="H1431" s="16" t="s">
        <v>5183</v>
      </c>
      <c r="I1431" s="102" t="s">
        <v>155</v>
      </c>
      <c r="J1431" s="83" t="s">
        <v>61</v>
      </c>
      <c r="K1431" s="83"/>
      <c r="L1431" s="84"/>
    </row>
    <row r="1432" spans="1:12">
      <c r="A1432" s="19" t="s">
        <v>106</v>
      </c>
      <c r="B1432" s="20" t="s">
        <v>5184</v>
      </c>
      <c r="C1432" s="77" t="s">
        <v>108</v>
      </c>
      <c r="D1432" s="21" t="s">
        <v>5185</v>
      </c>
      <c r="E1432" s="21" t="s">
        <v>4150</v>
      </c>
      <c r="F1432" s="77" t="s">
        <v>40</v>
      </c>
      <c r="G1432" s="22" t="s">
        <v>5186</v>
      </c>
      <c r="H1432" s="22" t="s">
        <v>5187</v>
      </c>
      <c r="I1432" s="103" t="s">
        <v>111</v>
      </c>
      <c r="J1432" s="79" t="s">
        <v>61</v>
      </c>
      <c r="K1432" s="79"/>
      <c r="L1432" s="80"/>
    </row>
    <row r="1433" spans="1:12">
      <c r="A1433" s="1" t="s">
        <v>106</v>
      </c>
      <c r="B1433" s="14" t="s">
        <v>5188</v>
      </c>
      <c r="C1433" s="81" t="s">
        <v>108</v>
      </c>
      <c r="D1433" s="15" t="s">
        <v>5189</v>
      </c>
      <c r="E1433" s="15" t="s">
        <v>5190</v>
      </c>
      <c r="F1433" s="81" t="s">
        <v>40</v>
      </c>
      <c r="G1433" s="16" t="s">
        <v>5191</v>
      </c>
      <c r="H1433" s="16" t="s">
        <v>5192</v>
      </c>
      <c r="I1433" s="102" t="s">
        <v>1470</v>
      </c>
      <c r="J1433" s="83" t="s">
        <v>61</v>
      </c>
      <c r="K1433" s="83"/>
      <c r="L1433" s="84"/>
    </row>
    <row r="1434" spans="1:12">
      <c r="A1434" s="19" t="s">
        <v>95</v>
      </c>
      <c r="B1434" s="20" t="s">
        <v>5193</v>
      </c>
      <c r="C1434" s="77" t="s">
        <v>97</v>
      </c>
      <c r="D1434" s="21" t="s">
        <v>5194</v>
      </c>
      <c r="E1434" s="21" t="s">
        <v>5195</v>
      </c>
      <c r="F1434" s="77" t="s">
        <v>40</v>
      </c>
      <c r="G1434" s="22" t="s">
        <v>5196</v>
      </c>
      <c r="H1434" s="22" t="s">
        <v>5197</v>
      </c>
      <c r="I1434" s="103" t="s">
        <v>2855</v>
      </c>
      <c r="J1434" s="79" t="s">
        <v>61</v>
      </c>
      <c r="K1434" s="79"/>
      <c r="L1434" s="80"/>
    </row>
    <row r="1435" spans="1:12">
      <c r="A1435" s="1" t="s">
        <v>20</v>
      </c>
      <c r="B1435" s="14" t="s">
        <v>5198</v>
      </c>
      <c r="C1435" s="81" t="s">
        <v>21</v>
      </c>
      <c r="D1435" s="81" t="s">
        <v>5199</v>
      </c>
      <c r="E1435" s="81" t="s">
        <v>5200</v>
      </c>
      <c r="F1435" s="81" t="s">
        <v>40</v>
      </c>
      <c r="G1435" s="16" t="s">
        <v>5201</v>
      </c>
      <c r="H1435" s="16" t="s">
        <v>5202</v>
      </c>
      <c r="I1435" s="102" t="s">
        <v>52</v>
      </c>
      <c r="J1435" s="83" t="s">
        <v>72</v>
      </c>
      <c r="K1435" s="83"/>
      <c r="L1435" s="84"/>
    </row>
    <row r="1436" spans="1:12">
      <c r="A1436" s="19" t="s">
        <v>106</v>
      </c>
      <c r="B1436" s="20" t="s">
        <v>5203</v>
      </c>
      <c r="C1436" s="77" t="s">
        <v>108</v>
      </c>
      <c r="D1436" s="77" t="s">
        <v>2838</v>
      </c>
      <c r="E1436" s="77" t="s">
        <v>2839</v>
      </c>
      <c r="F1436" s="77" t="s">
        <v>40</v>
      </c>
      <c r="G1436" s="22" t="s">
        <v>5204</v>
      </c>
      <c r="H1436" s="22">
        <v>45292.313194444447</v>
      </c>
      <c r="I1436" s="103" t="s">
        <v>32</v>
      </c>
      <c r="J1436" s="79" t="s">
        <v>72</v>
      </c>
      <c r="K1436" s="79"/>
      <c r="L1436" s="80"/>
    </row>
    <row r="1437" spans="1:12">
      <c r="A1437" s="1" t="s">
        <v>20</v>
      </c>
      <c r="B1437" s="14" t="s">
        <v>5205</v>
      </c>
      <c r="C1437" s="81" t="s">
        <v>21</v>
      </c>
      <c r="D1437" s="81" t="s">
        <v>5206</v>
      </c>
      <c r="E1437" s="81" t="s">
        <v>4585</v>
      </c>
      <c r="F1437" s="81" t="s">
        <v>40</v>
      </c>
      <c r="G1437" s="16" t="s">
        <v>5207</v>
      </c>
      <c r="H1437" s="16" t="s">
        <v>5208</v>
      </c>
      <c r="I1437" s="102" t="s">
        <v>52</v>
      </c>
      <c r="J1437" s="83" t="s">
        <v>72</v>
      </c>
      <c r="K1437" s="83"/>
      <c r="L1437" s="84"/>
    </row>
  </sheetData>
  <hyperlinks>
    <hyperlink ref="D27" r:id="rId1" xr:uid="{85673E35-CCC5-4DF1-B3EA-E4F7FB661EBB}"/>
    <hyperlink ref="D28" r:id="rId2" xr:uid="{F631BFFC-3FE1-4EC6-805D-CB6180B175B3}"/>
    <hyperlink ref="D29" r:id="rId3" xr:uid="{26E7E01C-39F4-4723-BD8B-36BB161CC4B4}"/>
    <hyperlink ref="D30" r:id="rId4" xr:uid="{FB830495-81B1-4DB9-9053-55530AAF0143}"/>
    <hyperlink ref="D64" r:id="rId5" xr:uid="{4B755FAD-BDA5-4318-86FC-6971C2A027F5}"/>
    <hyperlink ref="D118" r:id="rId6" xr:uid="{E8C2401B-F316-4C36-9B91-0A6DD718ACBD}"/>
    <hyperlink ref="D117" r:id="rId7" xr:uid="{AE700A7A-CD4E-48BE-8DD7-05AA24B2B8CC}"/>
    <hyperlink ref="D115" r:id="rId8" xr:uid="{77D45632-1966-4B4D-9870-9EC44B22F3FE}"/>
    <hyperlink ref="D113" r:id="rId9" xr:uid="{05CC0891-1EC2-4B7C-8A34-3DDD4C5416C0}"/>
    <hyperlink ref="D112" r:id="rId10" xr:uid="{7635DFD3-A1EB-4B51-9C5E-F8A90C4F2F0D}"/>
    <hyperlink ref="D111" r:id="rId11" xr:uid="{9498CED1-CC0C-491B-A75F-7D73C48C89E5}"/>
    <hyperlink ref="D110" r:id="rId12" xr:uid="{BA3C24D8-6F5C-4BAB-AA93-7BA8A3D4D6A9}"/>
    <hyperlink ref="D108" r:id="rId13" xr:uid="{AA7A4CCC-B9F0-4886-A1DD-1153BA41240D}"/>
    <hyperlink ref="D106" r:id="rId14" xr:uid="{5A2CF06F-0003-4F2A-9602-D37BE263FE17}"/>
    <hyperlink ref="D105" r:id="rId15" xr:uid="{7347D293-98CF-4ABB-A1CA-A37CCC57FC17}"/>
    <hyperlink ref="D109" r:id="rId16" xr:uid="{67E40200-CB97-42F1-AD10-A762A187FE01}"/>
    <hyperlink ref="D103" r:id="rId17" xr:uid="{1A5C5976-28D0-4DD2-BBBF-6E7B230C5C94}"/>
    <hyperlink ref="D102" r:id="rId18" xr:uid="{0211A0CB-4F0A-4AC3-A64C-EB6DA3A40350}"/>
    <hyperlink ref="D100" r:id="rId19" xr:uid="{F70B258B-CAF0-4559-A8C3-60B020AAE6E9}"/>
    <hyperlink ref="D99" r:id="rId20" xr:uid="{19444A36-1075-49C1-AF96-12FA5BAED379}"/>
    <hyperlink ref="D101" r:id="rId21" xr:uid="{17679E19-E0B5-41EB-9AA8-505ED52B4EE7}"/>
    <hyperlink ref="D97" r:id="rId22" xr:uid="{48941CA5-303D-43B4-AB3C-EB13B30E0342}"/>
    <hyperlink ref="D354" r:id="rId23" xr:uid="{C33F2D13-935B-4747-B0C1-2AC39B0025E8}"/>
    <hyperlink ref="D356" r:id="rId24" xr:uid="{59E7BB01-3EA5-43A2-9721-866BB06CD9BA}"/>
    <hyperlink ref="B394" r:id="rId25" display="486799" xr:uid="{1BE89FD8-BEC5-4B51-B3FE-A2C139E460C9}"/>
    <hyperlink ref="B427" r:id="rId26" display="487139" xr:uid="{C17ABAEB-8E2B-41F5-BF8E-33445A0BE436}"/>
    <hyperlink ref="B12" r:id="rId27" display="488589" xr:uid="{D19A93CE-E348-47D3-959C-B8D9F249AE8D}"/>
    <hyperlink ref="B529" r:id="rId28" display="488729" xr:uid="{9BFBE438-D979-40E5-A033-29DC823D16B7}"/>
    <hyperlink ref="B13" r:id="rId29" display="489931" xr:uid="{C81FD5DD-B85C-4D5A-984A-C47259B5E0F6}"/>
    <hyperlink ref="B1160" r:id="rId30" display="498898" xr:uid="{17101AD7-75C4-4A2E-A6A5-55021D5EC068}"/>
    <hyperlink ref="B18" r:id="rId31" display="499514" xr:uid="{5B97CBFE-7D64-400E-8A5E-EC3F3C461BC1}"/>
    <hyperlink ref="D1218" r:id="rId32" xr:uid="{51E87131-6F24-417C-BE7E-CBF874AB2639}"/>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1BD8BC68-BEC0-43F5-A499-0FC6E32BE4CC}">
          <x14:formula1>
            <xm:f>Configuraciones!$C$2:$C$12</xm:f>
          </x14:formula1>
          <xm:sqref>J2:J332 J634:J1128 K2:K1247 J1129:K1338 J1394:J1395 J1340:K1392 K1393:K1395 J1396:K1437 J336:J629 J1:K1</xm:sqref>
        </x14:dataValidation>
        <x14:dataValidation type="list" allowBlank="1" showInputMessage="1" showErrorMessage="1" xr:uid="{9259D4BD-6628-4A18-9E85-FFA565999E5E}">
          <x14:formula1>
            <xm:f>Configuraciones!$E$2:$E$17</xm:f>
          </x14:formula1>
          <xm:sqref>C1:C1437</xm:sqref>
        </x14:dataValidation>
        <x14:dataValidation type="list" allowBlank="1" showInputMessage="1" showErrorMessage="1" xr:uid="{E829A1DD-3D3D-45AE-B663-FDB1BCEC1544}">
          <x14:formula1>
            <xm:f>Configuraciones!$A$2:$A$6</xm:f>
          </x14:formula1>
          <xm:sqref>F1:F332 F1394:F1437 F1340:F1392 F634:F1338 F367:F622 F624:F629 F336:F364</xm:sqref>
        </x14:dataValidation>
        <x14:dataValidation type="list" allowBlank="1" showInputMessage="1" showErrorMessage="1" xr:uid="{02A6B3DD-7AB9-4D3D-8C6F-6BBA015BF69E}">
          <x14:formula1>
            <xm:f>Configuraciones!$G$2:$G$4</xm:f>
          </x14:formula1>
          <xm:sqref>A1:A332 A1394:A1437 A1340:A1392 A367:A1338 A336:A364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33581-0131-4325-B11E-A080B2CB3258}">
  <dimension ref="A1:Q3864"/>
  <sheetViews>
    <sheetView tabSelected="1" topLeftCell="D1" workbookViewId="0">
      <pane ySplit="1" topLeftCell="A2344" activePane="bottomLeft" state="frozen"/>
      <selection pane="bottomLeft" activeCell="G2379" sqref="G2359:G2379"/>
    </sheetView>
  </sheetViews>
  <sheetFormatPr baseColWidth="10" defaultColWidth="85.7265625" defaultRowHeight="14.5"/>
  <cols>
    <col min="1" max="1" width="9.7265625" style="132" customWidth="1"/>
    <col min="2" max="2" width="14.26953125" style="167" customWidth="1"/>
    <col min="3" max="3" width="13.54296875" style="132" customWidth="1"/>
    <col min="4" max="4" width="51" style="132" customWidth="1"/>
    <col min="5" max="5" width="115.26953125" style="132" customWidth="1"/>
    <col min="6" max="6" width="11.81640625" style="132" customWidth="1"/>
    <col min="7" max="7" width="20.26953125" style="156" customWidth="1"/>
    <col min="8" max="8" width="21.1796875" style="156" bestFit="1" customWidth="1"/>
    <col min="9" max="9" width="19.81640625" style="168" customWidth="1"/>
    <col min="10" max="10" width="18.81640625" style="169" customWidth="1"/>
    <col min="11" max="11" width="13.453125" style="169" customWidth="1"/>
    <col min="12" max="12" width="17.26953125" style="132" bestFit="1" customWidth="1"/>
    <col min="13" max="16384" width="85.7265625" style="132"/>
  </cols>
  <sheetData>
    <row r="1" spans="1:17">
      <c r="A1" s="147" t="s">
        <v>0</v>
      </c>
      <c r="B1" s="148" t="s">
        <v>1</v>
      </c>
      <c r="C1" s="149" t="s">
        <v>2</v>
      </c>
      <c r="D1" s="149" t="s">
        <v>3</v>
      </c>
      <c r="E1" s="149" t="s">
        <v>4</v>
      </c>
      <c r="F1" s="149" t="s">
        <v>5</v>
      </c>
      <c r="G1" s="150" t="s">
        <v>6</v>
      </c>
      <c r="H1" s="150" t="s">
        <v>7</v>
      </c>
      <c r="I1" s="149" t="s">
        <v>8</v>
      </c>
      <c r="J1" s="149" t="s">
        <v>9</v>
      </c>
      <c r="K1" s="149" t="s">
        <v>10</v>
      </c>
      <c r="L1" s="149" t="s">
        <v>11</v>
      </c>
      <c r="M1" s="151"/>
      <c r="N1" s="152"/>
      <c r="O1" s="152"/>
      <c r="P1" s="152"/>
      <c r="Q1" s="153"/>
    </row>
    <row r="2" spans="1:17">
      <c r="A2" s="154" t="s">
        <v>20</v>
      </c>
      <c r="B2" s="155" t="s">
        <v>5209</v>
      </c>
      <c r="C2" s="133" t="s">
        <v>21</v>
      </c>
      <c r="D2" s="133" t="s">
        <v>5210</v>
      </c>
      <c r="E2" s="133" t="s">
        <v>5162</v>
      </c>
      <c r="F2" s="133" t="s">
        <v>40</v>
      </c>
      <c r="G2" s="156">
        <v>45292.058333333334</v>
      </c>
      <c r="H2" s="156">
        <v>45292.069444444445</v>
      </c>
      <c r="I2" s="157" t="s">
        <v>52</v>
      </c>
      <c r="J2" s="157" t="s">
        <v>72</v>
      </c>
      <c r="K2" s="157"/>
      <c r="L2" s="158"/>
    </row>
    <row r="3" spans="1:17">
      <c r="A3" s="154" t="s">
        <v>20</v>
      </c>
      <c r="B3" s="155" t="s">
        <v>5211</v>
      </c>
      <c r="C3" s="133" t="s">
        <v>21</v>
      </c>
      <c r="D3" s="133" t="s">
        <v>5212</v>
      </c>
      <c r="E3" s="133" t="s">
        <v>5213</v>
      </c>
      <c r="F3" s="133" t="s">
        <v>40</v>
      </c>
      <c r="G3" s="156">
        <v>45292.114583333336</v>
      </c>
      <c r="H3" s="156">
        <v>45292.151388888888</v>
      </c>
      <c r="I3" s="157" t="s">
        <v>52</v>
      </c>
      <c r="J3" s="157" t="s">
        <v>72</v>
      </c>
      <c r="K3" s="157"/>
      <c r="L3" s="158"/>
    </row>
    <row r="4" spans="1:17">
      <c r="A4" s="154" t="s">
        <v>95</v>
      </c>
      <c r="B4" s="155" t="s">
        <v>5214</v>
      </c>
      <c r="C4" s="133" t="s">
        <v>113</v>
      </c>
      <c r="D4" s="133" t="s">
        <v>5215</v>
      </c>
      <c r="E4" s="133" t="s">
        <v>5216</v>
      </c>
      <c r="F4" s="133" t="s">
        <v>40</v>
      </c>
      <c r="G4" s="156">
        <v>45292.180555555555</v>
      </c>
      <c r="H4" s="156">
        <v>45292.206944444442</v>
      </c>
      <c r="I4" s="157" t="s">
        <v>187</v>
      </c>
      <c r="J4" s="157" t="s">
        <v>72</v>
      </c>
      <c r="K4" s="157"/>
      <c r="L4" s="158"/>
    </row>
    <row r="5" spans="1:17">
      <c r="A5" s="154" t="s">
        <v>20</v>
      </c>
      <c r="B5" s="155" t="s">
        <v>5217</v>
      </c>
      <c r="C5" s="133" t="s">
        <v>49</v>
      </c>
      <c r="D5" s="133" t="s">
        <v>3376</v>
      </c>
      <c r="E5" s="133" t="s">
        <v>5218</v>
      </c>
      <c r="F5" s="133" t="s">
        <v>40</v>
      </c>
      <c r="G5" s="156">
        <v>45292.181250000001</v>
      </c>
      <c r="H5" s="156">
        <v>45292.245833333334</v>
      </c>
      <c r="I5" s="157" t="s">
        <v>32</v>
      </c>
      <c r="J5" s="157" t="s">
        <v>72</v>
      </c>
      <c r="K5" s="157"/>
      <c r="L5" s="158"/>
    </row>
    <row r="6" spans="1:17">
      <c r="A6" s="154" t="s">
        <v>20</v>
      </c>
      <c r="B6" s="155" t="s">
        <v>5219</v>
      </c>
      <c r="C6" s="133" t="s">
        <v>13</v>
      </c>
      <c r="D6" s="133" t="s">
        <v>5220</v>
      </c>
      <c r="E6" s="133" t="s">
        <v>5221</v>
      </c>
      <c r="F6" s="133" t="s">
        <v>40</v>
      </c>
      <c r="G6" s="156">
        <v>45292.294444444444</v>
      </c>
      <c r="H6" s="156">
        <v>45292.327777777777</v>
      </c>
      <c r="I6" s="157" t="s">
        <v>5222</v>
      </c>
      <c r="J6" s="157" t="s">
        <v>72</v>
      </c>
      <c r="K6" s="157"/>
      <c r="L6" s="158"/>
    </row>
    <row r="7" spans="1:17">
      <c r="A7" s="154" t="s">
        <v>20</v>
      </c>
      <c r="B7" s="155" t="s">
        <v>5223</v>
      </c>
      <c r="C7" s="133" t="s">
        <v>13</v>
      </c>
      <c r="D7" s="133" t="s">
        <v>5109</v>
      </c>
      <c r="E7" s="133" t="s">
        <v>5110</v>
      </c>
      <c r="F7" s="133" t="s">
        <v>40</v>
      </c>
      <c r="G7" s="156" t="s">
        <v>5224</v>
      </c>
      <c r="H7" s="156" t="s">
        <v>5225</v>
      </c>
      <c r="I7" s="157" t="s">
        <v>149</v>
      </c>
      <c r="J7" s="157" t="s">
        <v>61</v>
      </c>
      <c r="K7" s="157"/>
      <c r="L7" s="158"/>
    </row>
    <row r="8" spans="1:17">
      <c r="A8" s="154" t="s">
        <v>106</v>
      </c>
      <c r="B8" s="155" t="s">
        <v>5226</v>
      </c>
      <c r="C8" s="133" t="s">
        <v>108</v>
      </c>
      <c r="D8" s="133" t="s">
        <v>5227</v>
      </c>
      <c r="E8" s="133" t="s">
        <v>5228</v>
      </c>
      <c r="F8" s="133" t="s">
        <v>40</v>
      </c>
      <c r="G8" s="156" t="s">
        <v>5229</v>
      </c>
      <c r="H8" s="156" t="s">
        <v>5230</v>
      </c>
      <c r="I8" s="157" t="s">
        <v>111</v>
      </c>
      <c r="J8" s="157" t="s">
        <v>61</v>
      </c>
      <c r="K8" s="157"/>
      <c r="L8" s="158"/>
    </row>
    <row r="9" spans="1:17">
      <c r="A9" s="154" t="s">
        <v>20</v>
      </c>
      <c r="B9" s="155" t="s">
        <v>5231</v>
      </c>
      <c r="C9" s="133" t="s">
        <v>21</v>
      </c>
      <c r="D9" s="133" t="s">
        <v>5232</v>
      </c>
      <c r="E9" s="133" t="s">
        <v>5233</v>
      </c>
      <c r="F9" s="133" t="s">
        <v>40</v>
      </c>
      <c r="G9" s="156" t="s">
        <v>5234</v>
      </c>
      <c r="H9" s="156">
        <v>45292.927777777775</v>
      </c>
      <c r="I9" s="157" t="s">
        <v>52</v>
      </c>
      <c r="J9" s="157" t="s">
        <v>72</v>
      </c>
      <c r="K9" s="157"/>
      <c r="L9" s="158"/>
    </row>
    <row r="10" spans="1:17">
      <c r="A10" s="154" t="s">
        <v>20</v>
      </c>
      <c r="B10" s="155" t="s">
        <v>5235</v>
      </c>
      <c r="C10" s="133" t="s">
        <v>49</v>
      </c>
      <c r="D10" s="133" t="s">
        <v>5236</v>
      </c>
      <c r="E10" s="133" t="s">
        <v>5237</v>
      </c>
      <c r="F10" s="133" t="s">
        <v>40</v>
      </c>
      <c r="G10" s="156" t="s">
        <v>5238</v>
      </c>
      <c r="H10" s="156">
        <v>45292.99722222222</v>
      </c>
      <c r="I10" s="157" t="s">
        <v>5239</v>
      </c>
      <c r="J10" s="157" t="s">
        <v>72</v>
      </c>
      <c r="K10" s="157"/>
      <c r="L10" s="158"/>
    </row>
    <row r="11" spans="1:17">
      <c r="A11" s="154" t="s">
        <v>20</v>
      </c>
      <c r="B11" s="155" t="s">
        <v>5240</v>
      </c>
      <c r="C11" s="133" t="s">
        <v>21</v>
      </c>
      <c r="D11" s="133" t="s">
        <v>5241</v>
      </c>
      <c r="E11" s="133" t="s">
        <v>5242</v>
      </c>
      <c r="F11" s="133" t="s">
        <v>40</v>
      </c>
      <c r="G11" s="156" t="s">
        <v>5243</v>
      </c>
      <c r="H11" s="156">
        <v>45292.990277777775</v>
      </c>
      <c r="I11" s="157" t="s">
        <v>52</v>
      </c>
      <c r="J11" s="157" t="s">
        <v>72</v>
      </c>
      <c r="K11" s="157"/>
      <c r="L11" s="158"/>
    </row>
    <row r="12" spans="1:17">
      <c r="A12" s="154" t="s">
        <v>106</v>
      </c>
      <c r="B12" s="155" t="s">
        <v>5244</v>
      </c>
      <c r="C12" s="133" t="s">
        <v>333</v>
      </c>
      <c r="D12" s="133" t="s">
        <v>5245</v>
      </c>
      <c r="E12" s="133" t="s">
        <v>5246</v>
      </c>
      <c r="F12" s="133" t="s">
        <v>40</v>
      </c>
      <c r="G12" s="156">
        <v>45323.123611111114</v>
      </c>
      <c r="H12" s="156">
        <v>45323.159722222219</v>
      </c>
      <c r="I12" s="157" t="s">
        <v>346</v>
      </c>
      <c r="J12" s="157" t="s">
        <v>72</v>
      </c>
      <c r="K12" s="157"/>
      <c r="L12" s="158"/>
    </row>
    <row r="13" spans="1:17">
      <c r="A13" s="154" t="s">
        <v>106</v>
      </c>
      <c r="B13" s="159" t="s">
        <v>5247</v>
      </c>
      <c r="C13" s="134" t="s">
        <v>108</v>
      </c>
      <c r="D13" s="132" t="s">
        <v>5248</v>
      </c>
      <c r="E13" s="132" t="s">
        <v>5249</v>
      </c>
      <c r="F13" s="134" t="s">
        <v>40</v>
      </c>
      <c r="G13" s="156">
        <v>45323.146527777775</v>
      </c>
      <c r="H13" s="156">
        <v>45323.271527777775</v>
      </c>
      <c r="I13" s="157" t="s">
        <v>4595</v>
      </c>
      <c r="J13" s="160" t="s">
        <v>72</v>
      </c>
      <c r="K13" s="160"/>
      <c r="L13" s="161"/>
    </row>
    <row r="14" spans="1:17">
      <c r="A14" s="154" t="s">
        <v>20</v>
      </c>
      <c r="B14" s="159" t="s">
        <v>5250</v>
      </c>
      <c r="C14" s="134" t="s">
        <v>21</v>
      </c>
      <c r="D14" s="132" t="s">
        <v>5251</v>
      </c>
      <c r="E14" s="132" t="s">
        <v>5252</v>
      </c>
      <c r="F14" s="134" t="s">
        <v>40</v>
      </c>
      <c r="G14" s="156">
        <v>45323.190972222219</v>
      </c>
      <c r="H14" s="156">
        <v>45323.20416666667</v>
      </c>
      <c r="I14" s="157" t="s">
        <v>52</v>
      </c>
      <c r="J14" s="160" t="s">
        <v>72</v>
      </c>
      <c r="K14" s="160"/>
      <c r="L14" s="161"/>
    </row>
    <row r="15" spans="1:17">
      <c r="A15" s="154" t="s">
        <v>95</v>
      </c>
      <c r="B15" s="155" t="s">
        <v>5253</v>
      </c>
      <c r="C15" s="133" t="s">
        <v>118</v>
      </c>
      <c r="D15" s="133" t="s">
        <v>5254</v>
      </c>
      <c r="E15" s="133" t="s">
        <v>5255</v>
      </c>
      <c r="F15" s="133" t="s">
        <v>40</v>
      </c>
      <c r="G15" s="156">
        <v>45323.271527777775</v>
      </c>
      <c r="H15" s="156">
        <v>45323.284722222219</v>
      </c>
      <c r="I15" s="157" t="s">
        <v>2119</v>
      </c>
      <c r="J15" s="157" t="s">
        <v>72</v>
      </c>
      <c r="K15" s="157"/>
      <c r="L15" s="158"/>
    </row>
    <row r="16" spans="1:17">
      <c r="A16" s="154" t="s">
        <v>106</v>
      </c>
      <c r="B16" s="159" t="s">
        <v>5256</v>
      </c>
      <c r="C16" s="134" t="s">
        <v>108</v>
      </c>
      <c r="D16" s="134" t="s">
        <v>5185</v>
      </c>
      <c r="E16" s="134" t="s">
        <v>5257</v>
      </c>
      <c r="F16" s="134" t="s">
        <v>40</v>
      </c>
      <c r="G16" s="156">
        <v>45323.45208333333</v>
      </c>
      <c r="H16" s="156" t="s">
        <v>5258</v>
      </c>
      <c r="I16" s="157" t="s">
        <v>111</v>
      </c>
      <c r="J16" s="160" t="s">
        <v>61</v>
      </c>
      <c r="K16" s="157"/>
      <c r="L16" s="158"/>
    </row>
    <row r="17" spans="1:12">
      <c r="A17" s="154" t="s">
        <v>20</v>
      </c>
      <c r="B17" s="159" t="s">
        <v>5259</v>
      </c>
      <c r="C17" s="133" t="s">
        <v>13</v>
      </c>
      <c r="D17" s="132" t="s">
        <v>5260</v>
      </c>
      <c r="E17" s="133" t="s">
        <v>5261</v>
      </c>
      <c r="F17" s="133" t="s">
        <v>40</v>
      </c>
      <c r="G17" s="156" t="s">
        <v>5262</v>
      </c>
      <c r="H17" s="156" t="s">
        <v>5263</v>
      </c>
      <c r="I17" s="157" t="s">
        <v>1367</v>
      </c>
      <c r="J17" s="157" t="s">
        <v>61</v>
      </c>
      <c r="K17" s="157"/>
      <c r="L17" s="158"/>
    </row>
    <row r="18" spans="1:12">
      <c r="A18" s="154" t="s">
        <v>20</v>
      </c>
      <c r="B18" s="155" t="s">
        <v>5264</v>
      </c>
      <c r="C18" s="133" t="s">
        <v>21</v>
      </c>
      <c r="D18" s="133" t="s">
        <v>5265</v>
      </c>
      <c r="E18" s="133" t="s">
        <v>5246</v>
      </c>
      <c r="F18" s="133" t="s">
        <v>40</v>
      </c>
      <c r="G18" s="156" t="s">
        <v>5266</v>
      </c>
      <c r="H18" s="156" t="s">
        <v>5267</v>
      </c>
      <c r="I18" s="157" t="s">
        <v>4359</v>
      </c>
      <c r="J18" s="157" t="s">
        <v>72</v>
      </c>
      <c r="K18" s="157"/>
      <c r="L18" s="158"/>
    </row>
    <row r="19" spans="1:12" ht="58">
      <c r="A19" s="154" t="s">
        <v>20</v>
      </c>
      <c r="B19" s="155" t="s">
        <v>5268</v>
      </c>
      <c r="C19" s="133" t="s">
        <v>13</v>
      </c>
      <c r="D19" s="133" t="s">
        <v>5269</v>
      </c>
      <c r="E19" s="135" t="s">
        <v>5270</v>
      </c>
      <c r="F19" s="133" t="s">
        <v>40</v>
      </c>
      <c r="G19" s="156" t="s">
        <v>5271</v>
      </c>
      <c r="H19" s="156" t="s">
        <v>5272</v>
      </c>
      <c r="I19" s="157" t="s">
        <v>5273</v>
      </c>
      <c r="J19" s="157" t="s">
        <v>72</v>
      </c>
      <c r="K19" s="157"/>
      <c r="L19" s="158"/>
    </row>
    <row r="20" spans="1:12">
      <c r="A20" s="154" t="s">
        <v>20</v>
      </c>
      <c r="B20" s="155" t="s">
        <v>5274</v>
      </c>
      <c r="C20" s="133" t="s">
        <v>49</v>
      </c>
      <c r="D20" s="133" t="s">
        <v>5275</v>
      </c>
      <c r="E20" s="133" t="s">
        <v>5276</v>
      </c>
      <c r="F20" s="133" t="s">
        <v>40</v>
      </c>
      <c r="G20" s="156" t="s">
        <v>5277</v>
      </c>
      <c r="H20" s="156" t="s">
        <v>5278</v>
      </c>
      <c r="I20" s="157" t="s">
        <v>5279</v>
      </c>
      <c r="J20" s="157" t="s">
        <v>72</v>
      </c>
      <c r="K20" s="157"/>
      <c r="L20" s="158"/>
    </row>
    <row r="21" spans="1:12">
      <c r="A21" s="154" t="s">
        <v>20</v>
      </c>
      <c r="B21" s="155" t="s">
        <v>5280</v>
      </c>
      <c r="C21" s="133" t="s">
        <v>21</v>
      </c>
      <c r="D21" s="133" t="s">
        <v>5206</v>
      </c>
      <c r="E21" s="133" t="s">
        <v>5281</v>
      </c>
      <c r="F21" s="133" t="s">
        <v>40</v>
      </c>
      <c r="G21" s="156" t="s">
        <v>5282</v>
      </c>
      <c r="H21" s="156" t="s">
        <v>5283</v>
      </c>
      <c r="I21" s="157" t="s">
        <v>52</v>
      </c>
      <c r="J21" s="157" t="s">
        <v>72</v>
      </c>
      <c r="K21" s="157"/>
      <c r="L21" s="158"/>
    </row>
    <row r="22" spans="1:12">
      <c r="A22" s="154" t="s">
        <v>20</v>
      </c>
      <c r="B22" s="155" t="s">
        <v>5284</v>
      </c>
      <c r="C22" s="133" t="s">
        <v>21</v>
      </c>
      <c r="D22" s="133" t="s">
        <v>5285</v>
      </c>
      <c r="E22" s="133" t="s">
        <v>5286</v>
      </c>
      <c r="F22" s="133" t="s">
        <v>40</v>
      </c>
      <c r="G22" s="156" t="s">
        <v>5287</v>
      </c>
      <c r="H22" s="156" t="s">
        <v>5288</v>
      </c>
      <c r="I22" s="157" t="s">
        <v>52</v>
      </c>
      <c r="J22" s="157" t="s">
        <v>72</v>
      </c>
      <c r="K22" s="157"/>
      <c r="L22" s="158"/>
    </row>
    <row r="23" spans="1:12">
      <c r="A23" s="154" t="s">
        <v>20</v>
      </c>
      <c r="B23" s="155" t="s">
        <v>5289</v>
      </c>
      <c r="C23" s="133" t="s">
        <v>21</v>
      </c>
      <c r="D23" s="133" t="s">
        <v>5290</v>
      </c>
      <c r="E23" s="133" t="s">
        <v>5291</v>
      </c>
      <c r="F23" s="133" t="s">
        <v>40</v>
      </c>
      <c r="G23" s="156" t="s">
        <v>5292</v>
      </c>
      <c r="H23" s="156" t="s">
        <v>5293</v>
      </c>
      <c r="I23" s="157" t="s">
        <v>52</v>
      </c>
      <c r="J23" s="157" t="s">
        <v>72</v>
      </c>
      <c r="K23" s="157"/>
      <c r="L23" s="158"/>
    </row>
    <row r="24" spans="1:12">
      <c r="A24" s="154" t="s">
        <v>20</v>
      </c>
      <c r="B24" s="155" t="s">
        <v>5294</v>
      </c>
      <c r="C24" s="133" t="s">
        <v>13</v>
      </c>
      <c r="D24" s="133" t="s">
        <v>5295</v>
      </c>
      <c r="E24" s="133" t="s">
        <v>5296</v>
      </c>
      <c r="F24" s="133" t="s">
        <v>40</v>
      </c>
      <c r="G24" s="156">
        <v>45323.836805555555</v>
      </c>
      <c r="H24" s="156">
        <v>45352.348611111112</v>
      </c>
      <c r="I24" s="157" t="s">
        <v>17</v>
      </c>
      <c r="J24" s="157" t="s">
        <v>94</v>
      </c>
      <c r="K24" s="157"/>
      <c r="L24" s="158"/>
    </row>
    <row r="25" spans="1:12">
      <c r="A25" s="154" t="s">
        <v>20</v>
      </c>
      <c r="B25" s="155" t="s">
        <v>5297</v>
      </c>
      <c r="C25" s="133" t="s">
        <v>21</v>
      </c>
      <c r="D25" s="133" t="s">
        <v>1824</v>
      </c>
      <c r="E25" s="133" t="s">
        <v>5298</v>
      </c>
      <c r="F25" s="133" t="s">
        <v>40</v>
      </c>
      <c r="G25" s="156">
        <v>45352.013888888891</v>
      </c>
      <c r="H25" s="156">
        <v>45352.052083333336</v>
      </c>
      <c r="I25" s="157" t="s">
        <v>52</v>
      </c>
      <c r="J25" s="157" t="s">
        <v>72</v>
      </c>
      <c r="K25" s="157"/>
      <c r="L25" s="158"/>
    </row>
    <row r="26" spans="1:12">
      <c r="A26" s="154" t="s">
        <v>106</v>
      </c>
      <c r="B26" s="155" t="s">
        <v>5299</v>
      </c>
      <c r="C26" s="133" t="s">
        <v>108</v>
      </c>
      <c r="D26" s="133" t="s">
        <v>2838</v>
      </c>
      <c r="E26" s="133" t="s">
        <v>2839</v>
      </c>
      <c r="F26" s="133" t="s">
        <v>40</v>
      </c>
      <c r="G26" s="156">
        <v>45352.125</v>
      </c>
      <c r="H26" s="156">
        <v>45352.291666666664</v>
      </c>
      <c r="I26" s="157" t="s">
        <v>32</v>
      </c>
      <c r="J26" s="157" t="s">
        <v>72</v>
      </c>
      <c r="K26" s="157"/>
      <c r="L26" s="158"/>
    </row>
    <row r="27" spans="1:12">
      <c r="A27" s="154" t="s">
        <v>20</v>
      </c>
      <c r="B27" s="155" t="s">
        <v>5300</v>
      </c>
      <c r="C27" s="133" t="s">
        <v>21</v>
      </c>
      <c r="D27" s="133" t="s">
        <v>5301</v>
      </c>
      <c r="E27" s="133" t="s">
        <v>5302</v>
      </c>
      <c r="F27" s="133" t="s">
        <v>40</v>
      </c>
      <c r="G27" s="156">
        <v>45352.131944444445</v>
      </c>
      <c r="H27" s="156">
        <v>45352.138194444444</v>
      </c>
      <c r="I27" s="157" t="s">
        <v>52</v>
      </c>
      <c r="J27" s="157" t="s">
        <v>72</v>
      </c>
      <c r="K27" s="157"/>
      <c r="L27" s="162"/>
    </row>
    <row r="28" spans="1:12">
      <c r="A28" s="154" t="s">
        <v>95</v>
      </c>
      <c r="B28" s="155" t="s">
        <v>5303</v>
      </c>
      <c r="C28" s="133" t="s">
        <v>113</v>
      </c>
      <c r="D28" s="133" t="s">
        <v>5304</v>
      </c>
      <c r="E28" s="133" t="s">
        <v>5305</v>
      </c>
      <c r="F28" s="133" t="s">
        <v>40</v>
      </c>
      <c r="G28" s="156">
        <v>45352.244444444441</v>
      </c>
      <c r="H28" s="156">
        <v>45352.267361111109</v>
      </c>
      <c r="I28" s="157" t="s">
        <v>2119</v>
      </c>
      <c r="J28" s="157" t="s">
        <v>72</v>
      </c>
      <c r="K28" s="157" t="s">
        <v>88</v>
      </c>
      <c r="L28" s="163">
        <v>45352.333333333336</v>
      </c>
    </row>
    <row r="29" spans="1:12">
      <c r="A29" s="154" t="s">
        <v>20</v>
      </c>
      <c r="B29" s="155" t="s">
        <v>5306</v>
      </c>
      <c r="C29" s="133" t="s">
        <v>21</v>
      </c>
      <c r="D29" s="133" t="s">
        <v>5307</v>
      </c>
      <c r="E29" s="134" t="s">
        <v>5308</v>
      </c>
      <c r="F29" s="133" t="s">
        <v>40</v>
      </c>
      <c r="G29" s="156">
        <v>45352.205555555556</v>
      </c>
      <c r="H29" s="156">
        <v>45352.324999999997</v>
      </c>
      <c r="I29" s="157" t="s">
        <v>2129</v>
      </c>
      <c r="J29" s="157" t="s">
        <v>94</v>
      </c>
      <c r="K29" s="157"/>
      <c r="L29" s="158"/>
    </row>
    <row r="30" spans="1:12">
      <c r="A30" s="154" t="s">
        <v>106</v>
      </c>
      <c r="B30" s="155" t="s">
        <v>5309</v>
      </c>
      <c r="C30" s="133" t="s">
        <v>333</v>
      </c>
      <c r="D30" s="133" t="s">
        <v>5310</v>
      </c>
      <c r="E30" s="133" t="s">
        <v>5311</v>
      </c>
      <c r="F30" s="133" t="s">
        <v>40</v>
      </c>
      <c r="G30" s="156">
        <v>45352.219444444447</v>
      </c>
      <c r="H30" s="156">
        <v>45352.388194444444</v>
      </c>
      <c r="I30" s="157" t="s">
        <v>346</v>
      </c>
      <c r="J30" s="157" t="s">
        <v>94</v>
      </c>
      <c r="K30" s="157"/>
      <c r="L30" s="158"/>
    </row>
    <row r="31" spans="1:12">
      <c r="A31" s="154" t="s">
        <v>106</v>
      </c>
      <c r="B31" s="155" t="s">
        <v>5312</v>
      </c>
      <c r="C31" s="133" t="s">
        <v>333</v>
      </c>
      <c r="D31" s="133" t="s">
        <v>5310</v>
      </c>
      <c r="E31" s="133" t="s">
        <v>5313</v>
      </c>
      <c r="F31" s="133" t="s">
        <v>40</v>
      </c>
      <c r="G31" s="156">
        <v>45352.277083333334</v>
      </c>
      <c r="H31" s="156">
        <v>45352.390972222223</v>
      </c>
      <c r="I31" s="157" t="s">
        <v>346</v>
      </c>
      <c r="J31" s="157" t="s">
        <v>94</v>
      </c>
      <c r="K31" s="157"/>
      <c r="L31" s="158"/>
    </row>
    <row r="32" spans="1:12">
      <c r="A32" s="154" t="s">
        <v>20</v>
      </c>
      <c r="B32" s="155" t="s">
        <v>5314</v>
      </c>
      <c r="C32" s="133" t="s">
        <v>13</v>
      </c>
      <c r="D32" s="133" t="s">
        <v>5315</v>
      </c>
      <c r="E32" s="134" t="s">
        <v>5316</v>
      </c>
      <c r="F32" s="133" t="s">
        <v>40</v>
      </c>
      <c r="G32" s="156">
        <v>45352.319444444445</v>
      </c>
      <c r="H32" s="156">
        <v>45352.396527777775</v>
      </c>
      <c r="I32" s="157" t="s">
        <v>17</v>
      </c>
      <c r="J32" s="157" t="s">
        <v>94</v>
      </c>
      <c r="K32" s="157"/>
      <c r="L32" s="158"/>
    </row>
    <row r="33" spans="1:12">
      <c r="A33" s="154" t="s">
        <v>20</v>
      </c>
      <c r="B33" s="155" t="s">
        <v>5317</v>
      </c>
      <c r="C33" s="133" t="s">
        <v>13</v>
      </c>
      <c r="D33" s="133" t="s">
        <v>5318</v>
      </c>
      <c r="E33" s="133" t="s">
        <v>5319</v>
      </c>
      <c r="F33" s="133" t="s">
        <v>40</v>
      </c>
      <c r="G33" s="156">
        <v>45352.353472222225</v>
      </c>
      <c r="H33" s="156">
        <v>45352.395138888889</v>
      </c>
      <c r="I33" s="157" t="s">
        <v>17</v>
      </c>
      <c r="J33" s="157" t="s">
        <v>94</v>
      </c>
      <c r="K33" s="157"/>
      <c r="L33" s="158"/>
    </row>
    <row r="34" spans="1:12">
      <c r="A34" s="154" t="s">
        <v>20</v>
      </c>
      <c r="B34" s="155" t="s">
        <v>5320</v>
      </c>
      <c r="C34" s="133" t="s">
        <v>13</v>
      </c>
      <c r="D34" s="133" t="s">
        <v>5321</v>
      </c>
      <c r="E34" s="134" t="s">
        <v>5322</v>
      </c>
      <c r="F34" s="133" t="s">
        <v>40</v>
      </c>
      <c r="G34" s="156">
        <v>45352.4375</v>
      </c>
      <c r="H34" s="156">
        <v>45352.60833333333</v>
      </c>
      <c r="I34" s="157" t="s">
        <v>17</v>
      </c>
      <c r="J34" s="157" t="s">
        <v>94</v>
      </c>
      <c r="K34" s="157"/>
      <c r="L34" s="158"/>
    </row>
    <row r="35" spans="1:12">
      <c r="A35" s="154" t="s">
        <v>20</v>
      </c>
      <c r="B35" s="155" t="s">
        <v>5323</v>
      </c>
      <c r="C35" s="133" t="s">
        <v>13</v>
      </c>
      <c r="D35" s="133" t="s">
        <v>5324</v>
      </c>
      <c r="E35" s="133" t="s">
        <v>5325</v>
      </c>
      <c r="F35" s="133" t="s">
        <v>40</v>
      </c>
      <c r="G35" s="156">
        <v>45352.509722222225</v>
      </c>
      <c r="H35" s="156">
        <v>45385.568055555559</v>
      </c>
      <c r="I35" s="157" t="s">
        <v>17</v>
      </c>
      <c r="J35" s="157" t="s">
        <v>94</v>
      </c>
      <c r="K35" s="157"/>
      <c r="L35" s="158"/>
    </row>
    <row r="36" spans="1:12">
      <c r="A36" s="154" t="s">
        <v>20</v>
      </c>
      <c r="B36" s="155" t="s">
        <v>5326</v>
      </c>
      <c r="C36" s="133" t="s">
        <v>13</v>
      </c>
      <c r="D36" s="133" t="s">
        <v>5327</v>
      </c>
      <c r="E36" s="133" t="s">
        <v>5328</v>
      </c>
      <c r="F36" s="133" t="s">
        <v>40</v>
      </c>
      <c r="G36" s="156">
        <v>45352.736111111109</v>
      </c>
      <c r="H36" s="156">
        <v>45352.864583333336</v>
      </c>
      <c r="I36" s="157" t="s">
        <v>17</v>
      </c>
      <c r="J36" s="157" t="s">
        <v>88</v>
      </c>
      <c r="K36" s="157"/>
      <c r="L36" s="158"/>
    </row>
    <row r="37" spans="1:12">
      <c r="A37" s="154" t="s">
        <v>20</v>
      </c>
      <c r="B37" s="155" t="s">
        <v>5329</v>
      </c>
      <c r="C37" s="133" t="s">
        <v>21</v>
      </c>
      <c r="D37" s="133" t="s">
        <v>5330</v>
      </c>
      <c r="E37" s="133" t="s">
        <v>5331</v>
      </c>
      <c r="F37" s="133" t="s">
        <v>40</v>
      </c>
      <c r="G37" s="156">
        <v>45352.859722222223</v>
      </c>
      <c r="H37" s="156">
        <v>45352.947222222225</v>
      </c>
      <c r="I37" s="157" t="s">
        <v>1628</v>
      </c>
      <c r="J37" s="157" t="s">
        <v>88</v>
      </c>
      <c r="K37" s="157"/>
      <c r="L37" s="158"/>
    </row>
    <row r="38" spans="1:12">
      <c r="A38" s="154" t="s">
        <v>20</v>
      </c>
      <c r="B38" s="155" t="s">
        <v>5332</v>
      </c>
      <c r="C38" s="133" t="s">
        <v>21</v>
      </c>
      <c r="D38" s="133" t="s">
        <v>5333</v>
      </c>
      <c r="E38" s="133" t="s">
        <v>5334</v>
      </c>
      <c r="F38" s="133" t="s">
        <v>40</v>
      </c>
      <c r="G38" s="156">
        <v>45383.008333333331</v>
      </c>
      <c r="H38" s="156">
        <v>45383.05972222222</v>
      </c>
      <c r="I38" s="157" t="s">
        <v>1628</v>
      </c>
      <c r="J38" s="157" t="s">
        <v>88</v>
      </c>
      <c r="K38" s="157"/>
      <c r="L38" s="158"/>
    </row>
    <row r="39" spans="1:12">
      <c r="A39" s="154" t="s">
        <v>20</v>
      </c>
      <c r="B39" s="155" t="s">
        <v>5335</v>
      </c>
      <c r="C39" s="133" t="s">
        <v>21</v>
      </c>
      <c r="D39" s="133" t="s">
        <v>5336</v>
      </c>
      <c r="E39" s="133" t="s">
        <v>5337</v>
      </c>
      <c r="F39" s="133" t="s">
        <v>40</v>
      </c>
      <c r="G39" s="156">
        <v>45383.109027777777</v>
      </c>
      <c r="H39" s="156">
        <v>45383.143750000003</v>
      </c>
      <c r="I39" s="157" t="s">
        <v>1628</v>
      </c>
      <c r="J39" s="157" t="s">
        <v>88</v>
      </c>
      <c r="K39" s="157"/>
      <c r="L39" s="158"/>
    </row>
    <row r="40" spans="1:12">
      <c r="A40" s="154" t="s">
        <v>106</v>
      </c>
      <c r="B40" s="155" t="s">
        <v>5338</v>
      </c>
      <c r="C40" s="133" t="s">
        <v>78</v>
      </c>
      <c r="D40" s="133" t="s">
        <v>5339</v>
      </c>
      <c r="E40" s="133" t="s">
        <v>5340</v>
      </c>
      <c r="F40" s="133" t="s">
        <v>40</v>
      </c>
      <c r="G40" s="156">
        <v>45383.303472222222</v>
      </c>
      <c r="H40" s="156">
        <v>45383.647916666669</v>
      </c>
      <c r="I40" s="157" t="s">
        <v>258</v>
      </c>
      <c r="J40" s="157" t="s">
        <v>94</v>
      </c>
      <c r="K40" s="157"/>
      <c r="L40" s="158"/>
    </row>
    <row r="41" spans="1:12">
      <c r="A41" s="154" t="s">
        <v>106</v>
      </c>
      <c r="B41" s="155" t="s">
        <v>5341</v>
      </c>
      <c r="C41" s="133" t="s">
        <v>78</v>
      </c>
      <c r="D41" s="133" t="s">
        <v>5342</v>
      </c>
      <c r="E41" s="133" t="s">
        <v>5343</v>
      </c>
      <c r="F41" s="133" t="s">
        <v>40</v>
      </c>
      <c r="G41" s="156">
        <v>45383.304861111108</v>
      </c>
      <c r="H41" s="156">
        <v>45383.65</v>
      </c>
      <c r="I41" s="157" t="s">
        <v>258</v>
      </c>
      <c r="J41" s="157" t="s">
        <v>94</v>
      </c>
      <c r="K41" s="157"/>
      <c r="L41" s="158"/>
    </row>
    <row r="42" spans="1:12">
      <c r="A42" s="154" t="s">
        <v>20</v>
      </c>
      <c r="B42" s="155" t="s">
        <v>5344</v>
      </c>
      <c r="C42" s="133" t="s">
        <v>21</v>
      </c>
      <c r="D42" s="133" t="s">
        <v>5345</v>
      </c>
      <c r="E42" s="134" t="s">
        <v>5346</v>
      </c>
      <c r="F42" s="133" t="s">
        <v>40</v>
      </c>
      <c r="G42" s="156">
        <v>45383.644444444442</v>
      </c>
      <c r="H42" s="156">
        <v>45444.376388888886</v>
      </c>
      <c r="I42" s="157" t="s">
        <v>2129</v>
      </c>
      <c r="J42" s="157" t="s">
        <v>94</v>
      </c>
      <c r="K42" s="157" t="s">
        <v>88</v>
      </c>
      <c r="L42" s="158"/>
    </row>
    <row r="43" spans="1:12">
      <c r="A43" s="154" t="s">
        <v>20</v>
      </c>
      <c r="B43" s="155" t="s">
        <v>5347</v>
      </c>
      <c r="C43" s="133" t="s">
        <v>21</v>
      </c>
      <c r="D43" s="133" t="s">
        <v>5348</v>
      </c>
      <c r="E43" s="133" t="s">
        <v>5349</v>
      </c>
      <c r="F43" s="133" t="s">
        <v>40</v>
      </c>
      <c r="G43" s="156">
        <v>45383.73541666667</v>
      </c>
      <c r="H43" s="156">
        <v>45383.756944444445</v>
      </c>
      <c r="I43" s="157" t="s">
        <v>629</v>
      </c>
      <c r="J43" s="157" t="s">
        <v>88</v>
      </c>
      <c r="K43" s="157"/>
      <c r="L43" s="158"/>
    </row>
    <row r="44" spans="1:12">
      <c r="A44" s="154" t="s">
        <v>20</v>
      </c>
      <c r="B44" s="155" t="s">
        <v>5350</v>
      </c>
      <c r="C44" s="133" t="s">
        <v>21</v>
      </c>
      <c r="D44" s="133" t="s">
        <v>5351</v>
      </c>
      <c r="E44" s="133" t="s">
        <v>5352</v>
      </c>
      <c r="F44" s="133" t="s">
        <v>40</v>
      </c>
      <c r="G44" s="156">
        <v>45383.736111111109</v>
      </c>
      <c r="H44" s="156">
        <v>45383.756944444445</v>
      </c>
      <c r="I44" s="157" t="s">
        <v>629</v>
      </c>
      <c r="J44" s="157" t="s">
        <v>88</v>
      </c>
      <c r="K44" s="157"/>
      <c r="L44" s="158"/>
    </row>
    <row r="45" spans="1:12">
      <c r="A45" s="154" t="s">
        <v>20</v>
      </c>
      <c r="B45" s="155" t="s">
        <v>5353</v>
      </c>
      <c r="C45" s="133" t="s">
        <v>21</v>
      </c>
      <c r="D45" s="133" t="s">
        <v>5354</v>
      </c>
      <c r="E45" s="133" t="s">
        <v>5355</v>
      </c>
      <c r="F45" s="133" t="s">
        <v>40</v>
      </c>
      <c r="G45" s="156">
        <v>45383.737500000003</v>
      </c>
      <c r="H45" s="156">
        <v>45383.756944444445</v>
      </c>
      <c r="I45" s="157" t="s">
        <v>1628</v>
      </c>
      <c r="J45" s="157" t="s">
        <v>88</v>
      </c>
      <c r="K45" s="157"/>
      <c r="L45" s="158"/>
    </row>
    <row r="46" spans="1:12" hidden="1">
      <c r="A46" s="154" t="s">
        <v>20</v>
      </c>
      <c r="B46" s="155" t="s">
        <v>5356</v>
      </c>
      <c r="C46" s="133" t="s">
        <v>13</v>
      </c>
      <c r="D46" s="133" t="s">
        <v>5357</v>
      </c>
      <c r="E46" s="133" t="s">
        <v>5358</v>
      </c>
      <c r="F46" s="133" t="s">
        <v>308</v>
      </c>
      <c r="G46" s="156">
        <v>45383.799305555556</v>
      </c>
      <c r="I46" s="157" t="s">
        <v>17</v>
      </c>
      <c r="J46" s="157" t="s">
        <v>88</v>
      </c>
      <c r="K46" s="157"/>
      <c r="L46" s="158"/>
    </row>
    <row r="47" spans="1:12">
      <c r="A47" s="154" t="s">
        <v>20</v>
      </c>
      <c r="B47" s="155" t="s">
        <v>5359</v>
      </c>
      <c r="C47" s="133" t="s">
        <v>13</v>
      </c>
      <c r="D47" s="133" t="s">
        <v>5360</v>
      </c>
      <c r="E47" s="133" t="s">
        <v>5361</v>
      </c>
      <c r="F47" s="133" t="s">
        <v>40</v>
      </c>
      <c r="G47" s="156">
        <v>45383.881944444445</v>
      </c>
      <c r="H47" s="156">
        <v>45383.912499999999</v>
      </c>
      <c r="I47" s="157" t="s">
        <v>17</v>
      </c>
      <c r="J47" s="157" t="s">
        <v>88</v>
      </c>
      <c r="K47" s="157"/>
      <c r="L47" s="158"/>
    </row>
    <row r="48" spans="1:12">
      <c r="A48" s="154" t="s">
        <v>20</v>
      </c>
      <c r="B48" s="155" t="s">
        <v>5362</v>
      </c>
      <c r="C48" s="133" t="s">
        <v>21</v>
      </c>
      <c r="D48" s="133" t="s">
        <v>5363</v>
      </c>
      <c r="E48" s="133" t="s">
        <v>5364</v>
      </c>
      <c r="F48" s="133" t="s">
        <v>40</v>
      </c>
      <c r="G48" s="156">
        <v>45383.984722222223</v>
      </c>
      <c r="H48" s="156">
        <v>45383.988194444442</v>
      </c>
      <c r="I48" s="157" t="s">
        <v>629</v>
      </c>
      <c r="J48" s="157" t="s">
        <v>88</v>
      </c>
      <c r="K48" s="157"/>
      <c r="L48" s="158"/>
    </row>
    <row r="49" spans="1:12">
      <c r="A49" s="154" t="s">
        <v>20</v>
      </c>
      <c r="B49" s="155" t="s">
        <v>5365</v>
      </c>
      <c r="C49" s="133" t="s">
        <v>13</v>
      </c>
      <c r="D49" s="133" t="s">
        <v>5366</v>
      </c>
      <c r="E49" s="133" t="s">
        <v>5367</v>
      </c>
      <c r="F49" s="133" t="s">
        <v>40</v>
      </c>
      <c r="G49" s="156">
        <v>45413.291666666664</v>
      </c>
      <c r="H49" s="156">
        <v>45506.473611111112</v>
      </c>
      <c r="I49" s="157" t="s">
        <v>17</v>
      </c>
      <c r="J49" s="157" t="s">
        <v>94</v>
      </c>
      <c r="K49" s="157"/>
      <c r="L49" s="158"/>
    </row>
    <row r="50" spans="1:12">
      <c r="A50" s="154" t="s">
        <v>106</v>
      </c>
      <c r="B50" s="155" t="s">
        <v>5368</v>
      </c>
      <c r="C50" s="133" t="s">
        <v>78</v>
      </c>
      <c r="D50" s="133" t="s">
        <v>5369</v>
      </c>
      <c r="E50" s="133" t="s">
        <v>5370</v>
      </c>
      <c r="F50" s="133" t="s">
        <v>40</v>
      </c>
      <c r="G50" s="156">
        <v>45413.309027777781</v>
      </c>
      <c r="H50" s="156">
        <v>45413.359722222223</v>
      </c>
      <c r="I50" s="157" t="s">
        <v>258</v>
      </c>
      <c r="J50" s="157" t="s">
        <v>94</v>
      </c>
      <c r="K50" s="157"/>
      <c r="L50" s="158"/>
    </row>
    <row r="51" spans="1:12">
      <c r="A51" s="154" t="s">
        <v>106</v>
      </c>
      <c r="B51" s="155" t="s">
        <v>5371</v>
      </c>
      <c r="C51" s="133" t="s">
        <v>108</v>
      </c>
      <c r="D51" s="133" t="s">
        <v>4266</v>
      </c>
      <c r="E51" s="134" t="s">
        <v>5372</v>
      </c>
      <c r="F51" s="133" t="s">
        <v>40</v>
      </c>
      <c r="G51" s="156">
        <v>45413.35</v>
      </c>
      <c r="H51" s="156">
        <v>45413.35833333333</v>
      </c>
      <c r="I51" s="157" t="s">
        <v>4693</v>
      </c>
      <c r="J51" s="157" t="s">
        <v>94</v>
      </c>
      <c r="K51" s="157"/>
      <c r="L51" s="158"/>
    </row>
    <row r="52" spans="1:12">
      <c r="A52" s="154" t="s">
        <v>20</v>
      </c>
      <c r="B52" s="155" t="s">
        <v>5373</v>
      </c>
      <c r="C52" s="133" t="s">
        <v>21</v>
      </c>
      <c r="D52" s="133" t="s">
        <v>5374</v>
      </c>
      <c r="E52" s="133" t="s">
        <v>5375</v>
      </c>
      <c r="F52" s="133" t="s">
        <v>40</v>
      </c>
      <c r="G52" s="156">
        <v>45413.493055555555</v>
      </c>
      <c r="H52" s="156">
        <v>45413.588194444441</v>
      </c>
      <c r="I52" s="157" t="s">
        <v>4359</v>
      </c>
      <c r="J52" s="157" t="s">
        <v>94</v>
      </c>
      <c r="K52" s="157"/>
      <c r="L52" s="158"/>
    </row>
    <row r="53" spans="1:12">
      <c r="A53" s="154" t="s">
        <v>20</v>
      </c>
      <c r="B53" s="155" t="s">
        <v>5376</v>
      </c>
      <c r="C53" s="133" t="s">
        <v>49</v>
      </c>
      <c r="D53" s="133" t="s">
        <v>5377</v>
      </c>
      <c r="E53" s="134" t="s">
        <v>5378</v>
      </c>
      <c r="F53" s="133" t="s">
        <v>40</v>
      </c>
      <c r="G53" s="156">
        <v>45413.589583333334</v>
      </c>
      <c r="H53" s="156">
        <v>45444.436805555553</v>
      </c>
      <c r="I53" s="157" t="s">
        <v>5379</v>
      </c>
      <c r="J53" s="157" t="s">
        <v>94</v>
      </c>
      <c r="K53" s="157"/>
      <c r="L53" s="158"/>
    </row>
    <row r="54" spans="1:12">
      <c r="A54" s="154" t="s">
        <v>20</v>
      </c>
      <c r="B54" s="155" t="s">
        <v>5380</v>
      </c>
      <c r="C54" s="133" t="s">
        <v>21</v>
      </c>
      <c r="D54" s="133" t="s">
        <v>5381</v>
      </c>
      <c r="E54" s="133" t="s">
        <v>5382</v>
      </c>
      <c r="F54" s="133" t="s">
        <v>40</v>
      </c>
      <c r="G54" s="156">
        <v>45413.597222222219</v>
      </c>
      <c r="H54" s="156">
        <v>45413.640972222223</v>
      </c>
      <c r="I54" s="157" t="s">
        <v>4359</v>
      </c>
      <c r="J54" s="157" t="s">
        <v>94</v>
      </c>
      <c r="K54" s="157"/>
      <c r="L54" s="158"/>
    </row>
    <row r="55" spans="1:12">
      <c r="A55" s="154" t="s">
        <v>20</v>
      </c>
      <c r="B55" s="155" t="s">
        <v>5383</v>
      </c>
      <c r="C55" s="133" t="s">
        <v>21</v>
      </c>
      <c r="D55" s="133" t="s">
        <v>5384</v>
      </c>
      <c r="E55" s="134" t="s">
        <v>5385</v>
      </c>
      <c r="F55" s="133" t="s">
        <v>40</v>
      </c>
      <c r="G55" s="156">
        <v>45413.706250000003</v>
      </c>
      <c r="H55" s="156">
        <v>45413.736805555556</v>
      </c>
      <c r="I55" s="157" t="s">
        <v>1628</v>
      </c>
      <c r="J55" s="157" t="s">
        <v>88</v>
      </c>
      <c r="K55" s="157"/>
      <c r="L55" s="158"/>
    </row>
    <row r="56" spans="1:12">
      <c r="A56" s="154" t="s">
        <v>20</v>
      </c>
      <c r="B56" s="155" t="s">
        <v>5386</v>
      </c>
      <c r="C56" s="133" t="s">
        <v>21</v>
      </c>
      <c r="D56" s="133" t="s">
        <v>5387</v>
      </c>
      <c r="E56" s="133" t="s">
        <v>5388</v>
      </c>
      <c r="F56" s="133" t="s">
        <v>40</v>
      </c>
      <c r="G56" s="156">
        <v>45413.712500000001</v>
      </c>
      <c r="H56" s="156">
        <v>45413.737500000003</v>
      </c>
      <c r="I56" s="157" t="s">
        <v>1628</v>
      </c>
      <c r="J56" s="157" t="s">
        <v>88</v>
      </c>
      <c r="K56" s="157"/>
      <c r="L56" s="158"/>
    </row>
    <row r="57" spans="1:12">
      <c r="A57" s="154" t="s">
        <v>20</v>
      </c>
      <c r="B57" s="155" t="s">
        <v>5389</v>
      </c>
      <c r="C57" s="133" t="s">
        <v>21</v>
      </c>
      <c r="D57" s="133" t="s">
        <v>5390</v>
      </c>
      <c r="E57" s="133" t="s">
        <v>5391</v>
      </c>
      <c r="F57" s="133" t="s">
        <v>40</v>
      </c>
      <c r="G57" s="156">
        <v>45413.73333333333</v>
      </c>
      <c r="H57" s="156">
        <v>45413.736111111109</v>
      </c>
      <c r="I57" s="157" t="s">
        <v>1628</v>
      </c>
      <c r="J57" s="157" t="s">
        <v>88</v>
      </c>
      <c r="K57" s="157"/>
      <c r="L57" s="158"/>
    </row>
    <row r="58" spans="1:12">
      <c r="A58" s="154" t="s">
        <v>20</v>
      </c>
      <c r="B58" s="155" t="s">
        <v>5392</v>
      </c>
      <c r="C58" s="133" t="s">
        <v>21</v>
      </c>
      <c r="D58" s="133" t="s">
        <v>5393</v>
      </c>
      <c r="E58" s="133" t="s">
        <v>5394</v>
      </c>
      <c r="F58" s="133" t="s">
        <v>40</v>
      </c>
      <c r="G58" s="156">
        <v>45413.750694444447</v>
      </c>
      <c r="H58" s="156">
        <v>45413.755555555559</v>
      </c>
      <c r="I58" s="157" t="s">
        <v>1628</v>
      </c>
      <c r="J58" s="157" t="s">
        <v>88</v>
      </c>
      <c r="K58" s="157"/>
      <c r="L58" s="158"/>
    </row>
    <row r="59" spans="1:12">
      <c r="A59" s="154" t="s">
        <v>20</v>
      </c>
      <c r="B59" s="155" t="s">
        <v>5395</v>
      </c>
      <c r="C59" s="133" t="s">
        <v>21</v>
      </c>
      <c r="D59" s="133" t="s">
        <v>5396</v>
      </c>
      <c r="E59" s="133" t="s">
        <v>5397</v>
      </c>
      <c r="F59" s="133" t="s">
        <v>40</v>
      </c>
      <c r="G59" s="156">
        <v>45413.78402777778</v>
      </c>
      <c r="H59" s="156">
        <v>45413.910416666666</v>
      </c>
      <c r="I59" s="157" t="s">
        <v>1628</v>
      </c>
      <c r="J59" s="157" t="s">
        <v>88</v>
      </c>
      <c r="K59" s="157"/>
      <c r="L59" s="158"/>
    </row>
    <row r="60" spans="1:12">
      <c r="A60" s="164" t="s">
        <v>20</v>
      </c>
      <c r="B60" s="155" t="s">
        <v>5398</v>
      </c>
      <c r="C60" s="133" t="s">
        <v>21</v>
      </c>
      <c r="D60" s="133" t="s">
        <v>5399</v>
      </c>
      <c r="E60" s="133" t="s">
        <v>5400</v>
      </c>
      <c r="F60" s="133" t="s">
        <v>40</v>
      </c>
      <c r="G60" s="156">
        <v>45413.811805555553</v>
      </c>
      <c r="H60" s="156">
        <v>45413.818749999999</v>
      </c>
      <c r="I60" s="157" t="s">
        <v>1628</v>
      </c>
      <c r="J60" s="157" t="s">
        <v>88</v>
      </c>
      <c r="K60" s="157"/>
      <c r="L60" s="158"/>
    </row>
    <row r="61" spans="1:12">
      <c r="A61" s="164" t="s">
        <v>20</v>
      </c>
      <c r="B61" s="159" t="s">
        <v>5401</v>
      </c>
      <c r="C61" s="133" t="s">
        <v>21</v>
      </c>
      <c r="D61" s="134" t="s">
        <v>5402</v>
      </c>
      <c r="E61" s="134" t="s">
        <v>5403</v>
      </c>
      <c r="F61" s="133" t="s">
        <v>40</v>
      </c>
      <c r="G61" s="156">
        <v>45413.825694444444</v>
      </c>
      <c r="H61" s="156">
        <v>45413.82708333333</v>
      </c>
      <c r="I61" s="157" t="s">
        <v>1628</v>
      </c>
      <c r="J61" s="157" t="s">
        <v>88</v>
      </c>
      <c r="K61" s="160"/>
      <c r="L61" s="161"/>
    </row>
    <row r="62" spans="1:12">
      <c r="A62" s="164" t="s">
        <v>20</v>
      </c>
      <c r="B62" s="155" t="s">
        <v>5404</v>
      </c>
      <c r="C62" s="133" t="s">
        <v>21</v>
      </c>
      <c r="D62" s="133" t="s">
        <v>5405</v>
      </c>
      <c r="E62" s="133" t="s">
        <v>5406</v>
      </c>
      <c r="F62" s="133" t="s">
        <v>40</v>
      </c>
      <c r="G62" s="156">
        <v>45413.847916666666</v>
      </c>
      <c r="H62" s="156">
        <v>45413.85833333333</v>
      </c>
      <c r="I62" s="157" t="s">
        <v>1628</v>
      </c>
      <c r="J62" s="157" t="s">
        <v>88</v>
      </c>
      <c r="K62" s="157"/>
      <c r="L62" s="158"/>
    </row>
    <row r="63" spans="1:12">
      <c r="A63" s="164" t="s">
        <v>20</v>
      </c>
      <c r="B63" s="155" t="s">
        <v>5407</v>
      </c>
      <c r="C63" s="133" t="s">
        <v>21</v>
      </c>
      <c r="D63" s="133" t="s">
        <v>5408</v>
      </c>
      <c r="E63" s="133" t="s">
        <v>5409</v>
      </c>
      <c r="F63" s="133" t="s">
        <v>40</v>
      </c>
      <c r="G63" s="156">
        <v>45413.961805555555</v>
      </c>
      <c r="H63" s="156">
        <v>45413.977777777778</v>
      </c>
      <c r="I63" s="157" t="s">
        <v>1628</v>
      </c>
      <c r="J63" s="157" t="s">
        <v>88</v>
      </c>
      <c r="K63" s="157"/>
      <c r="L63" s="158"/>
    </row>
    <row r="64" spans="1:12">
      <c r="A64" s="164" t="s">
        <v>20</v>
      </c>
      <c r="B64" s="155" t="s">
        <v>5410</v>
      </c>
      <c r="C64" s="133" t="s">
        <v>13</v>
      </c>
      <c r="D64" s="132" t="s">
        <v>5411</v>
      </c>
      <c r="E64" s="133" t="s">
        <v>5412</v>
      </c>
      <c r="F64" s="133" t="s">
        <v>40</v>
      </c>
      <c r="G64" s="156">
        <v>45444.640972222223</v>
      </c>
      <c r="H64" s="156">
        <v>45444.660416666666</v>
      </c>
      <c r="I64" s="157" t="s">
        <v>2689</v>
      </c>
      <c r="J64" s="157" t="s">
        <v>94</v>
      </c>
      <c r="K64" s="157"/>
      <c r="L64" s="158"/>
    </row>
    <row r="65" spans="1:12">
      <c r="A65" s="154" t="s">
        <v>20</v>
      </c>
      <c r="B65" s="155" t="s">
        <v>5413</v>
      </c>
      <c r="C65" s="133" t="s">
        <v>21</v>
      </c>
      <c r="D65" s="133" t="s">
        <v>5414</v>
      </c>
      <c r="E65" s="134" t="s">
        <v>5415</v>
      </c>
      <c r="F65" s="133" t="s">
        <v>40</v>
      </c>
      <c r="G65" s="156">
        <v>45444.709722222222</v>
      </c>
      <c r="H65" s="156">
        <v>45444.817361111112</v>
      </c>
      <c r="I65" s="157" t="s">
        <v>1628</v>
      </c>
      <c r="J65" s="157" t="s">
        <v>88</v>
      </c>
      <c r="K65" s="157"/>
      <c r="L65" s="158"/>
    </row>
    <row r="66" spans="1:12">
      <c r="A66" s="154" t="s">
        <v>20</v>
      </c>
      <c r="B66" s="155" t="s">
        <v>5416</v>
      </c>
      <c r="C66" s="133" t="s">
        <v>21</v>
      </c>
      <c r="D66" s="133" t="s">
        <v>5417</v>
      </c>
      <c r="E66" s="133" t="s">
        <v>5418</v>
      </c>
      <c r="F66" s="133" t="s">
        <v>40</v>
      </c>
      <c r="G66" s="156">
        <v>45444.73541666667</v>
      </c>
      <c r="H66" s="156">
        <v>45444.817361111112</v>
      </c>
      <c r="I66" s="157" t="s">
        <v>1628</v>
      </c>
      <c r="J66" s="157" t="s">
        <v>88</v>
      </c>
      <c r="K66" s="157"/>
      <c r="L66" s="158"/>
    </row>
    <row r="67" spans="1:12" ht="29">
      <c r="A67" s="154" t="s">
        <v>95</v>
      </c>
      <c r="B67" s="155" t="s">
        <v>5419</v>
      </c>
      <c r="C67" s="133" t="s">
        <v>118</v>
      </c>
      <c r="D67" s="133" t="s">
        <v>5420</v>
      </c>
      <c r="E67" s="135" t="s">
        <v>5421</v>
      </c>
      <c r="F67" s="133" t="s">
        <v>40</v>
      </c>
      <c r="G67" s="156">
        <v>45444.799305555556</v>
      </c>
      <c r="H67" s="156">
        <v>45474.334027777775</v>
      </c>
      <c r="I67" s="157" t="s">
        <v>2585</v>
      </c>
      <c r="J67" s="157" t="s">
        <v>88</v>
      </c>
      <c r="K67" s="157" t="s">
        <v>94</v>
      </c>
      <c r="L67" s="158"/>
    </row>
    <row r="68" spans="1:12">
      <c r="A68" s="154" t="s">
        <v>20</v>
      </c>
      <c r="B68" s="155" t="s">
        <v>5422</v>
      </c>
      <c r="C68" s="133" t="s">
        <v>21</v>
      </c>
      <c r="D68" s="133" t="s">
        <v>5423</v>
      </c>
      <c r="E68" s="133" t="s">
        <v>5424</v>
      </c>
      <c r="F68" s="133" t="s">
        <v>40</v>
      </c>
      <c r="G68" s="156">
        <v>45444.818055555559</v>
      </c>
      <c r="H68" s="156">
        <v>45444.96597222222</v>
      </c>
      <c r="I68" s="157" t="s">
        <v>1628</v>
      </c>
      <c r="J68" s="157" t="s">
        <v>88</v>
      </c>
      <c r="K68" s="157"/>
      <c r="L68" s="158"/>
    </row>
    <row r="69" spans="1:12">
      <c r="A69" s="154" t="s">
        <v>20</v>
      </c>
      <c r="B69" s="155" t="s">
        <v>5425</v>
      </c>
      <c r="C69" s="133" t="s">
        <v>21</v>
      </c>
      <c r="D69" s="133" t="s">
        <v>5426</v>
      </c>
      <c r="E69" s="133" t="s">
        <v>5427</v>
      </c>
      <c r="F69" s="133" t="s">
        <v>40</v>
      </c>
      <c r="G69" s="156">
        <v>45444.968055555553</v>
      </c>
      <c r="H69" s="156">
        <v>45474.13958333333</v>
      </c>
      <c r="I69" s="157" t="s">
        <v>1628</v>
      </c>
      <c r="J69" s="157" t="s">
        <v>88</v>
      </c>
      <c r="K69" s="157"/>
      <c r="L69" s="158"/>
    </row>
    <row r="70" spans="1:12">
      <c r="A70" s="154" t="s">
        <v>20</v>
      </c>
      <c r="B70" s="155" t="s">
        <v>5428</v>
      </c>
      <c r="C70" s="133" t="s">
        <v>21</v>
      </c>
      <c r="D70" s="133" t="s">
        <v>5429</v>
      </c>
      <c r="E70" s="133" t="s">
        <v>5430</v>
      </c>
      <c r="F70" s="133" t="s">
        <v>40</v>
      </c>
      <c r="G70" s="156">
        <v>45474.018750000003</v>
      </c>
      <c r="H70" s="156">
        <v>45474.134027777778</v>
      </c>
      <c r="I70" s="157" t="s">
        <v>1628</v>
      </c>
      <c r="J70" s="157" t="s">
        <v>88</v>
      </c>
      <c r="K70" s="157"/>
      <c r="L70" s="158"/>
    </row>
    <row r="71" spans="1:12">
      <c r="A71" s="154" t="s">
        <v>106</v>
      </c>
      <c r="B71" s="155" t="s">
        <v>5431</v>
      </c>
      <c r="C71" s="133" t="s">
        <v>108</v>
      </c>
      <c r="D71" s="133" t="s">
        <v>5432</v>
      </c>
      <c r="E71" s="133" t="s">
        <v>5433</v>
      </c>
      <c r="F71" s="133" t="s">
        <v>40</v>
      </c>
      <c r="G71" s="156">
        <v>45474.6</v>
      </c>
      <c r="H71" s="156">
        <v>45474.638888888891</v>
      </c>
      <c r="I71" s="157" t="s">
        <v>5434</v>
      </c>
      <c r="J71" s="157" t="s">
        <v>94</v>
      </c>
      <c r="K71" s="157"/>
      <c r="L71" s="158"/>
    </row>
    <row r="72" spans="1:12">
      <c r="A72" s="154" t="s">
        <v>20</v>
      </c>
      <c r="B72" s="155" t="s">
        <v>5435</v>
      </c>
      <c r="C72" s="133" t="s">
        <v>21</v>
      </c>
      <c r="D72" s="133" t="s">
        <v>5436</v>
      </c>
      <c r="E72" s="133" t="s">
        <v>5437</v>
      </c>
      <c r="F72" s="133" t="s">
        <v>40</v>
      </c>
      <c r="G72" s="156">
        <v>45474.700694444444</v>
      </c>
      <c r="H72" s="156">
        <v>45474.752083333333</v>
      </c>
      <c r="I72" s="157" t="s">
        <v>1628</v>
      </c>
      <c r="J72" s="157" t="s">
        <v>88</v>
      </c>
      <c r="K72" s="157"/>
      <c r="L72" s="158"/>
    </row>
    <row r="73" spans="1:12">
      <c r="A73" s="154" t="s">
        <v>20</v>
      </c>
      <c r="B73" s="155" t="s">
        <v>5438</v>
      </c>
      <c r="C73" s="133" t="s">
        <v>21</v>
      </c>
      <c r="D73" s="133" t="s">
        <v>5439</v>
      </c>
      <c r="E73" s="133" t="s">
        <v>5440</v>
      </c>
      <c r="F73" s="133" t="s">
        <v>40</v>
      </c>
      <c r="G73" s="156">
        <v>45474.75277777778</v>
      </c>
      <c r="H73" s="156">
        <v>45474.831250000003</v>
      </c>
      <c r="I73" s="157" t="s">
        <v>1628</v>
      </c>
      <c r="J73" s="157" t="s">
        <v>88</v>
      </c>
      <c r="K73" s="157"/>
      <c r="L73" s="158"/>
    </row>
    <row r="74" spans="1:12">
      <c r="A74" s="154" t="s">
        <v>20</v>
      </c>
      <c r="B74" s="155" t="s">
        <v>5441</v>
      </c>
      <c r="C74" s="133" t="s">
        <v>21</v>
      </c>
      <c r="D74" s="133" t="s">
        <v>5442</v>
      </c>
      <c r="E74" s="133" t="s">
        <v>5443</v>
      </c>
      <c r="F74" s="133" t="s">
        <v>40</v>
      </c>
      <c r="G74" s="156">
        <v>45474.783333333333</v>
      </c>
      <c r="H74" s="156">
        <v>45474.839583333334</v>
      </c>
      <c r="I74" s="157" t="s">
        <v>1628</v>
      </c>
      <c r="J74" s="157" t="s">
        <v>88</v>
      </c>
      <c r="K74" s="157"/>
      <c r="L74" s="158"/>
    </row>
    <row r="75" spans="1:12">
      <c r="A75" s="154" t="s">
        <v>106</v>
      </c>
      <c r="B75" s="155" t="s">
        <v>5444</v>
      </c>
      <c r="C75" s="133" t="s">
        <v>108</v>
      </c>
      <c r="D75" s="133" t="s">
        <v>4266</v>
      </c>
      <c r="E75" s="133" t="s">
        <v>5445</v>
      </c>
      <c r="F75" s="133" t="s">
        <v>40</v>
      </c>
      <c r="G75" s="156" t="s">
        <v>5446</v>
      </c>
      <c r="H75" s="156" t="s">
        <v>5447</v>
      </c>
      <c r="I75" s="165" t="s">
        <v>396</v>
      </c>
      <c r="J75" s="157" t="s">
        <v>88</v>
      </c>
      <c r="K75" s="157"/>
      <c r="L75" s="158"/>
    </row>
    <row r="76" spans="1:12">
      <c r="A76" s="154" t="s">
        <v>20</v>
      </c>
      <c r="B76" s="155" t="s">
        <v>5448</v>
      </c>
      <c r="C76" s="133" t="s">
        <v>21</v>
      </c>
      <c r="D76" s="133" t="s">
        <v>5449</v>
      </c>
      <c r="E76" s="133" t="s">
        <v>5450</v>
      </c>
      <c r="F76" s="133" t="s">
        <v>40</v>
      </c>
      <c r="G76" s="156">
        <v>45474.871527777781</v>
      </c>
      <c r="H76" s="156">
        <v>45505.142361111109</v>
      </c>
      <c r="I76" s="157" t="s">
        <v>1628</v>
      </c>
      <c r="J76" s="157" t="s">
        <v>88</v>
      </c>
      <c r="K76" s="157"/>
      <c r="L76" s="158"/>
    </row>
    <row r="77" spans="1:12">
      <c r="A77" s="154" t="s">
        <v>20</v>
      </c>
      <c r="B77" s="159" t="s">
        <v>5451</v>
      </c>
      <c r="C77" s="134" t="s">
        <v>13</v>
      </c>
      <c r="D77" s="134" t="s">
        <v>5452</v>
      </c>
      <c r="E77" s="134" t="s">
        <v>5453</v>
      </c>
      <c r="F77" s="134" t="s">
        <v>40</v>
      </c>
      <c r="G77" s="156">
        <v>45505.242361111108</v>
      </c>
      <c r="H77" s="156">
        <v>45505.28402777778</v>
      </c>
      <c r="I77" s="157" t="s">
        <v>5454</v>
      </c>
      <c r="J77" s="160" t="s">
        <v>94</v>
      </c>
      <c r="K77" s="160"/>
      <c r="L77" s="161"/>
    </row>
    <row r="78" spans="1:12">
      <c r="A78" s="154" t="s">
        <v>20</v>
      </c>
      <c r="B78" s="155" t="s">
        <v>5451</v>
      </c>
      <c r="C78" s="133" t="s">
        <v>13</v>
      </c>
      <c r="D78" s="133" t="s">
        <v>5452</v>
      </c>
      <c r="E78" s="133" t="s">
        <v>5453</v>
      </c>
      <c r="F78" s="133" t="s">
        <v>40</v>
      </c>
      <c r="G78" s="156">
        <v>45505.242361111108</v>
      </c>
      <c r="H78" s="156">
        <v>45505.28402777778</v>
      </c>
      <c r="I78" s="157" t="s">
        <v>5454</v>
      </c>
      <c r="J78" s="157" t="s">
        <v>94</v>
      </c>
      <c r="K78" s="157"/>
      <c r="L78" s="158"/>
    </row>
    <row r="79" spans="1:12">
      <c r="A79" s="154" t="s">
        <v>106</v>
      </c>
      <c r="B79" s="155" t="s">
        <v>5455</v>
      </c>
      <c r="C79" s="133" t="s">
        <v>108</v>
      </c>
      <c r="D79" s="133" t="s">
        <v>5456</v>
      </c>
      <c r="E79" s="133" t="s">
        <v>5457</v>
      </c>
      <c r="F79" s="133" t="s">
        <v>40</v>
      </c>
      <c r="G79" s="156">
        <v>45505.295138888891</v>
      </c>
      <c r="H79" s="156">
        <v>45505.511805555558</v>
      </c>
      <c r="I79" s="157" t="s">
        <v>2855</v>
      </c>
      <c r="J79" s="157" t="s">
        <v>94</v>
      </c>
      <c r="K79" s="157"/>
      <c r="L79" s="158"/>
    </row>
    <row r="80" spans="1:12">
      <c r="A80" s="154" t="s">
        <v>106</v>
      </c>
      <c r="B80" s="155" t="s">
        <v>5458</v>
      </c>
      <c r="C80" s="133" t="s">
        <v>78</v>
      </c>
      <c r="D80" s="133" t="s">
        <v>5459</v>
      </c>
      <c r="E80" s="133" t="s">
        <v>5460</v>
      </c>
      <c r="F80" s="133" t="s">
        <v>40</v>
      </c>
      <c r="G80" s="156">
        <v>45505.380555555559</v>
      </c>
      <c r="H80" s="156">
        <v>45505.433333333334</v>
      </c>
      <c r="I80" s="157" t="s">
        <v>258</v>
      </c>
      <c r="J80" s="157" t="s">
        <v>94</v>
      </c>
      <c r="K80" s="157"/>
      <c r="L80" s="158"/>
    </row>
    <row r="81" spans="1:12">
      <c r="A81" s="154" t="s">
        <v>106</v>
      </c>
      <c r="B81" s="155" t="s">
        <v>5461</v>
      </c>
      <c r="C81" s="133" t="s">
        <v>108</v>
      </c>
      <c r="D81" s="133" t="s">
        <v>5462</v>
      </c>
      <c r="E81" s="133" t="s">
        <v>5463</v>
      </c>
      <c r="F81" s="133" t="s">
        <v>40</v>
      </c>
      <c r="G81" s="156">
        <v>45505.457638888889</v>
      </c>
      <c r="H81" s="156">
        <v>45505.486805555556</v>
      </c>
      <c r="I81" s="157" t="s">
        <v>5464</v>
      </c>
      <c r="J81" s="157" t="s">
        <v>94</v>
      </c>
      <c r="K81" s="157"/>
      <c r="L81" s="158"/>
    </row>
    <row r="82" spans="1:12">
      <c r="A82" s="154" t="s">
        <v>20</v>
      </c>
      <c r="B82" s="155" t="s">
        <v>5465</v>
      </c>
      <c r="C82" s="133" t="s">
        <v>21</v>
      </c>
      <c r="D82" s="133" t="s">
        <v>5466</v>
      </c>
      <c r="E82" s="133" t="s">
        <v>5467</v>
      </c>
      <c r="F82" s="133" t="s">
        <v>40</v>
      </c>
      <c r="G82" s="156">
        <v>45505.76458333333</v>
      </c>
      <c r="H82" s="156">
        <v>45536.081250000003</v>
      </c>
      <c r="I82" s="157" t="s">
        <v>1628</v>
      </c>
      <c r="J82" s="157" t="s">
        <v>88</v>
      </c>
      <c r="K82" s="157"/>
      <c r="L82" s="158"/>
    </row>
    <row r="83" spans="1:12">
      <c r="A83" s="154" t="s">
        <v>20</v>
      </c>
      <c r="B83" s="155" t="s">
        <v>5468</v>
      </c>
      <c r="C83" s="133" t="s">
        <v>21</v>
      </c>
      <c r="D83" s="133" t="s">
        <v>5469</v>
      </c>
      <c r="E83" s="133" t="s">
        <v>5470</v>
      </c>
      <c r="F83" s="133" t="s">
        <v>40</v>
      </c>
      <c r="G83" s="156">
        <v>45536.082638888889</v>
      </c>
      <c r="H83" s="156">
        <v>45536.147916666669</v>
      </c>
      <c r="I83" s="157" t="s">
        <v>1628</v>
      </c>
      <c r="J83" s="157" t="s">
        <v>88</v>
      </c>
      <c r="K83" s="157"/>
      <c r="L83" s="158"/>
    </row>
    <row r="84" spans="1:12">
      <c r="A84" s="154" t="s">
        <v>20</v>
      </c>
      <c r="B84" s="155" t="s">
        <v>5471</v>
      </c>
      <c r="C84" s="133" t="s">
        <v>21</v>
      </c>
      <c r="D84" s="133" t="s">
        <v>5472</v>
      </c>
      <c r="E84" s="133" t="s">
        <v>5473</v>
      </c>
      <c r="F84" s="133" t="s">
        <v>40</v>
      </c>
      <c r="G84" s="156">
        <v>45536.089583333334</v>
      </c>
      <c r="H84" s="156">
        <v>45536.192361111112</v>
      </c>
      <c r="I84" s="157" t="s">
        <v>1628</v>
      </c>
      <c r="J84" s="157" t="s">
        <v>88</v>
      </c>
      <c r="K84" s="157" t="s">
        <v>94</v>
      </c>
      <c r="L84" s="158"/>
    </row>
    <row r="85" spans="1:12" hidden="1">
      <c r="A85" s="154" t="s">
        <v>106</v>
      </c>
      <c r="B85" s="155" t="s">
        <v>5474</v>
      </c>
      <c r="C85" s="133" t="s">
        <v>333</v>
      </c>
      <c r="D85" s="133" t="s">
        <v>5475</v>
      </c>
      <c r="E85" s="133"/>
      <c r="F85" s="133" t="s">
        <v>214</v>
      </c>
      <c r="G85" s="156">
        <v>45536.506944444445</v>
      </c>
      <c r="I85" s="157" t="s">
        <v>1964</v>
      </c>
      <c r="J85" s="157" t="s">
        <v>94</v>
      </c>
      <c r="K85" s="157" t="s">
        <v>88</v>
      </c>
      <c r="L85" s="158"/>
    </row>
    <row r="86" spans="1:12">
      <c r="A86" s="154" t="s">
        <v>20</v>
      </c>
      <c r="B86" s="155" t="s">
        <v>5476</v>
      </c>
      <c r="C86" s="133" t="s">
        <v>13</v>
      </c>
      <c r="D86" s="133" t="s">
        <v>5477</v>
      </c>
      <c r="E86" s="133" t="s">
        <v>5478</v>
      </c>
      <c r="F86" s="133" t="s">
        <v>40</v>
      </c>
      <c r="G86" s="156">
        <v>45536.544444444444</v>
      </c>
      <c r="H86" s="156">
        <v>45536.600694444445</v>
      </c>
      <c r="I86" s="157" t="s">
        <v>4399</v>
      </c>
      <c r="J86" s="157" t="s">
        <v>94</v>
      </c>
      <c r="K86" s="157"/>
      <c r="L86" s="158"/>
    </row>
    <row r="87" spans="1:12" hidden="1">
      <c r="A87" s="154" t="s">
        <v>106</v>
      </c>
      <c r="B87" s="155" t="s">
        <v>5479</v>
      </c>
      <c r="C87" s="133" t="s">
        <v>78</v>
      </c>
      <c r="D87" s="133" t="s">
        <v>5480</v>
      </c>
      <c r="E87" s="133"/>
      <c r="F87" s="133" t="s">
        <v>214</v>
      </c>
      <c r="G87" s="156">
        <v>45536.598611111112</v>
      </c>
      <c r="I87" s="157" t="s">
        <v>258</v>
      </c>
      <c r="J87" s="157" t="s">
        <v>94</v>
      </c>
      <c r="K87" s="157" t="s">
        <v>88</v>
      </c>
      <c r="L87" s="158"/>
    </row>
    <row r="88" spans="1:12">
      <c r="A88" s="154" t="s">
        <v>95</v>
      </c>
      <c r="B88" s="155" t="s">
        <v>5481</v>
      </c>
      <c r="C88" s="133" t="s">
        <v>97</v>
      </c>
      <c r="D88" s="133" t="s">
        <v>5482</v>
      </c>
      <c r="E88" s="133" t="s">
        <v>5483</v>
      </c>
      <c r="F88" s="133" t="s">
        <v>40</v>
      </c>
      <c r="G88" s="156">
        <v>45536.686111111114</v>
      </c>
      <c r="H88" s="156">
        <v>45536.691666666666</v>
      </c>
      <c r="I88" s="157" t="s">
        <v>633</v>
      </c>
      <c r="J88" s="157" t="s">
        <v>88</v>
      </c>
      <c r="K88" s="157"/>
      <c r="L88" s="158"/>
    </row>
    <row r="89" spans="1:12">
      <c r="A89" s="154" t="s">
        <v>106</v>
      </c>
      <c r="B89" s="155" t="s">
        <v>5484</v>
      </c>
      <c r="C89" s="133" t="s">
        <v>108</v>
      </c>
      <c r="D89" s="133" t="s">
        <v>1767</v>
      </c>
      <c r="E89" s="133" t="s">
        <v>5485</v>
      </c>
      <c r="F89" s="133" t="s">
        <v>40</v>
      </c>
      <c r="G89" s="156">
        <v>45536.723611111112</v>
      </c>
      <c r="H89" s="156">
        <v>45536.865277777775</v>
      </c>
      <c r="I89" s="157" t="s">
        <v>111</v>
      </c>
      <c r="J89" s="157" t="s">
        <v>88</v>
      </c>
      <c r="K89" s="157"/>
      <c r="L89" s="158"/>
    </row>
    <row r="90" spans="1:12">
      <c r="A90" s="154" t="s">
        <v>20</v>
      </c>
      <c r="B90" s="155" t="s">
        <v>5486</v>
      </c>
      <c r="C90" s="133" t="s">
        <v>13</v>
      </c>
      <c r="D90" s="133" t="s">
        <v>5487</v>
      </c>
      <c r="E90" s="133" t="s">
        <v>5488</v>
      </c>
      <c r="F90" s="133" t="s">
        <v>40</v>
      </c>
      <c r="G90" s="156">
        <v>45536.736111111109</v>
      </c>
      <c r="H90" s="156">
        <v>45566.129861111112</v>
      </c>
      <c r="I90" s="157" t="s">
        <v>5489</v>
      </c>
      <c r="J90" s="157" t="s">
        <v>88</v>
      </c>
      <c r="K90" s="157"/>
      <c r="L90" s="158"/>
    </row>
    <row r="91" spans="1:12">
      <c r="A91" s="154" t="s">
        <v>106</v>
      </c>
      <c r="B91" s="155" t="s">
        <v>5490</v>
      </c>
      <c r="C91" s="133" t="s">
        <v>108</v>
      </c>
      <c r="D91" s="133" t="s">
        <v>5491</v>
      </c>
      <c r="E91" s="133" t="s">
        <v>3874</v>
      </c>
      <c r="F91" s="133" t="s">
        <v>40</v>
      </c>
      <c r="G91" s="156">
        <v>45536.787499999999</v>
      </c>
      <c r="H91" s="156">
        <v>45536.856249999997</v>
      </c>
      <c r="I91" s="157" t="s">
        <v>3041</v>
      </c>
      <c r="J91" s="157" t="s">
        <v>88</v>
      </c>
      <c r="K91" s="157"/>
      <c r="L91" s="158"/>
    </row>
    <row r="92" spans="1:12">
      <c r="A92" s="154" t="s">
        <v>20</v>
      </c>
      <c r="B92" s="155" t="s">
        <v>5492</v>
      </c>
      <c r="C92" s="133" t="s">
        <v>21</v>
      </c>
      <c r="D92" s="133" t="s">
        <v>5493</v>
      </c>
      <c r="E92" s="133" t="s">
        <v>5494</v>
      </c>
      <c r="F92" s="133" t="s">
        <v>40</v>
      </c>
      <c r="G92" s="156">
        <v>45536.857638888891</v>
      </c>
      <c r="H92" s="156">
        <v>45536.992361111108</v>
      </c>
      <c r="I92" s="157" t="s">
        <v>1628</v>
      </c>
      <c r="J92" s="157" t="s">
        <v>88</v>
      </c>
      <c r="K92" s="157"/>
      <c r="L92" s="158"/>
    </row>
    <row r="93" spans="1:12">
      <c r="A93" s="154" t="s">
        <v>20</v>
      </c>
      <c r="B93" s="155" t="s">
        <v>5495</v>
      </c>
      <c r="C93" s="133" t="s">
        <v>21</v>
      </c>
      <c r="D93" s="133" t="s">
        <v>5496</v>
      </c>
      <c r="E93" s="133" t="s">
        <v>5497</v>
      </c>
      <c r="F93" s="133" t="s">
        <v>40</v>
      </c>
      <c r="G93" s="156">
        <v>45536.992361111108</v>
      </c>
      <c r="H93" s="156">
        <v>45536.996527777781</v>
      </c>
      <c r="I93" s="157" t="s">
        <v>1628</v>
      </c>
      <c r="J93" s="157" t="s">
        <v>88</v>
      </c>
      <c r="K93" s="157"/>
      <c r="L93" s="158"/>
    </row>
    <row r="94" spans="1:12">
      <c r="A94" s="154" t="s">
        <v>20</v>
      </c>
      <c r="B94" s="155" t="s">
        <v>5498</v>
      </c>
      <c r="C94" s="133" t="s">
        <v>21</v>
      </c>
      <c r="D94" s="133" t="s">
        <v>5499</v>
      </c>
      <c r="E94" s="133" t="s">
        <v>5500</v>
      </c>
      <c r="F94" s="133" t="s">
        <v>40</v>
      </c>
      <c r="G94" s="156">
        <v>45566.04791666667</v>
      </c>
      <c r="H94" s="156">
        <v>45566.097222222219</v>
      </c>
      <c r="I94" s="157" t="s">
        <v>1628</v>
      </c>
      <c r="J94" s="157" t="s">
        <v>88</v>
      </c>
      <c r="K94" s="157"/>
      <c r="L94" s="158"/>
    </row>
    <row r="95" spans="1:12">
      <c r="A95" s="154" t="s">
        <v>95</v>
      </c>
      <c r="B95" s="155" t="s">
        <v>5501</v>
      </c>
      <c r="C95" s="133" t="s">
        <v>97</v>
      </c>
      <c r="D95" s="133" t="s">
        <v>3306</v>
      </c>
      <c r="E95" s="133" t="s">
        <v>5502</v>
      </c>
      <c r="F95" s="133" t="s">
        <v>40</v>
      </c>
      <c r="G95" s="156">
        <v>45566.338194444441</v>
      </c>
      <c r="H95" s="156">
        <v>45566.482638888891</v>
      </c>
      <c r="I95" s="157" t="s">
        <v>32</v>
      </c>
      <c r="J95" s="157" t="s">
        <v>72</v>
      </c>
      <c r="K95" s="157"/>
      <c r="L95" s="158"/>
    </row>
    <row r="96" spans="1:12">
      <c r="A96" s="154" t="s">
        <v>106</v>
      </c>
      <c r="B96" s="155" t="s">
        <v>5503</v>
      </c>
      <c r="C96" s="133" t="s">
        <v>108</v>
      </c>
      <c r="D96" s="133" t="s">
        <v>5504</v>
      </c>
      <c r="E96" s="133" t="s">
        <v>5505</v>
      </c>
      <c r="F96" s="133" t="s">
        <v>40</v>
      </c>
      <c r="G96" s="156">
        <v>45566.421527777777</v>
      </c>
      <c r="H96" s="156">
        <v>45566.455555555556</v>
      </c>
      <c r="I96" s="157" t="s">
        <v>4595</v>
      </c>
      <c r="J96" s="157" t="s">
        <v>72</v>
      </c>
      <c r="K96" s="157"/>
      <c r="L96" s="158"/>
    </row>
    <row r="97" spans="1:12">
      <c r="A97" s="154" t="s">
        <v>106</v>
      </c>
      <c r="B97" s="155" t="s">
        <v>5506</v>
      </c>
      <c r="C97" s="133" t="s">
        <v>333</v>
      </c>
      <c r="D97" s="133" t="s">
        <v>5507</v>
      </c>
      <c r="E97" s="133" t="s">
        <v>5508</v>
      </c>
      <c r="F97" s="133" t="s">
        <v>40</v>
      </c>
      <c r="G97" s="156">
        <v>45566.621527777781</v>
      </c>
      <c r="H97" s="156">
        <v>45566.7</v>
      </c>
      <c r="I97" s="157" t="s">
        <v>346</v>
      </c>
      <c r="J97" s="157" t="s">
        <v>72</v>
      </c>
      <c r="K97" s="157"/>
      <c r="L97" s="158"/>
    </row>
    <row r="98" spans="1:12">
      <c r="A98" s="154" t="s">
        <v>106</v>
      </c>
      <c r="B98" s="155" t="s">
        <v>5509</v>
      </c>
      <c r="C98" s="133" t="s">
        <v>108</v>
      </c>
      <c r="D98" s="133" t="s">
        <v>5510</v>
      </c>
      <c r="E98" s="133" t="s">
        <v>5511</v>
      </c>
      <c r="F98" s="133" t="s">
        <v>40</v>
      </c>
      <c r="G98" s="156">
        <v>45566.648611111108</v>
      </c>
      <c r="H98" s="156">
        <v>45566.756944444445</v>
      </c>
      <c r="I98" s="157" t="s">
        <v>111</v>
      </c>
      <c r="J98" s="157" t="s">
        <v>72</v>
      </c>
      <c r="K98" s="157"/>
      <c r="L98" s="158"/>
    </row>
    <row r="99" spans="1:12">
      <c r="A99" s="154" t="s">
        <v>106</v>
      </c>
      <c r="B99" s="155" t="s">
        <v>5512</v>
      </c>
      <c r="C99" s="133" t="s">
        <v>333</v>
      </c>
      <c r="D99" s="132" t="s">
        <v>5513</v>
      </c>
      <c r="E99" s="133" t="s">
        <v>5514</v>
      </c>
      <c r="F99" s="133" t="s">
        <v>40</v>
      </c>
      <c r="G99" s="156">
        <v>45566.748611111114</v>
      </c>
      <c r="H99" s="156">
        <v>45566.780555555553</v>
      </c>
      <c r="I99" s="157" t="s">
        <v>346</v>
      </c>
      <c r="J99" s="157" t="s">
        <v>72</v>
      </c>
      <c r="K99" s="157"/>
      <c r="L99" s="158"/>
    </row>
    <row r="100" spans="1:12">
      <c r="A100" s="154" t="s">
        <v>20</v>
      </c>
      <c r="B100" s="155" t="s">
        <v>5515</v>
      </c>
      <c r="C100" s="133" t="s">
        <v>21</v>
      </c>
      <c r="D100" s="132" t="s">
        <v>5516</v>
      </c>
      <c r="E100" s="133" t="s">
        <v>5517</v>
      </c>
      <c r="F100" s="133" t="s">
        <v>40</v>
      </c>
      <c r="G100" s="156">
        <v>45566.97152777778</v>
      </c>
      <c r="H100" s="156">
        <v>45597.513194444444</v>
      </c>
      <c r="I100" s="157" t="s">
        <v>64</v>
      </c>
      <c r="J100" s="157" t="s">
        <v>61</v>
      </c>
      <c r="K100" s="157"/>
      <c r="L100" s="158"/>
    </row>
    <row r="101" spans="1:12">
      <c r="A101" s="154" t="s">
        <v>20</v>
      </c>
      <c r="B101" s="155" t="s">
        <v>5518</v>
      </c>
      <c r="C101" s="133" t="s">
        <v>21</v>
      </c>
      <c r="D101" s="132" t="s">
        <v>5519</v>
      </c>
      <c r="E101" s="133" t="s">
        <v>5520</v>
      </c>
      <c r="F101" s="133" t="s">
        <v>40</v>
      </c>
      <c r="G101" s="156">
        <v>45597.052083333336</v>
      </c>
      <c r="H101" s="156">
        <v>45597.09375</v>
      </c>
      <c r="I101" s="157" t="s">
        <v>64</v>
      </c>
      <c r="J101" s="157" t="s">
        <v>61</v>
      </c>
      <c r="K101" s="157"/>
      <c r="L101" s="158"/>
    </row>
    <row r="102" spans="1:12">
      <c r="A102" s="154" t="s">
        <v>20</v>
      </c>
      <c r="B102" s="155" t="s">
        <v>5521</v>
      </c>
      <c r="C102" s="133" t="s">
        <v>21</v>
      </c>
      <c r="D102" s="132" t="s">
        <v>5522</v>
      </c>
      <c r="E102" s="133" t="s">
        <v>5523</v>
      </c>
      <c r="F102" s="133" t="s">
        <v>40</v>
      </c>
      <c r="G102" s="156">
        <v>45597.15902777778</v>
      </c>
      <c r="H102" s="156">
        <v>45597.200694444444</v>
      </c>
      <c r="I102" s="157" t="s">
        <v>64</v>
      </c>
      <c r="J102" s="157" t="s">
        <v>61</v>
      </c>
      <c r="K102" s="157"/>
      <c r="L102" s="158"/>
    </row>
    <row r="103" spans="1:12" hidden="1">
      <c r="A103" s="154" t="s">
        <v>20</v>
      </c>
      <c r="B103" s="155" t="s">
        <v>5524</v>
      </c>
      <c r="C103" s="133" t="s">
        <v>49</v>
      </c>
      <c r="D103" s="133" t="s">
        <v>5525</v>
      </c>
      <c r="E103" s="133"/>
      <c r="F103" s="133" t="s">
        <v>214</v>
      </c>
      <c r="G103" s="156">
        <v>45597.319444444445</v>
      </c>
      <c r="I103" s="157" t="s">
        <v>3255</v>
      </c>
      <c r="J103" s="157" t="s">
        <v>61</v>
      </c>
      <c r="K103" s="157"/>
      <c r="L103" s="158"/>
    </row>
    <row r="104" spans="1:12">
      <c r="A104" s="154" t="s">
        <v>20</v>
      </c>
      <c r="B104" s="155" t="s">
        <v>5526</v>
      </c>
      <c r="C104" s="133" t="s">
        <v>49</v>
      </c>
      <c r="D104" s="133" t="s">
        <v>5527</v>
      </c>
      <c r="E104" s="133" t="s">
        <v>5502</v>
      </c>
      <c r="F104" s="133" t="s">
        <v>40</v>
      </c>
      <c r="G104" s="156">
        <v>45597.334027777775</v>
      </c>
      <c r="H104" s="156">
        <v>45597.45208333333</v>
      </c>
      <c r="I104" s="157" t="s">
        <v>32</v>
      </c>
      <c r="J104" s="157" t="s">
        <v>72</v>
      </c>
      <c r="K104" s="157"/>
      <c r="L104" s="158"/>
    </row>
    <row r="105" spans="1:12">
      <c r="A105" s="154" t="s">
        <v>95</v>
      </c>
      <c r="B105" s="155" t="s">
        <v>5528</v>
      </c>
      <c r="C105" s="133" t="s">
        <v>97</v>
      </c>
      <c r="D105" s="133" t="s">
        <v>5529</v>
      </c>
      <c r="E105" s="133" t="s">
        <v>5502</v>
      </c>
      <c r="F105" s="133" t="s">
        <v>40</v>
      </c>
      <c r="G105" s="156">
        <v>45597.334027777775</v>
      </c>
      <c r="H105" s="156">
        <v>45597.40347222222</v>
      </c>
      <c r="I105" s="157" t="s">
        <v>32</v>
      </c>
      <c r="J105" s="157" t="s">
        <v>72</v>
      </c>
      <c r="K105" s="157"/>
      <c r="L105" s="158"/>
    </row>
    <row r="106" spans="1:12">
      <c r="A106" s="164" t="s">
        <v>95</v>
      </c>
      <c r="B106" s="155" t="s">
        <v>5530</v>
      </c>
      <c r="C106" s="133" t="s">
        <v>118</v>
      </c>
      <c r="D106" s="132" t="s">
        <v>5531</v>
      </c>
      <c r="E106" s="133" t="s">
        <v>5532</v>
      </c>
      <c r="F106" s="133" t="s">
        <v>40</v>
      </c>
      <c r="G106" s="156">
        <v>45597.584027777775</v>
      </c>
      <c r="I106" s="157" t="s">
        <v>5533</v>
      </c>
      <c r="J106" s="157" t="s">
        <v>72</v>
      </c>
      <c r="K106" s="157"/>
      <c r="L106" s="158"/>
    </row>
    <row r="107" spans="1:12" hidden="1">
      <c r="A107" s="154" t="s">
        <v>20</v>
      </c>
      <c r="B107" s="159" t="s">
        <v>5534</v>
      </c>
      <c r="C107" s="134" t="s">
        <v>21</v>
      </c>
      <c r="D107" s="132" t="s">
        <v>5535</v>
      </c>
      <c r="E107" s="132" t="s">
        <v>5536</v>
      </c>
      <c r="F107" s="134" t="s">
        <v>214</v>
      </c>
      <c r="G107" s="156">
        <v>45597.929166666669</v>
      </c>
      <c r="H107" s="156">
        <v>45597.970833333333</v>
      </c>
      <c r="I107" s="157" t="s">
        <v>5537</v>
      </c>
      <c r="J107" s="160" t="s">
        <v>61</v>
      </c>
      <c r="K107" s="160"/>
      <c r="L107" s="161"/>
    </row>
    <row r="108" spans="1:12">
      <c r="A108" s="154" t="s">
        <v>20</v>
      </c>
      <c r="B108" s="155" t="s">
        <v>5538</v>
      </c>
      <c r="C108" s="133" t="s">
        <v>13</v>
      </c>
      <c r="D108" s="132" t="s">
        <v>5539</v>
      </c>
      <c r="E108" s="132" t="s">
        <v>5540</v>
      </c>
      <c r="F108" s="133" t="s">
        <v>40</v>
      </c>
      <c r="G108" s="156">
        <v>45627.104166666664</v>
      </c>
      <c r="H108" s="156">
        <v>45627.145833333336</v>
      </c>
      <c r="I108" s="157" t="s">
        <v>5541</v>
      </c>
      <c r="J108" s="157" t="s">
        <v>61</v>
      </c>
      <c r="K108" s="157"/>
      <c r="L108" s="158"/>
    </row>
    <row r="109" spans="1:12">
      <c r="A109" s="154" t="s">
        <v>20</v>
      </c>
      <c r="B109" s="155" t="s">
        <v>5542</v>
      </c>
      <c r="C109" s="133" t="s">
        <v>21</v>
      </c>
      <c r="D109" s="133" t="s">
        <v>5543</v>
      </c>
      <c r="E109" s="133" t="s">
        <v>5544</v>
      </c>
      <c r="F109" s="133" t="s">
        <v>40</v>
      </c>
      <c r="G109" s="156">
        <v>45627.173611111109</v>
      </c>
      <c r="H109" s="156">
        <v>45627.215277777781</v>
      </c>
      <c r="I109" s="157" t="s">
        <v>64</v>
      </c>
      <c r="J109" s="157" t="s">
        <v>61</v>
      </c>
      <c r="K109" s="157"/>
      <c r="L109" s="158"/>
    </row>
    <row r="110" spans="1:12" ht="29">
      <c r="A110" s="154" t="s">
        <v>95</v>
      </c>
      <c r="B110" s="155" t="s">
        <v>5545</v>
      </c>
      <c r="C110" s="133" t="s">
        <v>97</v>
      </c>
      <c r="D110" s="133" t="s">
        <v>5546</v>
      </c>
      <c r="E110" s="135" t="s">
        <v>5547</v>
      </c>
      <c r="F110" s="133" t="s">
        <v>40</v>
      </c>
      <c r="G110" s="156">
        <v>45627.340277777781</v>
      </c>
      <c r="H110" s="156">
        <v>45627.370833333334</v>
      </c>
      <c r="I110" s="157" t="s">
        <v>2172</v>
      </c>
      <c r="J110" s="157" t="s">
        <v>72</v>
      </c>
      <c r="K110" s="157"/>
      <c r="L110" s="158"/>
    </row>
    <row r="111" spans="1:12" ht="29">
      <c r="A111" s="154" t="s">
        <v>106</v>
      </c>
      <c r="B111" s="155" t="s">
        <v>5548</v>
      </c>
      <c r="C111" s="133" t="s">
        <v>108</v>
      </c>
      <c r="D111" s="133" t="s">
        <v>5549</v>
      </c>
      <c r="E111" s="135" t="s">
        <v>5550</v>
      </c>
      <c r="F111" s="133" t="s">
        <v>40</v>
      </c>
      <c r="G111" s="156">
        <v>45627.451388888891</v>
      </c>
      <c r="H111" s="156">
        <v>45627.466666666667</v>
      </c>
      <c r="I111" s="157" t="s">
        <v>5551</v>
      </c>
      <c r="J111" s="157" t="s">
        <v>72</v>
      </c>
      <c r="K111" s="157"/>
      <c r="L111" s="158"/>
    </row>
    <row r="112" spans="1:12">
      <c r="A112" s="154" t="s">
        <v>106</v>
      </c>
      <c r="B112" s="155" t="s">
        <v>5552</v>
      </c>
      <c r="C112" s="133" t="s">
        <v>37</v>
      </c>
      <c r="D112" s="133" t="s">
        <v>5553</v>
      </c>
      <c r="E112" s="133" t="s">
        <v>5554</v>
      </c>
      <c r="F112" s="133" t="s">
        <v>40</v>
      </c>
      <c r="G112" s="156">
        <v>45627.375</v>
      </c>
      <c r="H112" s="156">
        <v>45627.405555555553</v>
      </c>
      <c r="I112" s="165"/>
      <c r="J112" s="157" t="s">
        <v>72</v>
      </c>
      <c r="K112" s="157"/>
      <c r="L112" s="158"/>
    </row>
    <row r="113" spans="1:12" ht="87">
      <c r="A113" s="154" t="s">
        <v>20</v>
      </c>
      <c r="B113" s="155" t="s">
        <v>5555</v>
      </c>
      <c r="C113" s="133" t="s">
        <v>13</v>
      </c>
      <c r="D113" s="133" t="s">
        <v>5556</v>
      </c>
      <c r="E113" s="135" t="s">
        <v>5557</v>
      </c>
      <c r="F113" s="133" t="s">
        <v>40</v>
      </c>
      <c r="G113" s="156">
        <v>45627.001388888886</v>
      </c>
      <c r="H113" s="156">
        <v>45627.724305555559</v>
      </c>
      <c r="I113" s="157" t="s">
        <v>2436</v>
      </c>
      <c r="J113" s="157" t="s">
        <v>72</v>
      </c>
      <c r="K113" s="157"/>
      <c r="L113" s="158"/>
    </row>
    <row r="114" spans="1:12">
      <c r="A114" s="154" t="s">
        <v>95</v>
      </c>
      <c r="B114" s="155" t="s">
        <v>5558</v>
      </c>
      <c r="C114" s="133" t="s">
        <v>97</v>
      </c>
      <c r="D114" s="132" t="s">
        <v>5559</v>
      </c>
      <c r="E114" s="132" t="s">
        <v>5560</v>
      </c>
      <c r="F114" s="133" t="s">
        <v>40</v>
      </c>
      <c r="G114" s="156">
        <v>45627.638194444444</v>
      </c>
      <c r="H114" s="156">
        <v>45627.647222222222</v>
      </c>
      <c r="I114" s="157" t="s">
        <v>2172</v>
      </c>
      <c r="J114" s="157" t="s">
        <v>72</v>
      </c>
      <c r="K114" s="157"/>
      <c r="L114" s="158"/>
    </row>
    <row r="115" spans="1:12">
      <c r="A115" s="154" t="s">
        <v>20</v>
      </c>
      <c r="B115" s="155" t="s">
        <v>5561</v>
      </c>
      <c r="C115" s="133" t="s">
        <v>21</v>
      </c>
      <c r="D115" s="132" t="s">
        <v>5562</v>
      </c>
      <c r="E115" s="133" t="s">
        <v>5563</v>
      </c>
      <c r="F115" s="133" t="s">
        <v>40</v>
      </c>
      <c r="G115" s="156" t="s">
        <v>5564</v>
      </c>
      <c r="H115" s="156" t="s">
        <v>5565</v>
      </c>
      <c r="I115" s="165" t="s">
        <v>64</v>
      </c>
      <c r="J115" s="157" t="s">
        <v>61</v>
      </c>
      <c r="K115" s="157"/>
      <c r="L115" s="158"/>
    </row>
    <row r="116" spans="1:12">
      <c r="A116" s="154" t="s">
        <v>95</v>
      </c>
      <c r="B116" s="155" t="s">
        <v>5566</v>
      </c>
      <c r="C116" s="133" t="s">
        <v>113</v>
      </c>
      <c r="D116" s="132" t="s">
        <v>5567</v>
      </c>
      <c r="E116" s="133" t="s">
        <v>5568</v>
      </c>
      <c r="F116" s="133" t="s">
        <v>40</v>
      </c>
      <c r="G116" s="156" t="s">
        <v>5569</v>
      </c>
      <c r="H116" s="156" t="s">
        <v>5570</v>
      </c>
      <c r="I116" s="165" t="s">
        <v>2855</v>
      </c>
      <c r="J116" s="157" t="s">
        <v>61</v>
      </c>
      <c r="K116" s="157"/>
      <c r="L116" s="158"/>
    </row>
    <row r="117" spans="1:12">
      <c r="A117" s="164" t="s">
        <v>106</v>
      </c>
      <c r="B117" s="155" t="s">
        <v>5571</v>
      </c>
      <c r="C117" s="133" t="s">
        <v>108</v>
      </c>
      <c r="D117" s="132" t="s">
        <v>5572</v>
      </c>
      <c r="E117" s="133" t="s">
        <v>5573</v>
      </c>
      <c r="F117" s="133" t="s">
        <v>40</v>
      </c>
      <c r="G117" s="156" t="s">
        <v>5574</v>
      </c>
      <c r="H117" s="156" t="s">
        <v>5575</v>
      </c>
      <c r="I117" s="165" t="s">
        <v>1470</v>
      </c>
      <c r="J117" s="157" t="s">
        <v>61</v>
      </c>
      <c r="K117" s="157"/>
      <c r="L117" s="158"/>
    </row>
    <row r="118" spans="1:12">
      <c r="A118" s="164" t="s">
        <v>106</v>
      </c>
      <c r="B118" s="159" t="s">
        <v>5576</v>
      </c>
      <c r="C118" s="134" t="s">
        <v>108</v>
      </c>
      <c r="D118" s="134" t="s">
        <v>5577</v>
      </c>
      <c r="E118" s="133" t="s">
        <v>5578</v>
      </c>
      <c r="F118" s="134" t="s">
        <v>40</v>
      </c>
      <c r="G118" s="156" t="s">
        <v>5579</v>
      </c>
      <c r="H118" s="156" t="s">
        <v>5580</v>
      </c>
      <c r="I118" s="166" t="s">
        <v>1470</v>
      </c>
      <c r="J118" s="160" t="s">
        <v>61</v>
      </c>
      <c r="K118" s="160"/>
      <c r="L118" s="161"/>
    </row>
    <row r="119" spans="1:12">
      <c r="A119" s="154" t="s">
        <v>106</v>
      </c>
      <c r="B119" s="155" t="s">
        <v>5581</v>
      </c>
      <c r="C119" s="133" t="s">
        <v>108</v>
      </c>
      <c r="D119" s="133" t="s">
        <v>2838</v>
      </c>
      <c r="E119" s="133" t="s">
        <v>5502</v>
      </c>
      <c r="F119" s="134" t="s">
        <v>40</v>
      </c>
      <c r="G119" s="156" t="s">
        <v>5582</v>
      </c>
      <c r="H119" s="156" t="s">
        <v>5583</v>
      </c>
      <c r="I119" s="165" t="s">
        <v>32</v>
      </c>
      <c r="J119" s="160" t="s">
        <v>72</v>
      </c>
      <c r="K119" s="157"/>
      <c r="L119" s="158"/>
    </row>
    <row r="120" spans="1:12">
      <c r="A120" s="154" t="s">
        <v>20</v>
      </c>
      <c r="B120" s="155" t="s">
        <v>5584</v>
      </c>
      <c r="C120" s="133" t="s">
        <v>13</v>
      </c>
      <c r="D120" s="133" t="s">
        <v>5585</v>
      </c>
      <c r="E120" s="133" t="s">
        <v>5586</v>
      </c>
      <c r="F120" s="134" t="s">
        <v>40</v>
      </c>
      <c r="G120" s="156" t="s">
        <v>5587</v>
      </c>
      <c r="H120" s="156" t="s">
        <v>5588</v>
      </c>
      <c r="I120" s="166" t="s">
        <v>74</v>
      </c>
      <c r="J120" s="160" t="s">
        <v>72</v>
      </c>
      <c r="K120" s="157"/>
      <c r="L120" s="158"/>
    </row>
    <row r="121" spans="1:12">
      <c r="A121" s="164" t="s">
        <v>95</v>
      </c>
      <c r="B121" s="155" t="s">
        <v>5589</v>
      </c>
      <c r="C121" s="133" t="s">
        <v>97</v>
      </c>
      <c r="D121" s="133" t="s">
        <v>3306</v>
      </c>
      <c r="E121" s="133" t="s">
        <v>5502</v>
      </c>
      <c r="F121" s="134" t="s">
        <v>40</v>
      </c>
      <c r="G121" s="156" t="s">
        <v>5590</v>
      </c>
      <c r="H121" s="156" t="s">
        <v>5591</v>
      </c>
      <c r="I121" s="165" t="s">
        <v>32</v>
      </c>
      <c r="J121" s="160" t="s">
        <v>72</v>
      </c>
      <c r="K121" s="157"/>
      <c r="L121" s="158"/>
    </row>
    <row r="122" spans="1:12">
      <c r="A122" s="154" t="s">
        <v>106</v>
      </c>
      <c r="B122" s="155" t="s">
        <v>5592</v>
      </c>
      <c r="C122" s="133" t="s">
        <v>108</v>
      </c>
      <c r="D122" s="132" t="s">
        <v>5593</v>
      </c>
      <c r="E122" s="132" t="s">
        <v>2209</v>
      </c>
      <c r="F122" s="133" t="s">
        <v>40</v>
      </c>
      <c r="G122" s="156" t="s">
        <v>5594</v>
      </c>
      <c r="H122" s="156" t="s">
        <v>5595</v>
      </c>
      <c r="I122" s="165" t="s">
        <v>946</v>
      </c>
      <c r="J122" s="157" t="s">
        <v>72</v>
      </c>
      <c r="K122" s="157"/>
      <c r="L122" s="158"/>
    </row>
    <row r="123" spans="1:12">
      <c r="A123" s="154" t="s">
        <v>20</v>
      </c>
      <c r="B123" s="155" t="s">
        <v>5596</v>
      </c>
      <c r="C123" s="133" t="s">
        <v>21</v>
      </c>
      <c r="D123" s="132" t="s">
        <v>5597</v>
      </c>
      <c r="E123" s="132" t="s">
        <v>5598</v>
      </c>
      <c r="F123" s="133" t="s">
        <v>40</v>
      </c>
      <c r="G123" s="156" t="s">
        <v>5599</v>
      </c>
      <c r="H123" s="156" t="s">
        <v>5600</v>
      </c>
      <c r="I123" s="165" t="s">
        <v>64</v>
      </c>
      <c r="J123" s="157" t="s">
        <v>61</v>
      </c>
      <c r="K123" s="157"/>
      <c r="L123" s="158"/>
    </row>
    <row r="124" spans="1:12">
      <c r="A124" s="154" t="s">
        <v>20</v>
      </c>
      <c r="B124" s="155" t="s">
        <v>5601</v>
      </c>
      <c r="C124" s="133" t="s">
        <v>21</v>
      </c>
      <c r="D124" s="132" t="s">
        <v>5602</v>
      </c>
      <c r="E124" s="133" t="s">
        <v>5603</v>
      </c>
      <c r="F124" s="133" t="s">
        <v>40</v>
      </c>
      <c r="G124" s="156" t="s">
        <v>5604</v>
      </c>
      <c r="H124" s="156" t="s">
        <v>5605</v>
      </c>
      <c r="I124" s="165" t="s">
        <v>64</v>
      </c>
      <c r="J124" s="157" t="s">
        <v>61</v>
      </c>
      <c r="K124" s="157"/>
      <c r="L124" s="158"/>
    </row>
    <row r="125" spans="1:12">
      <c r="A125" s="154" t="s">
        <v>20</v>
      </c>
      <c r="B125" s="155" t="s">
        <v>5606</v>
      </c>
      <c r="C125" s="133" t="s">
        <v>21</v>
      </c>
      <c r="D125" s="132" t="s">
        <v>5607</v>
      </c>
      <c r="E125" s="132" t="s">
        <v>5608</v>
      </c>
      <c r="F125" s="133" t="s">
        <v>40</v>
      </c>
      <c r="G125" s="156" t="s">
        <v>5609</v>
      </c>
      <c r="H125" s="156" t="s">
        <v>5610</v>
      </c>
      <c r="I125" s="165" t="s">
        <v>64</v>
      </c>
      <c r="J125" s="157" t="s">
        <v>61</v>
      </c>
      <c r="K125" s="157"/>
      <c r="L125" s="158"/>
    </row>
    <row r="126" spans="1:12">
      <c r="A126" s="154" t="s">
        <v>95</v>
      </c>
      <c r="B126" s="155" t="s">
        <v>5611</v>
      </c>
      <c r="C126" s="133" t="s">
        <v>118</v>
      </c>
      <c r="D126" s="133" t="s">
        <v>5612</v>
      </c>
      <c r="E126" s="133" t="s">
        <v>5613</v>
      </c>
      <c r="F126" s="133" t="s">
        <v>40</v>
      </c>
      <c r="G126" s="156" t="s">
        <v>5614</v>
      </c>
      <c r="H126" s="156" t="s">
        <v>5615</v>
      </c>
      <c r="I126" s="165" t="s">
        <v>4907</v>
      </c>
      <c r="J126" s="160" t="s">
        <v>61</v>
      </c>
      <c r="K126" s="157"/>
      <c r="L126" s="158"/>
    </row>
    <row r="127" spans="1:12">
      <c r="A127" s="164" t="s">
        <v>20</v>
      </c>
      <c r="B127" s="155" t="s">
        <v>5616</v>
      </c>
      <c r="C127" s="133" t="s">
        <v>13</v>
      </c>
      <c r="D127" s="133" t="s">
        <v>5617</v>
      </c>
      <c r="E127" s="133" t="s">
        <v>5618</v>
      </c>
      <c r="F127" s="133" t="s">
        <v>40</v>
      </c>
      <c r="G127" s="156" t="s">
        <v>5619</v>
      </c>
      <c r="H127" s="156" t="s">
        <v>5620</v>
      </c>
      <c r="I127" s="165" t="s">
        <v>32</v>
      </c>
      <c r="J127" s="160" t="s">
        <v>72</v>
      </c>
      <c r="K127" s="157"/>
      <c r="L127" s="158"/>
    </row>
    <row r="128" spans="1:12">
      <c r="A128" s="164" t="s">
        <v>106</v>
      </c>
      <c r="B128" s="159" t="s">
        <v>5621</v>
      </c>
      <c r="C128" s="134" t="s">
        <v>108</v>
      </c>
      <c r="D128" s="134" t="s">
        <v>2838</v>
      </c>
      <c r="E128" s="134" t="s">
        <v>5502</v>
      </c>
      <c r="F128" s="133" t="s">
        <v>40</v>
      </c>
      <c r="G128" s="156" t="s">
        <v>5622</v>
      </c>
      <c r="H128" s="156" t="s">
        <v>5620</v>
      </c>
      <c r="I128" s="166" t="s">
        <v>149</v>
      </c>
      <c r="J128" s="160" t="s">
        <v>72</v>
      </c>
      <c r="K128" s="160"/>
      <c r="L128" s="161"/>
    </row>
    <row r="129" spans="1:12">
      <c r="A129" s="154" t="s">
        <v>95</v>
      </c>
      <c r="B129" s="159" t="s">
        <v>5623</v>
      </c>
      <c r="C129" s="134" t="s">
        <v>97</v>
      </c>
      <c r="D129" s="132" t="s">
        <v>5624</v>
      </c>
      <c r="E129" s="132" t="s">
        <v>5625</v>
      </c>
      <c r="F129" s="134" t="s">
        <v>40</v>
      </c>
      <c r="G129" s="156" t="s">
        <v>5626</v>
      </c>
      <c r="H129" s="156" t="s">
        <v>5627</v>
      </c>
      <c r="I129" s="166" t="s">
        <v>325</v>
      </c>
      <c r="J129" s="160" t="s">
        <v>72</v>
      </c>
      <c r="K129" s="160"/>
      <c r="L129" s="161"/>
    </row>
    <row r="130" spans="1:12">
      <c r="A130" s="154" t="s">
        <v>20</v>
      </c>
      <c r="B130" s="155" t="s">
        <v>5628</v>
      </c>
      <c r="C130" s="133" t="s">
        <v>21</v>
      </c>
      <c r="D130" s="132" t="s">
        <v>5629</v>
      </c>
      <c r="E130" s="132" t="s">
        <v>5630</v>
      </c>
      <c r="F130" s="133" t="s">
        <v>40</v>
      </c>
      <c r="G130" s="156" t="s">
        <v>5631</v>
      </c>
      <c r="H130" s="156" t="s">
        <v>5632</v>
      </c>
      <c r="I130" s="165" t="s">
        <v>64</v>
      </c>
      <c r="J130" s="157" t="s">
        <v>61</v>
      </c>
      <c r="K130" s="157"/>
      <c r="L130" s="158"/>
    </row>
    <row r="131" spans="1:12">
      <c r="A131" s="154" t="s">
        <v>106</v>
      </c>
      <c r="B131" s="155" t="s">
        <v>5633</v>
      </c>
      <c r="C131" s="133" t="s">
        <v>108</v>
      </c>
      <c r="D131" s="133" t="s">
        <v>5634</v>
      </c>
      <c r="E131" s="133" t="s">
        <v>5635</v>
      </c>
      <c r="F131" s="133" t="s">
        <v>40</v>
      </c>
      <c r="G131" s="156" t="s">
        <v>5636</v>
      </c>
      <c r="H131" s="156" t="s">
        <v>5637</v>
      </c>
      <c r="I131" s="165" t="s">
        <v>32</v>
      </c>
      <c r="J131" s="157" t="s">
        <v>61</v>
      </c>
      <c r="K131" s="157"/>
      <c r="L131" s="158"/>
    </row>
    <row r="132" spans="1:12">
      <c r="A132" s="154" t="s">
        <v>95</v>
      </c>
      <c r="B132" s="155" t="s">
        <v>5638</v>
      </c>
      <c r="C132" s="133" t="s">
        <v>97</v>
      </c>
      <c r="D132" s="133" t="s">
        <v>3306</v>
      </c>
      <c r="E132" s="133" t="s">
        <v>5502</v>
      </c>
      <c r="F132" s="133" t="s">
        <v>40</v>
      </c>
      <c r="G132" s="156" t="s">
        <v>5639</v>
      </c>
      <c r="H132" s="156" t="s">
        <v>5640</v>
      </c>
      <c r="I132" s="165" t="s">
        <v>32</v>
      </c>
      <c r="J132" s="157" t="s">
        <v>72</v>
      </c>
      <c r="K132" s="157"/>
      <c r="L132" s="158"/>
    </row>
    <row r="133" spans="1:12">
      <c r="A133" s="154" t="s">
        <v>95</v>
      </c>
      <c r="B133" s="155" t="s">
        <v>5641</v>
      </c>
      <c r="C133" s="133" t="s">
        <v>118</v>
      </c>
      <c r="D133" s="133" t="s">
        <v>5642</v>
      </c>
      <c r="E133" s="133" t="s">
        <v>5643</v>
      </c>
      <c r="F133" s="133" t="s">
        <v>40</v>
      </c>
      <c r="G133" s="156" t="s">
        <v>5644</v>
      </c>
      <c r="H133" s="156" t="s">
        <v>5645</v>
      </c>
      <c r="I133" s="165" t="s">
        <v>1999</v>
      </c>
      <c r="J133" s="157" t="s">
        <v>72</v>
      </c>
      <c r="K133" s="157"/>
      <c r="L133" s="158"/>
    </row>
    <row r="134" spans="1:12">
      <c r="A134" s="154" t="s">
        <v>95</v>
      </c>
      <c r="B134" s="155" t="s">
        <v>5646</v>
      </c>
      <c r="C134" s="133" t="s">
        <v>1763</v>
      </c>
      <c r="D134" s="133" t="s">
        <v>5647</v>
      </c>
      <c r="E134" s="133" t="s">
        <v>5648</v>
      </c>
      <c r="F134" s="133" t="s">
        <v>40</v>
      </c>
      <c r="G134" s="156" t="s">
        <v>5649</v>
      </c>
      <c r="H134" s="156" t="s">
        <v>5650</v>
      </c>
      <c r="I134" s="165" t="s">
        <v>498</v>
      </c>
      <c r="J134" s="157" t="s">
        <v>72</v>
      </c>
      <c r="K134" s="157"/>
      <c r="L134" s="158"/>
    </row>
    <row r="135" spans="1:12">
      <c r="A135" s="154" t="s">
        <v>20</v>
      </c>
      <c r="B135" s="155" t="s">
        <v>5651</v>
      </c>
      <c r="C135" s="133" t="s">
        <v>21</v>
      </c>
      <c r="D135" s="132" t="s">
        <v>5652</v>
      </c>
      <c r="E135" s="132" t="s">
        <v>5653</v>
      </c>
      <c r="F135" s="133" t="s">
        <v>40</v>
      </c>
      <c r="G135" s="156" t="s">
        <v>5654</v>
      </c>
      <c r="H135" s="156" t="s">
        <v>5655</v>
      </c>
      <c r="I135" s="165" t="s">
        <v>5656</v>
      </c>
      <c r="J135" s="157" t="s">
        <v>72</v>
      </c>
      <c r="K135" s="157"/>
      <c r="L135" s="158"/>
    </row>
    <row r="136" spans="1:12">
      <c r="A136" s="154" t="s">
        <v>20</v>
      </c>
      <c r="B136" s="155" t="s">
        <v>5657</v>
      </c>
      <c r="C136" s="133" t="s">
        <v>13</v>
      </c>
      <c r="D136" s="132" t="s">
        <v>5658</v>
      </c>
      <c r="E136" s="132" t="s">
        <v>5659</v>
      </c>
      <c r="F136" s="133" t="s">
        <v>40</v>
      </c>
      <c r="G136" s="156" t="s">
        <v>5660</v>
      </c>
      <c r="H136" s="156" t="s">
        <v>5661</v>
      </c>
      <c r="I136" s="165" t="s">
        <v>5662</v>
      </c>
      <c r="J136" s="157" t="s">
        <v>61</v>
      </c>
      <c r="K136" s="157"/>
      <c r="L136" s="158"/>
    </row>
    <row r="137" spans="1:12">
      <c r="A137" s="164" t="s">
        <v>95</v>
      </c>
      <c r="B137" s="155" t="s">
        <v>5663</v>
      </c>
      <c r="C137" s="133" t="s">
        <v>118</v>
      </c>
      <c r="D137" s="133" t="s">
        <v>5664</v>
      </c>
      <c r="E137" s="132" t="s">
        <v>5665</v>
      </c>
      <c r="F137" s="133" t="s">
        <v>40</v>
      </c>
      <c r="G137" s="156" t="s">
        <v>5666</v>
      </c>
      <c r="H137" s="156" t="s">
        <v>5667</v>
      </c>
      <c r="I137" s="165" t="s">
        <v>5668</v>
      </c>
      <c r="J137" s="157" t="s">
        <v>61</v>
      </c>
      <c r="K137" s="157"/>
      <c r="L137" s="158"/>
    </row>
    <row r="138" spans="1:12">
      <c r="A138" s="154" t="s">
        <v>20</v>
      </c>
      <c r="B138" s="159" t="s">
        <v>5669</v>
      </c>
      <c r="C138" s="134" t="s">
        <v>21</v>
      </c>
      <c r="D138" s="132" t="s">
        <v>5670</v>
      </c>
      <c r="E138" s="132" t="s">
        <v>5671</v>
      </c>
      <c r="F138" s="134" t="s">
        <v>40</v>
      </c>
      <c r="G138" s="156" t="s">
        <v>5672</v>
      </c>
      <c r="H138" s="156" t="s">
        <v>5673</v>
      </c>
      <c r="I138" s="166" t="s">
        <v>3397</v>
      </c>
      <c r="J138" s="160" t="s">
        <v>61</v>
      </c>
      <c r="K138" s="160"/>
      <c r="L138" s="161"/>
    </row>
    <row r="139" spans="1:12">
      <c r="A139" s="154" t="s">
        <v>20</v>
      </c>
      <c r="B139" s="155" t="s">
        <v>5674</v>
      </c>
      <c r="C139" s="133" t="s">
        <v>13</v>
      </c>
      <c r="D139" s="132" t="s">
        <v>5675</v>
      </c>
      <c r="E139" s="132" t="s">
        <v>5676</v>
      </c>
      <c r="F139" s="133" t="s">
        <v>40</v>
      </c>
      <c r="G139" s="156" t="s">
        <v>5672</v>
      </c>
      <c r="H139" s="156" t="s">
        <v>5677</v>
      </c>
      <c r="I139" s="165" t="s">
        <v>5678</v>
      </c>
      <c r="J139" s="157" t="s">
        <v>61</v>
      </c>
      <c r="K139" s="157"/>
      <c r="L139" s="158"/>
    </row>
    <row r="140" spans="1:12">
      <c r="A140" s="154" t="s">
        <v>20</v>
      </c>
      <c r="B140" s="155" t="s">
        <v>5679</v>
      </c>
      <c r="C140" s="133" t="s">
        <v>21</v>
      </c>
      <c r="D140" s="132" t="s">
        <v>5680</v>
      </c>
      <c r="E140" s="132" t="s">
        <v>5681</v>
      </c>
      <c r="F140" s="133" t="s">
        <v>40</v>
      </c>
      <c r="G140" s="156" t="s">
        <v>5673</v>
      </c>
      <c r="H140" s="156" t="s">
        <v>5682</v>
      </c>
      <c r="I140" s="165" t="s">
        <v>3397</v>
      </c>
      <c r="J140" s="157" t="s">
        <v>61</v>
      </c>
      <c r="K140" s="157"/>
      <c r="L140" s="158"/>
    </row>
    <row r="141" spans="1:12">
      <c r="A141" s="154" t="s">
        <v>20</v>
      </c>
      <c r="B141" s="155" t="s">
        <v>5683</v>
      </c>
      <c r="C141" s="133" t="s">
        <v>21</v>
      </c>
      <c r="D141" s="132" t="s">
        <v>5684</v>
      </c>
      <c r="E141" s="132" t="s">
        <v>5685</v>
      </c>
      <c r="F141" s="133" t="s">
        <v>40</v>
      </c>
      <c r="G141" s="156" t="s">
        <v>5686</v>
      </c>
      <c r="H141" s="156" t="s">
        <v>5687</v>
      </c>
      <c r="I141" s="165" t="s">
        <v>5688</v>
      </c>
      <c r="J141" s="157" t="s">
        <v>61</v>
      </c>
      <c r="K141" s="157"/>
      <c r="L141" s="158"/>
    </row>
    <row r="142" spans="1:12">
      <c r="A142" s="154" t="s">
        <v>95</v>
      </c>
      <c r="B142" s="155" t="s">
        <v>5689</v>
      </c>
      <c r="C142" s="133" t="s">
        <v>113</v>
      </c>
      <c r="D142" s="132" t="s">
        <v>5690</v>
      </c>
      <c r="E142" s="133" t="s">
        <v>5691</v>
      </c>
      <c r="F142" s="133" t="s">
        <v>40</v>
      </c>
      <c r="G142" s="156" t="s">
        <v>5692</v>
      </c>
      <c r="H142" s="156" t="s">
        <v>5693</v>
      </c>
      <c r="I142" s="165" t="s">
        <v>866</v>
      </c>
      <c r="J142" s="157" t="s">
        <v>61</v>
      </c>
      <c r="K142" s="157"/>
      <c r="L142" s="158"/>
    </row>
    <row r="143" spans="1:12">
      <c r="A143" s="154" t="s">
        <v>106</v>
      </c>
      <c r="B143" s="155" t="s">
        <v>5694</v>
      </c>
      <c r="C143" s="133" t="s">
        <v>108</v>
      </c>
      <c r="D143" s="132" t="s">
        <v>5695</v>
      </c>
      <c r="E143" s="132" t="s">
        <v>5257</v>
      </c>
      <c r="F143" s="133" t="s">
        <v>40</v>
      </c>
      <c r="G143" s="156" t="s">
        <v>5696</v>
      </c>
      <c r="H143" s="156" t="s">
        <v>5697</v>
      </c>
      <c r="I143" s="165" t="s">
        <v>1470</v>
      </c>
      <c r="J143" s="157" t="s">
        <v>61</v>
      </c>
      <c r="K143" s="157"/>
      <c r="L143" s="158"/>
    </row>
    <row r="144" spans="1:12">
      <c r="A144" s="154" t="s">
        <v>20</v>
      </c>
      <c r="B144" s="155" t="s">
        <v>5698</v>
      </c>
      <c r="C144" s="133" t="s">
        <v>21</v>
      </c>
      <c r="D144" s="132" t="s">
        <v>5699</v>
      </c>
      <c r="E144" s="132" t="s">
        <v>5520</v>
      </c>
      <c r="F144" s="133" t="s">
        <v>40</v>
      </c>
      <c r="G144" s="156" t="s">
        <v>5700</v>
      </c>
      <c r="H144" s="156" t="s">
        <v>5701</v>
      </c>
      <c r="I144" s="165" t="s">
        <v>2071</v>
      </c>
      <c r="J144" s="157" t="s">
        <v>61</v>
      </c>
      <c r="K144" s="157"/>
      <c r="L144" s="158"/>
    </row>
    <row r="145" spans="1:12">
      <c r="A145" s="154" t="s">
        <v>20</v>
      </c>
      <c r="B145" s="155" t="s">
        <v>5702</v>
      </c>
      <c r="C145" s="133" t="s">
        <v>21</v>
      </c>
      <c r="D145" s="133" t="s">
        <v>5703</v>
      </c>
      <c r="E145" s="133" t="s">
        <v>5520</v>
      </c>
      <c r="F145" s="133" t="s">
        <v>40</v>
      </c>
      <c r="G145" s="156" t="s">
        <v>5704</v>
      </c>
      <c r="H145" s="156" t="s">
        <v>5705</v>
      </c>
      <c r="I145" s="165" t="s">
        <v>3397</v>
      </c>
      <c r="J145" s="157" t="s">
        <v>61</v>
      </c>
      <c r="K145" s="157"/>
      <c r="L145" s="158"/>
    </row>
    <row r="146" spans="1:12">
      <c r="A146" s="154" t="s">
        <v>106</v>
      </c>
      <c r="B146" s="155" t="s">
        <v>5706</v>
      </c>
      <c r="C146" s="133" t="s">
        <v>108</v>
      </c>
      <c r="D146" s="133" t="s">
        <v>2838</v>
      </c>
      <c r="E146" s="133" t="s">
        <v>5502</v>
      </c>
      <c r="F146" s="133" t="s">
        <v>40</v>
      </c>
      <c r="G146" s="156" t="s">
        <v>5707</v>
      </c>
      <c r="H146" s="156" t="s">
        <v>5708</v>
      </c>
      <c r="I146" s="165" t="s">
        <v>32</v>
      </c>
      <c r="J146" s="157" t="s">
        <v>72</v>
      </c>
      <c r="K146" s="157"/>
      <c r="L146" s="158"/>
    </row>
    <row r="147" spans="1:12">
      <c r="A147" s="154" t="s">
        <v>20</v>
      </c>
      <c r="B147" s="155" t="s">
        <v>5709</v>
      </c>
      <c r="C147" s="133" t="s">
        <v>13</v>
      </c>
      <c r="D147" s="133" t="s">
        <v>5710</v>
      </c>
      <c r="E147" s="133" t="s">
        <v>5711</v>
      </c>
      <c r="F147" s="133" t="s">
        <v>40</v>
      </c>
      <c r="G147" s="156" t="s">
        <v>5712</v>
      </c>
      <c r="H147" s="156" t="s">
        <v>5713</v>
      </c>
      <c r="I147" s="165" t="s">
        <v>5454</v>
      </c>
      <c r="J147" s="157" t="s">
        <v>72</v>
      </c>
      <c r="K147" s="157"/>
      <c r="L147" s="158"/>
    </row>
    <row r="148" spans="1:12">
      <c r="A148" s="154" t="s">
        <v>106</v>
      </c>
      <c r="B148" s="155" t="s">
        <v>5714</v>
      </c>
      <c r="C148" s="133" t="s">
        <v>28</v>
      </c>
      <c r="D148" s="133" t="s">
        <v>5715</v>
      </c>
      <c r="E148" s="133" t="s">
        <v>5716</v>
      </c>
      <c r="F148" s="133" t="s">
        <v>40</v>
      </c>
      <c r="G148" s="156" t="s">
        <v>5717</v>
      </c>
      <c r="H148" s="156" t="s">
        <v>5718</v>
      </c>
      <c r="I148" s="165" t="s">
        <v>2951</v>
      </c>
      <c r="J148" s="157" t="s">
        <v>72</v>
      </c>
      <c r="K148" s="157" t="s">
        <v>61</v>
      </c>
      <c r="L148" s="158">
        <v>45307</v>
      </c>
    </row>
    <row r="149" spans="1:12">
      <c r="A149" s="154" t="s">
        <v>106</v>
      </c>
      <c r="B149" s="159" t="s">
        <v>5719</v>
      </c>
      <c r="C149" s="133" t="s">
        <v>108</v>
      </c>
      <c r="D149" s="134" t="s">
        <v>5720</v>
      </c>
      <c r="E149" s="134" t="s">
        <v>5721</v>
      </c>
      <c r="F149" s="133" t="s">
        <v>40</v>
      </c>
      <c r="G149" s="156" t="s">
        <v>5722</v>
      </c>
      <c r="H149" s="156" t="s">
        <v>5723</v>
      </c>
      <c r="I149" s="166" t="s">
        <v>4105</v>
      </c>
      <c r="J149" s="157" t="s">
        <v>72</v>
      </c>
      <c r="K149" s="160"/>
      <c r="L149" s="158"/>
    </row>
    <row r="150" spans="1:12">
      <c r="A150" s="154" t="s">
        <v>106</v>
      </c>
      <c r="B150" s="155" t="s">
        <v>5724</v>
      </c>
      <c r="C150" s="133" t="s">
        <v>108</v>
      </c>
      <c r="D150" s="132" t="s">
        <v>5725</v>
      </c>
      <c r="E150" s="133" t="s">
        <v>5726</v>
      </c>
      <c r="F150" s="133" t="s">
        <v>40</v>
      </c>
      <c r="G150" s="156" t="s">
        <v>5727</v>
      </c>
      <c r="H150" s="156" t="s">
        <v>5728</v>
      </c>
      <c r="I150" s="165" t="s">
        <v>946</v>
      </c>
      <c r="J150" s="157" t="s">
        <v>72</v>
      </c>
      <c r="K150" s="157"/>
      <c r="L150" s="158"/>
    </row>
    <row r="151" spans="1:12">
      <c r="A151" s="154" t="s">
        <v>20</v>
      </c>
      <c r="B151" s="155" t="s">
        <v>5729</v>
      </c>
      <c r="C151" s="133" t="s">
        <v>21</v>
      </c>
      <c r="D151" s="132" t="s">
        <v>5730</v>
      </c>
      <c r="E151" s="133" t="s">
        <v>5731</v>
      </c>
      <c r="F151" s="133" t="s">
        <v>40</v>
      </c>
      <c r="G151" s="156" t="s">
        <v>5732</v>
      </c>
      <c r="H151" s="156" t="s">
        <v>5733</v>
      </c>
      <c r="I151" s="165" t="s">
        <v>64</v>
      </c>
      <c r="J151" s="157" t="s">
        <v>61</v>
      </c>
      <c r="K151" s="157"/>
      <c r="L151" s="158"/>
    </row>
    <row r="152" spans="1:12">
      <c r="A152" s="154" t="s">
        <v>20</v>
      </c>
      <c r="B152" s="155" t="s">
        <v>5734</v>
      </c>
      <c r="C152" s="133" t="s">
        <v>21</v>
      </c>
      <c r="D152" s="133" t="s">
        <v>5735</v>
      </c>
      <c r="E152" s="133" t="s">
        <v>5736</v>
      </c>
      <c r="F152" s="133" t="s">
        <v>40</v>
      </c>
      <c r="G152" s="156" t="s">
        <v>5737</v>
      </c>
      <c r="H152" s="156" t="s">
        <v>5738</v>
      </c>
      <c r="I152" s="165" t="s">
        <v>2003</v>
      </c>
      <c r="J152" s="157" t="s">
        <v>61</v>
      </c>
      <c r="K152" s="157"/>
      <c r="L152" s="158"/>
    </row>
    <row r="153" spans="1:12">
      <c r="A153" s="154" t="s">
        <v>106</v>
      </c>
      <c r="B153" s="155" t="s">
        <v>5739</v>
      </c>
      <c r="C153" s="133" t="s">
        <v>333</v>
      </c>
      <c r="D153" s="133" t="s">
        <v>5740</v>
      </c>
      <c r="E153" s="133" t="s">
        <v>5741</v>
      </c>
      <c r="F153" s="133" t="s">
        <v>40</v>
      </c>
      <c r="G153" s="156" t="s">
        <v>5742</v>
      </c>
      <c r="H153" s="156" t="s">
        <v>5743</v>
      </c>
      <c r="I153" s="165" t="s">
        <v>2724</v>
      </c>
      <c r="J153" s="157" t="s">
        <v>88</v>
      </c>
      <c r="K153" s="157"/>
      <c r="L153" s="158"/>
    </row>
    <row r="154" spans="1:12">
      <c r="A154" s="154" t="s">
        <v>20</v>
      </c>
      <c r="B154" s="155" t="s">
        <v>5744</v>
      </c>
      <c r="C154" s="133" t="s">
        <v>21</v>
      </c>
      <c r="D154" s="133" t="s">
        <v>5745</v>
      </c>
      <c r="E154" s="133" t="s">
        <v>5746</v>
      </c>
      <c r="F154" s="133" t="s">
        <v>40</v>
      </c>
      <c r="G154" s="156" t="s">
        <v>5747</v>
      </c>
      <c r="H154" s="156" t="s">
        <v>5748</v>
      </c>
      <c r="I154" s="165" t="s">
        <v>5749</v>
      </c>
      <c r="J154" s="157" t="s">
        <v>94</v>
      </c>
      <c r="K154" s="157"/>
      <c r="L154" s="158"/>
    </row>
    <row r="155" spans="1:12">
      <c r="A155" s="154" t="s">
        <v>20</v>
      </c>
      <c r="B155" s="155" t="s">
        <v>5750</v>
      </c>
      <c r="C155" s="133" t="s">
        <v>21</v>
      </c>
      <c r="D155" s="133" t="s">
        <v>5751</v>
      </c>
      <c r="E155" s="133" t="s">
        <v>5752</v>
      </c>
      <c r="F155" s="133" t="s">
        <v>40</v>
      </c>
      <c r="G155" s="156" t="s">
        <v>5753</v>
      </c>
      <c r="H155" s="156" t="s">
        <v>5754</v>
      </c>
      <c r="I155" s="165" t="s">
        <v>2951</v>
      </c>
      <c r="J155" s="157" t="s">
        <v>94</v>
      </c>
      <c r="K155" s="157"/>
      <c r="L155" s="158"/>
    </row>
    <row r="156" spans="1:12">
      <c r="A156" s="154" t="s">
        <v>20</v>
      </c>
      <c r="B156" s="155" t="s">
        <v>5755</v>
      </c>
      <c r="C156" s="133" t="s">
        <v>49</v>
      </c>
      <c r="D156" s="133" t="s">
        <v>5751</v>
      </c>
      <c r="E156" s="133" t="s">
        <v>5756</v>
      </c>
      <c r="F156" s="133" t="s">
        <v>40</v>
      </c>
      <c r="G156" s="156" t="s">
        <v>5757</v>
      </c>
      <c r="H156" s="156" t="s">
        <v>5758</v>
      </c>
      <c r="I156" s="165" t="s">
        <v>2951</v>
      </c>
      <c r="J156" s="157" t="s">
        <v>94</v>
      </c>
      <c r="K156" s="157" t="s">
        <v>88</v>
      </c>
      <c r="L156" s="158"/>
    </row>
    <row r="157" spans="1:12">
      <c r="A157" s="154" t="s">
        <v>20</v>
      </c>
      <c r="B157" s="155" t="s">
        <v>5759</v>
      </c>
      <c r="C157" s="133" t="s">
        <v>21</v>
      </c>
      <c r="D157" s="133" t="s">
        <v>5760</v>
      </c>
      <c r="E157" s="133" t="s">
        <v>5761</v>
      </c>
      <c r="F157" s="133" t="s">
        <v>40</v>
      </c>
      <c r="G157" s="156" t="s">
        <v>5762</v>
      </c>
      <c r="H157" s="156" t="s">
        <v>5763</v>
      </c>
      <c r="I157" s="165" t="s">
        <v>5749</v>
      </c>
      <c r="J157" s="157" t="s">
        <v>94</v>
      </c>
      <c r="K157" s="157"/>
      <c r="L157" s="158"/>
    </row>
    <row r="158" spans="1:12">
      <c r="A158" s="154" t="s">
        <v>20</v>
      </c>
      <c r="B158" s="155" t="s">
        <v>5764</v>
      </c>
      <c r="C158" s="133" t="s">
        <v>21</v>
      </c>
      <c r="D158" s="133" t="s">
        <v>5765</v>
      </c>
      <c r="E158" s="133" t="s">
        <v>5766</v>
      </c>
      <c r="F158" s="133" t="s">
        <v>40</v>
      </c>
      <c r="G158" s="156" t="s">
        <v>5767</v>
      </c>
      <c r="H158" s="156" t="s">
        <v>5748</v>
      </c>
      <c r="I158" s="165" t="s">
        <v>5749</v>
      </c>
      <c r="J158" s="157" t="s">
        <v>94</v>
      </c>
      <c r="K158" s="157"/>
      <c r="L158" s="158"/>
    </row>
    <row r="159" spans="1:12">
      <c r="A159" s="154" t="s">
        <v>20</v>
      </c>
      <c r="B159" s="155" t="s">
        <v>5768</v>
      </c>
      <c r="C159" s="133" t="s">
        <v>21</v>
      </c>
      <c r="D159" s="133" t="s">
        <v>5769</v>
      </c>
      <c r="E159" s="133" t="s">
        <v>5770</v>
      </c>
      <c r="F159" s="133" t="s">
        <v>40</v>
      </c>
      <c r="G159" s="156" t="s">
        <v>5771</v>
      </c>
      <c r="H159" s="156" t="s">
        <v>5772</v>
      </c>
      <c r="I159" s="165" t="s">
        <v>5749</v>
      </c>
      <c r="J159" s="157" t="s">
        <v>94</v>
      </c>
      <c r="K159" s="157"/>
      <c r="L159" s="158"/>
    </row>
    <row r="160" spans="1:12">
      <c r="A160" s="154" t="s">
        <v>106</v>
      </c>
      <c r="B160" s="155" t="s">
        <v>5773</v>
      </c>
      <c r="C160" s="133" t="s">
        <v>380</v>
      </c>
      <c r="D160" s="133" t="s">
        <v>5774</v>
      </c>
      <c r="E160" s="133" t="s">
        <v>5775</v>
      </c>
      <c r="F160" s="133" t="s">
        <v>40</v>
      </c>
      <c r="G160" s="156" t="s">
        <v>5776</v>
      </c>
      <c r="H160" s="156" t="s">
        <v>5777</v>
      </c>
      <c r="I160" s="165" t="s">
        <v>5778</v>
      </c>
      <c r="J160" s="157" t="s">
        <v>88</v>
      </c>
      <c r="K160" s="157"/>
      <c r="L160" s="158"/>
    </row>
    <row r="161" spans="1:12">
      <c r="A161" s="154" t="s">
        <v>106</v>
      </c>
      <c r="B161" s="155" t="s">
        <v>5779</v>
      </c>
      <c r="C161" s="133" t="s">
        <v>108</v>
      </c>
      <c r="D161" s="133" t="s">
        <v>5780</v>
      </c>
      <c r="E161" s="133" t="s">
        <v>5781</v>
      </c>
      <c r="F161" s="133" t="s">
        <v>40</v>
      </c>
      <c r="G161" s="156" t="s">
        <v>5782</v>
      </c>
      <c r="H161" s="156" t="s">
        <v>5783</v>
      </c>
      <c r="I161" s="165" t="s">
        <v>387</v>
      </c>
      <c r="J161" s="157" t="s">
        <v>88</v>
      </c>
      <c r="K161" s="157"/>
      <c r="L161" s="158"/>
    </row>
    <row r="162" spans="1:12">
      <c r="A162" s="154" t="s">
        <v>106</v>
      </c>
      <c r="B162" s="155" t="s">
        <v>5784</v>
      </c>
      <c r="C162" s="133" t="s">
        <v>108</v>
      </c>
      <c r="D162" s="133" t="s">
        <v>5785</v>
      </c>
      <c r="E162" s="133" t="s">
        <v>5786</v>
      </c>
      <c r="F162" s="133" t="s">
        <v>40</v>
      </c>
      <c r="G162" s="156" t="s">
        <v>5787</v>
      </c>
      <c r="H162" s="156" t="s">
        <v>5788</v>
      </c>
      <c r="I162" s="165" t="s">
        <v>960</v>
      </c>
      <c r="J162" s="157" t="s">
        <v>88</v>
      </c>
      <c r="K162" s="157"/>
      <c r="L162" s="158"/>
    </row>
    <row r="163" spans="1:12" hidden="1">
      <c r="A163" s="154" t="s">
        <v>106</v>
      </c>
      <c r="B163" s="155" t="s">
        <v>5789</v>
      </c>
      <c r="C163" s="133" t="s">
        <v>78</v>
      </c>
      <c r="D163" s="133" t="s">
        <v>5790</v>
      </c>
      <c r="E163" s="133"/>
      <c r="F163" s="133" t="s">
        <v>214</v>
      </c>
      <c r="G163" s="156" t="s">
        <v>5791</v>
      </c>
      <c r="I163" s="165" t="s">
        <v>258</v>
      </c>
      <c r="J163" s="157" t="s">
        <v>88</v>
      </c>
      <c r="K163" s="157"/>
      <c r="L163" s="158"/>
    </row>
    <row r="164" spans="1:12">
      <c r="A164" s="154" t="s">
        <v>20</v>
      </c>
      <c r="B164" s="155" t="s">
        <v>5792</v>
      </c>
      <c r="C164" s="133" t="s">
        <v>21</v>
      </c>
      <c r="D164" s="133" t="s">
        <v>5793</v>
      </c>
      <c r="E164" s="133" t="s">
        <v>5794</v>
      </c>
      <c r="F164" s="133" t="s">
        <v>40</v>
      </c>
      <c r="G164" s="156" t="s">
        <v>5795</v>
      </c>
      <c r="H164" s="156" t="s">
        <v>5796</v>
      </c>
      <c r="I164" s="165" t="s">
        <v>356</v>
      </c>
      <c r="J164" s="157" t="s">
        <v>88</v>
      </c>
      <c r="K164" s="157"/>
      <c r="L164" s="158"/>
    </row>
    <row r="165" spans="1:12">
      <c r="A165" s="154" t="s">
        <v>20</v>
      </c>
      <c r="B165" s="155" t="s">
        <v>5797</v>
      </c>
      <c r="C165" s="133" t="s">
        <v>13</v>
      </c>
      <c r="D165" s="133" t="s">
        <v>5798</v>
      </c>
      <c r="E165" s="133" t="s">
        <v>5799</v>
      </c>
      <c r="F165" s="133" t="s">
        <v>40</v>
      </c>
      <c r="G165" s="156" t="s">
        <v>5800</v>
      </c>
      <c r="H165" s="156" t="s">
        <v>5801</v>
      </c>
      <c r="I165" s="165" t="s">
        <v>5802</v>
      </c>
      <c r="J165" s="157" t="s">
        <v>94</v>
      </c>
      <c r="K165" s="157"/>
      <c r="L165" s="158"/>
    </row>
    <row r="166" spans="1:12">
      <c r="A166" s="154" t="s">
        <v>20</v>
      </c>
      <c r="B166" s="155" t="s">
        <v>5803</v>
      </c>
      <c r="C166" s="133" t="s">
        <v>21</v>
      </c>
      <c r="D166" s="133" t="s">
        <v>5804</v>
      </c>
      <c r="E166" s="134" t="s">
        <v>5805</v>
      </c>
      <c r="F166" s="133" t="s">
        <v>40</v>
      </c>
      <c r="G166" s="156" t="s">
        <v>5806</v>
      </c>
      <c r="H166" s="156" t="s">
        <v>5807</v>
      </c>
      <c r="I166" s="165" t="s">
        <v>5808</v>
      </c>
      <c r="J166" s="157" t="s">
        <v>94</v>
      </c>
      <c r="K166" s="157"/>
      <c r="L166" s="158"/>
    </row>
    <row r="167" spans="1:12">
      <c r="A167" s="154" t="s">
        <v>20</v>
      </c>
      <c r="B167" s="155" t="s">
        <v>5809</v>
      </c>
      <c r="C167" s="133" t="s">
        <v>21</v>
      </c>
      <c r="D167" s="133" t="s">
        <v>5810</v>
      </c>
      <c r="E167" s="133" t="s">
        <v>5811</v>
      </c>
      <c r="F167" s="133" t="s">
        <v>40</v>
      </c>
      <c r="G167" s="156" t="s">
        <v>5812</v>
      </c>
      <c r="H167" s="156" t="s">
        <v>5813</v>
      </c>
      <c r="I167" s="165" t="s">
        <v>5814</v>
      </c>
      <c r="J167" s="157" t="s">
        <v>94</v>
      </c>
      <c r="K167" s="157"/>
      <c r="L167" s="158"/>
    </row>
    <row r="168" spans="1:12">
      <c r="A168" s="154" t="s">
        <v>20</v>
      </c>
      <c r="B168" s="155" t="s">
        <v>5815</v>
      </c>
      <c r="C168" s="133" t="s">
        <v>13</v>
      </c>
      <c r="D168" s="133" t="s">
        <v>5816</v>
      </c>
      <c r="E168" s="133" t="s">
        <v>5817</v>
      </c>
      <c r="F168" s="133" t="s">
        <v>40</v>
      </c>
      <c r="G168" s="156" t="s">
        <v>5818</v>
      </c>
      <c r="H168" s="156" t="s">
        <v>5819</v>
      </c>
      <c r="I168" s="165" t="s">
        <v>2605</v>
      </c>
      <c r="J168" s="157" t="s">
        <v>94</v>
      </c>
      <c r="K168" s="157"/>
      <c r="L168" s="158"/>
    </row>
    <row r="169" spans="1:12">
      <c r="A169" s="154" t="s">
        <v>106</v>
      </c>
      <c r="B169" s="155" t="s">
        <v>5820</v>
      </c>
      <c r="C169" s="133" t="s">
        <v>108</v>
      </c>
      <c r="D169" s="133" t="s">
        <v>5821</v>
      </c>
      <c r="E169" s="134" t="s">
        <v>5822</v>
      </c>
      <c r="F169" s="133" t="s">
        <v>40</v>
      </c>
      <c r="G169" s="156" t="s">
        <v>5823</v>
      </c>
      <c r="H169" s="156" t="s">
        <v>5824</v>
      </c>
      <c r="I169" s="165" t="s">
        <v>5825</v>
      </c>
      <c r="J169" s="157" t="s">
        <v>88</v>
      </c>
      <c r="K169" s="157"/>
      <c r="L169" s="158"/>
    </row>
    <row r="170" spans="1:12" hidden="1">
      <c r="A170" s="154" t="s">
        <v>106</v>
      </c>
      <c r="B170" s="155" t="s">
        <v>5820</v>
      </c>
      <c r="C170" s="133" t="s">
        <v>108</v>
      </c>
      <c r="D170" s="133" t="s">
        <v>5821</v>
      </c>
      <c r="E170" s="133" t="s">
        <v>5822</v>
      </c>
      <c r="F170" s="133" t="s">
        <v>308</v>
      </c>
      <c r="G170" s="156" t="s">
        <v>5823</v>
      </c>
      <c r="I170" s="165" t="s">
        <v>3932</v>
      </c>
      <c r="J170" s="157" t="s">
        <v>88</v>
      </c>
      <c r="K170" s="157"/>
      <c r="L170" s="158"/>
    </row>
    <row r="171" spans="1:12">
      <c r="A171" s="154" t="s">
        <v>106</v>
      </c>
      <c r="B171" s="155" t="s">
        <v>5826</v>
      </c>
      <c r="C171" s="133" t="s">
        <v>108</v>
      </c>
      <c r="D171" s="133" t="s">
        <v>4266</v>
      </c>
      <c r="E171" s="133" t="s">
        <v>5827</v>
      </c>
      <c r="F171" s="133" t="s">
        <v>40</v>
      </c>
      <c r="G171" s="156" t="s">
        <v>5828</v>
      </c>
      <c r="H171" s="156" t="s">
        <v>5829</v>
      </c>
      <c r="I171" s="165" t="s">
        <v>387</v>
      </c>
      <c r="J171" s="157" t="s">
        <v>88</v>
      </c>
      <c r="K171" s="157"/>
      <c r="L171" s="158"/>
    </row>
    <row r="172" spans="1:12">
      <c r="A172" s="154" t="s">
        <v>106</v>
      </c>
      <c r="B172" s="155" t="s">
        <v>5830</v>
      </c>
      <c r="C172" s="133" t="s">
        <v>108</v>
      </c>
      <c r="D172" s="133" t="s">
        <v>5831</v>
      </c>
      <c r="E172" s="133" t="s">
        <v>5832</v>
      </c>
      <c r="F172" s="133" t="s">
        <v>40</v>
      </c>
      <c r="G172" s="156" t="s">
        <v>5833</v>
      </c>
      <c r="H172" s="156" t="s">
        <v>5834</v>
      </c>
      <c r="I172" s="165" t="s">
        <v>5835</v>
      </c>
      <c r="J172" s="157" t="s">
        <v>94</v>
      </c>
      <c r="K172" s="157"/>
      <c r="L172" s="158"/>
    </row>
    <row r="173" spans="1:12">
      <c r="A173" s="154" t="s">
        <v>20</v>
      </c>
      <c r="B173" s="155" t="s">
        <v>5836</v>
      </c>
      <c r="C173" s="133" t="s">
        <v>13</v>
      </c>
      <c r="D173" s="133" t="s">
        <v>5837</v>
      </c>
      <c r="E173" s="134" t="s">
        <v>5838</v>
      </c>
      <c r="F173" s="133" t="s">
        <v>40</v>
      </c>
      <c r="G173" s="156" t="s">
        <v>5839</v>
      </c>
      <c r="H173" s="156" t="s">
        <v>5840</v>
      </c>
      <c r="I173" s="165" t="s">
        <v>2605</v>
      </c>
      <c r="J173" s="157" t="s">
        <v>94</v>
      </c>
      <c r="K173" s="157"/>
      <c r="L173" s="158"/>
    </row>
    <row r="174" spans="1:12">
      <c r="A174" s="154" t="s">
        <v>20</v>
      </c>
      <c r="B174" s="155" t="s">
        <v>5841</v>
      </c>
      <c r="C174" s="133" t="s">
        <v>21</v>
      </c>
      <c r="D174" s="133" t="s">
        <v>5842</v>
      </c>
      <c r="E174" s="133" t="s">
        <v>5843</v>
      </c>
      <c r="F174" s="133" t="s">
        <v>40</v>
      </c>
      <c r="G174" s="156" t="s">
        <v>5844</v>
      </c>
      <c r="H174" s="156" t="s">
        <v>5845</v>
      </c>
      <c r="I174" s="165" t="s">
        <v>5808</v>
      </c>
      <c r="J174" s="157" t="s">
        <v>94</v>
      </c>
      <c r="K174" s="157"/>
      <c r="L174" s="158"/>
    </row>
    <row r="175" spans="1:12">
      <c r="A175" s="154" t="s">
        <v>106</v>
      </c>
      <c r="B175" s="155" t="s">
        <v>5846</v>
      </c>
      <c r="C175" s="133" t="s">
        <v>333</v>
      </c>
      <c r="D175" s="133" t="s">
        <v>5847</v>
      </c>
      <c r="E175" s="133" t="s">
        <v>5848</v>
      </c>
      <c r="F175" s="133" t="s">
        <v>40</v>
      </c>
      <c r="G175" s="156" t="s">
        <v>5849</v>
      </c>
      <c r="H175" s="156" t="s">
        <v>5850</v>
      </c>
      <c r="I175" s="165" t="s">
        <v>2724</v>
      </c>
      <c r="J175" s="157" t="s">
        <v>88</v>
      </c>
      <c r="K175" s="157"/>
      <c r="L175" s="158"/>
    </row>
    <row r="176" spans="1:12">
      <c r="A176" s="154" t="s">
        <v>106</v>
      </c>
      <c r="B176" s="155" t="s">
        <v>5851</v>
      </c>
      <c r="C176" s="133" t="s">
        <v>108</v>
      </c>
      <c r="D176" s="133" t="s">
        <v>2117</v>
      </c>
      <c r="E176" s="133" t="s">
        <v>5852</v>
      </c>
      <c r="F176" s="133" t="s">
        <v>40</v>
      </c>
      <c r="G176" s="156" t="s">
        <v>5853</v>
      </c>
      <c r="H176" s="156" t="s">
        <v>5854</v>
      </c>
      <c r="I176" s="165" t="s">
        <v>4693</v>
      </c>
      <c r="J176" s="157" t="s">
        <v>88</v>
      </c>
      <c r="K176" s="157"/>
      <c r="L176" s="158"/>
    </row>
    <row r="177" spans="1:12">
      <c r="A177" s="164" t="s">
        <v>95</v>
      </c>
      <c r="B177" s="155" t="s">
        <v>5855</v>
      </c>
      <c r="C177" s="133" t="s">
        <v>97</v>
      </c>
      <c r="D177" s="133" t="s">
        <v>5856</v>
      </c>
      <c r="E177" s="134" t="s">
        <v>5857</v>
      </c>
      <c r="F177" s="133" t="s">
        <v>40</v>
      </c>
      <c r="G177" s="156" t="s">
        <v>5858</v>
      </c>
      <c r="I177" s="165" t="s">
        <v>3429</v>
      </c>
      <c r="J177" s="157" t="s">
        <v>88</v>
      </c>
      <c r="K177" s="157"/>
      <c r="L177" s="158"/>
    </row>
    <row r="178" spans="1:12">
      <c r="A178" s="154" t="s">
        <v>95</v>
      </c>
      <c r="B178" s="159" t="s">
        <v>5859</v>
      </c>
      <c r="C178" s="134" t="s">
        <v>118</v>
      </c>
      <c r="D178" s="134" t="s">
        <v>5860</v>
      </c>
      <c r="E178" s="134" t="s">
        <v>5861</v>
      </c>
      <c r="F178" s="134" t="s">
        <v>40</v>
      </c>
      <c r="G178" s="156" t="s">
        <v>5862</v>
      </c>
      <c r="H178" s="156" t="s">
        <v>5863</v>
      </c>
      <c r="I178" s="166" t="s">
        <v>4943</v>
      </c>
      <c r="J178" s="160" t="s">
        <v>94</v>
      </c>
      <c r="K178" s="160"/>
      <c r="L178" s="161"/>
    </row>
    <row r="179" spans="1:12">
      <c r="A179" s="132" t="s">
        <v>95</v>
      </c>
      <c r="B179" s="167" t="s">
        <v>5864</v>
      </c>
      <c r="C179" s="132" t="s">
        <v>118</v>
      </c>
      <c r="D179" s="132" t="s">
        <v>5865</v>
      </c>
      <c r="E179" s="132" t="s">
        <v>5866</v>
      </c>
      <c r="F179" s="132" t="s">
        <v>40</v>
      </c>
      <c r="G179" s="156" t="s">
        <v>5867</v>
      </c>
      <c r="H179" s="156" t="s">
        <v>5868</v>
      </c>
      <c r="I179" s="168" t="s">
        <v>2951</v>
      </c>
      <c r="J179" s="169" t="s">
        <v>94</v>
      </c>
      <c r="L179" s="170"/>
    </row>
    <row r="180" spans="1:12">
      <c r="A180" s="132" t="s">
        <v>20</v>
      </c>
      <c r="B180" s="167" t="s">
        <v>5869</v>
      </c>
      <c r="C180" s="132" t="s">
        <v>21</v>
      </c>
      <c r="D180" s="132" t="s">
        <v>5870</v>
      </c>
      <c r="E180" s="132" t="s">
        <v>5871</v>
      </c>
      <c r="F180" s="132" t="s">
        <v>40</v>
      </c>
      <c r="G180" s="156" t="s">
        <v>5872</v>
      </c>
      <c r="H180" s="156" t="s">
        <v>5873</v>
      </c>
      <c r="I180" s="168" t="s">
        <v>5749</v>
      </c>
      <c r="J180" s="169" t="s">
        <v>94</v>
      </c>
    </row>
    <row r="181" spans="1:12">
      <c r="A181" s="132" t="s">
        <v>106</v>
      </c>
      <c r="B181" s="167" t="s">
        <v>5874</v>
      </c>
      <c r="C181" s="132" t="s">
        <v>108</v>
      </c>
      <c r="D181" s="132" t="s">
        <v>5875</v>
      </c>
      <c r="E181" s="132" t="s">
        <v>5876</v>
      </c>
      <c r="F181" s="132" t="s">
        <v>40</v>
      </c>
      <c r="G181" s="156" t="s">
        <v>5877</v>
      </c>
      <c r="H181" s="156" t="s">
        <v>5878</v>
      </c>
      <c r="I181" s="168" t="s">
        <v>5879</v>
      </c>
      <c r="J181" s="169" t="s">
        <v>88</v>
      </c>
      <c r="K181" s="169" t="s">
        <v>94</v>
      </c>
    </row>
    <row r="182" spans="1:12">
      <c r="A182" s="132" t="s">
        <v>95</v>
      </c>
      <c r="B182" s="167" t="s">
        <v>5880</v>
      </c>
      <c r="C182" s="132" t="s">
        <v>118</v>
      </c>
      <c r="D182" s="132" t="s">
        <v>5881</v>
      </c>
      <c r="E182" s="132" t="s">
        <v>5882</v>
      </c>
      <c r="F182" s="132" t="s">
        <v>40</v>
      </c>
      <c r="G182" s="156" t="s">
        <v>5883</v>
      </c>
      <c r="H182" s="156" t="s">
        <v>5884</v>
      </c>
      <c r="I182" s="168" t="s">
        <v>4943</v>
      </c>
      <c r="J182" s="169" t="s">
        <v>94</v>
      </c>
    </row>
    <row r="183" spans="1:12">
      <c r="A183" s="132" t="s">
        <v>20</v>
      </c>
      <c r="B183" s="167" t="s">
        <v>5885</v>
      </c>
      <c r="C183" s="132" t="s">
        <v>21</v>
      </c>
      <c r="D183" s="132" t="s">
        <v>5886</v>
      </c>
      <c r="E183" s="132" t="s">
        <v>5887</v>
      </c>
      <c r="F183" s="132" t="s">
        <v>40</v>
      </c>
      <c r="G183" s="156" t="s">
        <v>5888</v>
      </c>
      <c r="H183" s="156" t="s">
        <v>5889</v>
      </c>
      <c r="I183" s="168" t="s">
        <v>5749</v>
      </c>
      <c r="J183" s="169" t="s">
        <v>94</v>
      </c>
    </row>
    <row r="184" spans="1:12">
      <c r="A184" s="154" t="s">
        <v>20</v>
      </c>
      <c r="B184" s="155" t="s">
        <v>5890</v>
      </c>
      <c r="C184" s="133" t="s">
        <v>21</v>
      </c>
      <c r="D184" s="133" t="s">
        <v>5891</v>
      </c>
      <c r="E184" s="134" t="s">
        <v>5892</v>
      </c>
      <c r="F184" s="133" t="s">
        <v>40</v>
      </c>
      <c r="G184" s="156" t="s">
        <v>5893</v>
      </c>
      <c r="H184" s="156" t="s">
        <v>5894</v>
      </c>
      <c r="I184" s="165" t="s">
        <v>5749</v>
      </c>
      <c r="J184" s="157" t="s">
        <v>94</v>
      </c>
      <c r="K184" s="157"/>
      <c r="L184" s="133"/>
    </row>
    <row r="185" spans="1:12" hidden="1">
      <c r="A185" s="154" t="s">
        <v>106</v>
      </c>
      <c r="B185" s="155" t="s">
        <v>5895</v>
      </c>
      <c r="C185" s="133" t="s">
        <v>108</v>
      </c>
      <c r="D185" s="133" t="s">
        <v>5896</v>
      </c>
      <c r="E185" s="134"/>
      <c r="F185" s="133" t="s">
        <v>214</v>
      </c>
      <c r="G185" s="156" t="s">
        <v>5897</v>
      </c>
      <c r="I185" s="165" t="s">
        <v>111</v>
      </c>
      <c r="J185" s="157" t="s">
        <v>88</v>
      </c>
      <c r="K185" s="157"/>
      <c r="L185" s="158"/>
    </row>
    <row r="186" spans="1:12" hidden="1">
      <c r="A186" s="154" t="s">
        <v>20</v>
      </c>
      <c r="B186" s="155" t="s">
        <v>5898</v>
      </c>
      <c r="C186" s="133" t="s">
        <v>13</v>
      </c>
      <c r="D186" s="133" t="s">
        <v>5899</v>
      </c>
      <c r="E186" s="134"/>
      <c r="F186" s="133" t="s">
        <v>214</v>
      </c>
      <c r="G186" s="156" t="s">
        <v>5900</v>
      </c>
      <c r="I186" s="165" t="s">
        <v>5901</v>
      </c>
      <c r="J186" s="157" t="s">
        <v>88</v>
      </c>
      <c r="K186" s="157"/>
      <c r="L186" s="158"/>
    </row>
    <row r="187" spans="1:12">
      <c r="A187" s="154" t="s">
        <v>106</v>
      </c>
      <c r="B187" s="155" t="s">
        <v>5902</v>
      </c>
      <c r="C187" s="133" t="s">
        <v>108</v>
      </c>
      <c r="D187" s="133" t="s">
        <v>5903</v>
      </c>
      <c r="E187" s="134" t="s">
        <v>5904</v>
      </c>
      <c r="F187" s="133" t="s">
        <v>40</v>
      </c>
      <c r="G187" s="156" t="s">
        <v>5905</v>
      </c>
      <c r="H187" s="156" t="s">
        <v>5906</v>
      </c>
      <c r="I187" s="165" t="s">
        <v>111</v>
      </c>
      <c r="J187" s="157" t="s">
        <v>94</v>
      </c>
      <c r="K187" s="157"/>
      <c r="L187" s="158"/>
    </row>
    <row r="188" spans="1:12">
      <c r="A188" s="154" t="s">
        <v>20</v>
      </c>
      <c r="B188" s="155" t="s">
        <v>5907</v>
      </c>
      <c r="C188" s="133" t="s">
        <v>21</v>
      </c>
      <c r="D188" s="133" t="s">
        <v>5908</v>
      </c>
      <c r="E188" s="134" t="s">
        <v>5909</v>
      </c>
      <c r="F188" s="133" t="s">
        <v>40</v>
      </c>
      <c r="G188" s="156" t="s">
        <v>5910</v>
      </c>
      <c r="H188" s="156" t="s">
        <v>5911</v>
      </c>
      <c r="I188" s="165" t="s">
        <v>5749</v>
      </c>
      <c r="J188" s="157" t="s">
        <v>94</v>
      </c>
      <c r="K188" s="157"/>
      <c r="L188" s="158"/>
    </row>
    <row r="189" spans="1:12">
      <c r="A189" s="154" t="s">
        <v>106</v>
      </c>
      <c r="B189" s="155" t="s">
        <v>5912</v>
      </c>
      <c r="C189" s="133" t="s">
        <v>108</v>
      </c>
      <c r="D189" s="133" t="s">
        <v>5913</v>
      </c>
      <c r="E189" s="134" t="s">
        <v>5914</v>
      </c>
      <c r="F189" s="133" t="s">
        <v>40</v>
      </c>
      <c r="G189" s="156" t="s">
        <v>5915</v>
      </c>
      <c r="H189" s="156" t="s">
        <v>5911</v>
      </c>
      <c r="I189" s="165" t="s">
        <v>1373</v>
      </c>
      <c r="J189" s="157" t="s">
        <v>94</v>
      </c>
      <c r="K189" s="157"/>
      <c r="L189" s="158"/>
    </row>
    <row r="190" spans="1:12">
      <c r="A190" s="154" t="s">
        <v>106</v>
      </c>
      <c r="B190" s="155" t="s">
        <v>5916</v>
      </c>
      <c r="C190" s="133" t="s">
        <v>333</v>
      </c>
      <c r="D190" s="133" t="s">
        <v>5917</v>
      </c>
      <c r="E190" s="134" t="s">
        <v>5918</v>
      </c>
      <c r="F190" s="133" t="s">
        <v>40</v>
      </c>
      <c r="G190" s="156" t="s">
        <v>5919</v>
      </c>
      <c r="H190" s="156" t="s">
        <v>5920</v>
      </c>
      <c r="I190" s="165" t="s">
        <v>346</v>
      </c>
      <c r="J190" s="157" t="s">
        <v>88</v>
      </c>
      <c r="K190" s="157"/>
      <c r="L190" s="158"/>
    </row>
    <row r="191" spans="1:12">
      <c r="A191" s="154" t="s">
        <v>106</v>
      </c>
      <c r="B191" s="155" t="s">
        <v>5921</v>
      </c>
      <c r="C191" s="133" t="s">
        <v>108</v>
      </c>
      <c r="D191" s="133" t="s">
        <v>5780</v>
      </c>
      <c r="E191" s="134" t="s">
        <v>5922</v>
      </c>
      <c r="F191" s="133" t="s">
        <v>40</v>
      </c>
      <c r="G191" s="156" t="s">
        <v>5923</v>
      </c>
      <c r="H191" s="156" t="s">
        <v>5924</v>
      </c>
      <c r="I191" s="165" t="s">
        <v>960</v>
      </c>
      <c r="J191" s="157" t="s">
        <v>88</v>
      </c>
      <c r="K191" s="157"/>
      <c r="L191" s="158"/>
    </row>
    <row r="192" spans="1:12">
      <c r="A192" s="154" t="s">
        <v>106</v>
      </c>
      <c r="B192" s="155" t="s">
        <v>5925</v>
      </c>
      <c r="C192" s="133" t="s">
        <v>108</v>
      </c>
      <c r="D192" s="133" t="s">
        <v>5926</v>
      </c>
      <c r="E192" s="134" t="s">
        <v>5927</v>
      </c>
      <c r="F192" s="133" t="s">
        <v>40</v>
      </c>
      <c r="G192" s="156" t="s">
        <v>5928</v>
      </c>
      <c r="H192" s="156" t="s">
        <v>5929</v>
      </c>
      <c r="I192" s="165" t="s">
        <v>960</v>
      </c>
      <c r="J192" s="157" t="s">
        <v>88</v>
      </c>
      <c r="K192" s="157"/>
      <c r="L192" s="158"/>
    </row>
    <row r="193" spans="1:12">
      <c r="A193" s="154" t="s">
        <v>106</v>
      </c>
      <c r="B193" s="155" t="s">
        <v>5930</v>
      </c>
      <c r="C193" s="133" t="s">
        <v>333</v>
      </c>
      <c r="D193" s="133" t="s">
        <v>5931</v>
      </c>
      <c r="E193" s="134" t="s">
        <v>5932</v>
      </c>
      <c r="F193" s="133" t="s">
        <v>40</v>
      </c>
      <c r="G193" s="156" t="s">
        <v>5933</v>
      </c>
      <c r="H193" s="156" t="s">
        <v>5934</v>
      </c>
      <c r="I193" s="165" t="s">
        <v>346</v>
      </c>
      <c r="J193" s="157" t="s">
        <v>88</v>
      </c>
      <c r="K193" s="157" t="s">
        <v>94</v>
      </c>
      <c r="L193" s="158"/>
    </row>
    <row r="194" spans="1:12">
      <c r="A194" s="154" t="s">
        <v>20</v>
      </c>
      <c r="B194" s="155" t="s">
        <v>5935</v>
      </c>
      <c r="C194" s="133" t="s">
        <v>21</v>
      </c>
      <c r="D194" s="133" t="s">
        <v>5936</v>
      </c>
      <c r="E194" s="134" t="s">
        <v>5937</v>
      </c>
      <c r="F194" s="133" t="s">
        <v>40</v>
      </c>
      <c r="G194" s="156" t="s">
        <v>5938</v>
      </c>
      <c r="H194" s="156" t="s">
        <v>5939</v>
      </c>
      <c r="I194" s="165" t="s">
        <v>5749</v>
      </c>
      <c r="J194" s="157" t="s">
        <v>94</v>
      </c>
      <c r="K194" s="157"/>
      <c r="L194" s="158"/>
    </row>
    <row r="195" spans="1:12">
      <c r="A195" s="154" t="s">
        <v>20</v>
      </c>
      <c r="B195" s="155" t="s">
        <v>5940</v>
      </c>
      <c r="C195" s="133" t="s">
        <v>13</v>
      </c>
      <c r="D195" s="133" t="s">
        <v>5941</v>
      </c>
      <c r="E195" s="134" t="s">
        <v>5942</v>
      </c>
      <c r="F195" s="133" t="s">
        <v>40</v>
      </c>
      <c r="G195" s="156" t="s">
        <v>5943</v>
      </c>
      <c r="H195" s="156" t="s">
        <v>5944</v>
      </c>
      <c r="I195" s="165" t="s">
        <v>5020</v>
      </c>
      <c r="J195" s="157" t="s">
        <v>94</v>
      </c>
      <c r="K195" s="157"/>
      <c r="L195" s="158"/>
    </row>
    <row r="196" spans="1:12">
      <c r="A196" s="154" t="s">
        <v>20</v>
      </c>
      <c r="B196" s="155" t="s">
        <v>5945</v>
      </c>
      <c r="C196" s="133" t="s">
        <v>21</v>
      </c>
      <c r="D196" s="133" t="s">
        <v>5886</v>
      </c>
      <c r="E196" s="134" t="s">
        <v>5946</v>
      </c>
      <c r="F196" s="133" t="s">
        <v>40</v>
      </c>
      <c r="G196" s="156" t="s">
        <v>5947</v>
      </c>
      <c r="H196" s="156" t="s">
        <v>5948</v>
      </c>
      <c r="I196" s="165" t="s">
        <v>5749</v>
      </c>
      <c r="J196" s="157" t="s">
        <v>94</v>
      </c>
      <c r="K196" s="157"/>
      <c r="L196" s="158"/>
    </row>
    <row r="197" spans="1:12">
      <c r="A197" s="154" t="s">
        <v>106</v>
      </c>
      <c r="B197" s="155" t="s">
        <v>5949</v>
      </c>
      <c r="C197" s="133" t="s">
        <v>108</v>
      </c>
      <c r="D197" s="133" t="s">
        <v>5950</v>
      </c>
      <c r="E197" s="134" t="s">
        <v>276</v>
      </c>
      <c r="F197" s="133" t="s">
        <v>40</v>
      </c>
      <c r="G197" s="156" t="s">
        <v>5951</v>
      </c>
      <c r="H197" s="156" t="s">
        <v>5952</v>
      </c>
      <c r="I197" s="165" t="s">
        <v>111</v>
      </c>
      <c r="J197" s="157" t="s">
        <v>72</v>
      </c>
      <c r="K197" s="157"/>
      <c r="L197" s="158"/>
    </row>
    <row r="198" spans="1:12">
      <c r="A198" s="154" t="s">
        <v>95</v>
      </c>
      <c r="B198" s="155" t="s">
        <v>5953</v>
      </c>
      <c r="C198" s="133" t="s">
        <v>113</v>
      </c>
      <c r="D198" s="133" t="s">
        <v>5954</v>
      </c>
      <c r="E198" s="134" t="s">
        <v>5955</v>
      </c>
      <c r="F198" s="133" t="s">
        <v>40</v>
      </c>
      <c r="G198" s="156" t="s">
        <v>5956</v>
      </c>
      <c r="H198" s="156" t="s">
        <v>5957</v>
      </c>
      <c r="I198" s="165" t="s">
        <v>155</v>
      </c>
      <c r="J198" s="157" t="s">
        <v>72</v>
      </c>
      <c r="K198" s="157"/>
      <c r="L198" s="158"/>
    </row>
    <row r="199" spans="1:12">
      <c r="A199" s="154" t="s">
        <v>20</v>
      </c>
      <c r="B199" s="155" t="s">
        <v>5958</v>
      </c>
      <c r="C199" s="133" t="s">
        <v>21</v>
      </c>
      <c r="D199" s="133" t="s">
        <v>5959</v>
      </c>
      <c r="E199" s="134" t="s">
        <v>5960</v>
      </c>
      <c r="F199" s="133" t="s">
        <v>40</v>
      </c>
      <c r="G199" s="156" t="s">
        <v>5961</v>
      </c>
      <c r="H199" s="156" t="s">
        <v>5962</v>
      </c>
      <c r="I199" s="165" t="s">
        <v>5963</v>
      </c>
      <c r="J199" s="157" t="s">
        <v>72</v>
      </c>
      <c r="K199" s="157"/>
      <c r="L199" s="158"/>
    </row>
    <row r="200" spans="1:12">
      <c r="A200" s="154" t="s">
        <v>20</v>
      </c>
      <c r="B200" s="155" t="s">
        <v>5964</v>
      </c>
      <c r="C200" s="133" t="s">
        <v>13</v>
      </c>
      <c r="D200" s="133" t="s">
        <v>5965</v>
      </c>
      <c r="E200" s="134"/>
      <c r="F200" s="133" t="s">
        <v>40</v>
      </c>
      <c r="G200" s="156" t="s">
        <v>5966</v>
      </c>
      <c r="H200" s="156" t="s">
        <v>5967</v>
      </c>
      <c r="I200" s="165" t="s">
        <v>17</v>
      </c>
      <c r="J200" s="157" t="s">
        <v>72</v>
      </c>
      <c r="K200" s="157" t="s">
        <v>41</v>
      </c>
      <c r="L200" s="158">
        <v>45316</v>
      </c>
    </row>
    <row r="201" spans="1:12">
      <c r="A201" s="154" t="s">
        <v>20</v>
      </c>
      <c r="B201" s="155" t="s">
        <v>5968</v>
      </c>
      <c r="C201" s="133" t="s">
        <v>21</v>
      </c>
      <c r="D201" s="133" t="s">
        <v>5969</v>
      </c>
      <c r="E201" s="134" t="s">
        <v>5970</v>
      </c>
      <c r="F201" s="133" t="s">
        <v>40</v>
      </c>
      <c r="G201" s="156" t="s">
        <v>5971</v>
      </c>
      <c r="H201" s="156" t="s">
        <v>5972</v>
      </c>
      <c r="I201" s="165" t="s">
        <v>5963</v>
      </c>
      <c r="J201" s="157" t="s">
        <v>72</v>
      </c>
      <c r="K201" s="157"/>
      <c r="L201" s="158"/>
    </row>
    <row r="202" spans="1:12">
      <c r="A202" s="154" t="s">
        <v>95</v>
      </c>
      <c r="B202" s="159" t="s">
        <v>5973</v>
      </c>
      <c r="C202" s="134" t="s">
        <v>118</v>
      </c>
      <c r="D202" s="134" t="s">
        <v>5974</v>
      </c>
      <c r="E202" s="134" t="s">
        <v>5975</v>
      </c>
      <c r="F202" s="133" t="s">
        <v>40</v>
      </c>
      <c r="G202" s="156" t="s">
        <v>5976</v>
      </c>
      <c r="H202" s="156" t="s">
        <v>5977</v>
      </c>
      <c r="I202" s="166" t="s">
        <v>502</v>
      </c>
      <c r="J202" s="157" t="s">
        <v>72</v>
      </c>
      <c r="K202" s="160"/>
      <c r="L202" s="161"/>
    </row>
    <row r="203" spans="1:12">
      <c r="A203" s="154" t="s">
        <v>95</v>
      </c>
      <c r="B203" s="155" t="s">
        <v>5978</v>
      </c>
      <c r="C203" s="133" t="s">
        <v>118</v>
      </c>
      <c r="D203" s="133" t="s">
        <v>5979</v>
      </c>
      <c r="E203" s="134" t="s">
        <v>5980</v>
      </c>
      <c r="F203" s="133" t="s">
        <v>40</v>
      </c>
      <c r="G203" s="156" t="s">
        <v>5981</v>
      </c>
      <c r="H203" s="156" t="s">
        <v>5982</v>
      </c>
      <c r="I203" s="166" t="s">
        <v>502</v>
      </c>
      <c r="J203" s="157" t="s">
        <v>72</v>
      </c>
      <c r="K203" s="157"/>
      <c r="L203" s="158"/>
    </row>
    <row r="204" spans="1:12" hidden="1">
      <c r="A204" s="154" t="s">
        <v>95</v>
      </c>
      <c r="B204" s="155" t="s">
        <v>5983</v>
      </c>
      <c r="C204" s="133" t="s">
        <v>97</v>
      </c>
      <c r="D204" s="133" t="s">
        <v>5984</v>
      </c>
      <c r="E204" s="134" t="s">
        <v>5985</v>
      </c>
      <c r="F204" s="133"/>
      <c r="I204" s="165"/>
      <c r="J204" s="157"/>
      <c r="K204" s="157"/>
      <c r="L204" s="158"/>
    </row>
    <row r="205" spans="1:12" hidden="1">
      <c r="A205" s="154" t="s">
        <v>20</v>
      </c>
      <c r="B205" s="155" t="s">
        <v>5986</v>
      </c>
      <c r="C205" s="133" t="s">
        <v>49</v>
      </c>
      <c r="D205" s="133" t="s">
        <v>5987</v>
      </c>
      <c r="E205" s="134" t="s">
        <v>5988</v>
      </c>
      <c r="F205" s="133"/>
      <c r="I205" s="165"/>
      <c r="J205" s="157"/>
      <c r="K205" s="157"/>
      <c r="L205" s="158"/>
    </row>
    <row r="206" spans="1:12">
      <c r="A206" s="154" t="s">
        <v>95</v>
      </c>
      <c r="B206" s="155" t="s">
        <v>5989</v>
      </c>
      <c r="C206" s="133" t="s">
        <v>118</v>
      </c>
      <c r="D206" s="133" t="s">
        <v>5990</v>
      </c>
      <c r="E206" s="132" t="s">
        <v>5991</v>
      </c>
      <c r="F206" s="133" t="s">
        <v>40</v>
      </c>
      <c r="G206" s="156" t="s">
        <v>5992</v>
      </c>
      <c r="H206" s="156" t="s">
        <v>5993</v>
      </c>
      <c r="I206" s="165" t="s">
        <v>1999</v>
      </c>
      <c r="J206" s="157" t="s">
        <v>72</v>
      </c>
      <c r="K206" s="157"/>
      <c r="L206" s="158"/>
    </row>
    <row r="207" spans="1:12">
      <c r="A207" s="154" t="s">
        <v>95</v>
      </c>
      <c r="B207" s="155" t="s">
        <v>5994</v>
      </c>
      <c r="C207" s="133" t="s">
        <v>118</v>
      </c>
      <c r="D207" s="132" t="s">
        <v>5995</v>
      </c>
      <c r="E207" s="132" t="s">
        <v>5996</v>
      </c>
      <c r="F207" s="133" t="s">
        <v>40</v>
      </c>
      <c r="I207" s="165"/>
      <c r="J207" s="157"/>
      <c r="K207" s="157"/>
      <c r="L207" s="158"/>
    </row>
    <row r="208" spans="1:12">
      <c r="A208" s="154" t="s">
        <v>20</v>
      </c>
      <c r="B208" s="155" t="s">
        <v>5997</v>
      </c>
      <c r="C208" s="133" t="s">
        <v>13</v>
      </c>
      <c r="D208" s="133" t="s">
        <v>5998</v>
      </c>
      <c r="E208" s="134" t="s">
        <v>5999</v>
      </c>
      <c r="F208" s="133" t="s">
        <v>40</v>
      </c>
      <c r="G208" s="156">
        <v>45318.348611111112</v>
      </c>
      <c r="H208" s="156">
        <v>45318.504166666666</v>
      </c>
      <c r="I208" s="165" t="s">
        <v>17</v>
      </c>
      <c r="J208" s="157" t="s">
        <v>41</v>
      </c>
      <c r="K208" s="157"/>
      <c r="L208" s="158"/>
    </row>
    <row r="209" spans="1:12">
      <c r="A209" s="154" t="s">
        <v>95</v>
      </c>
      <c r="B209" s="155" t="s">
        <v>6000</v>
      </c>
      <c r="C209" s="133" t="s">
        <v>97</v>
      </c>
      <c r="D209" s="133" t="s">
        <v>5984</v>
      </c>
      <c r="E209" s="134" t="s">
        <v>6001</v>
      </c>
      <c r="F209" s="133" t="s">
        <v>40</v>
      </c>
      <c r="G209" s="156">
        <v>45318.443055555559</v>
      </c>
      <c r="H209" s="156">
        <v>45318.443749999999</v>
      </c>
      <c r="I209" s="165" t="s">
        <v>378</v>
      </c>
      <c r="J209" s="157" t="s">
        <v>41</v>
      </c>
      <c r="K209" s="157"/>
      <c r="L209" s="158"/>
    </row>
    <row r="210" spans="1:12">
      <c r="A210" s="154" t="s">
        <v>95</v>
      </c>
      <c r="B210" s="155" t="s">
        <v>6002</v>
      </c>
      <c r="C210" s="133" t="s">
        <v>97</v>
      </c>
      <c r="D210" s="133" t="s">
        <v>5984</v>
      </c>
      <c r="E210" s="134" t="s">
        <v>6001</v>
      </c>
      <c r="F210" s="133" t="s">
        <v>40</v>
      </c>
      <c r="G210" s="156">
        <v>45318.592361111114</v>
      </c>
      <c r="H210" s="156">
        <v>45318.602777777778</v>
      </c>
      <c r="I210" s="165" t="s">
        <v>378</v>
      </c>
      <c r="J210" s="157" t="s">
        <v>41</v>
      </c>
      <c r="K210" s="157"/>
      <c r="L210" s="158"/>
    </row>
    <row r="211" spans="1:12">
      <c r="A211" s="154" t="s">
        <v>106</v>
      </c>
      <c r="B211" s="155" t="s">
        <v>6003</v>
      </c>
      <c r="C211" s="133" t="s">
        <v>108</v>
      </c>
      <c r="D211" s="133" t="s">
        <v>6004</v>
      </c>
      <c r="E211" s="134" t="s">
        <v>6005</v>
      </c>
      <c r="F211" s="133" t="s">
        <v>40</v>
      </c>
      <c r="G211" s="156">
        <v>45318.706944444442</v>
      </c>
      <c r="H211" s="156">
        <v>45318.711111111108</v>
      </c>
      <c r="I211" s="165" t="s">
        <v>6006</v>
      </c>
      <c r="J211" s="157" t="s">
        <v>41</v>
      </c>
      <c r="K211" s="157"/>
      <c r="L211" s="158"/>
    </row>
    <row r="212" spans="1:12">
      <c r="A212" s="154" t="s">
        <v>106</v>
      </c>
      <c r="B212" s="155" t="s">
        <v>6007</v>
      </c>
      <c r="C212" s="133" t="s">
        <v>78</v>
      </c>
      <c r="D212" s="133" t="s">
        <v>6008</v>
      </c>
      <c r="E212" s="134" t="s">
        <v>6009</v>
      </c>
      <c r="F212" s="133" t="s">
        <v>40</v>
      </c>
      <c r="G212" s="156">
        <v>45318.754861111112</v>
      </c>
      <c r="H212" s="156">
        <v>45318.76458333333</v>
      </c>
      <c r="I212" s="165" t="s">
        <v>258</v>
      </c>
      <c r="J212" s="157" t="s">
        <v>41</v>
      </c>
      <c r="K212" s="157"/>
      <c r="L212" s="158"/>
    </row>
    <row r="213" spans="1:12">
      <c r="A213" s="154" t="s">
        <v>95</v>
      </c>
      <c r="B213" s="155" t="s">
        <v>6010</v>
      </c>
      <c r="C213" s="133" t="s">
        <v>97</v>
      </c>
      <c r="D213" s="133" t="s">
        <v>6011</v>
      </c>
      <c r="E213" s="134" t="s">
        <v>6012</v>
      </c>
      <c r="F213" s="133" t="s">
        <v>40</v>
      </c>
      <c r="G213" s="156">
        <v>45318.302777777775</v>
      </c>
      <c r="H213" s="156">
        <v>45318.350694444445</v>
      </c>
      <c r="I213" s="165" t="s">
        <v>325</v>
      </c>
      <c r="J213" s="157" t="s">
        <v>72</v>
      </c>
      <c r="K213" s="157" t="s">
        <v>41</v>
      </c>
      <c r="L213" s="158">
        <v>45319</v>
      </c>
    </row>
    <row r="214" spans="1:12">
      <c r="A214" s="154" t="s">
        <v>95</v>
      </c>
      <c r="B214" s="155" t="s">
        <v>6013</v>
      </c>
      <c r="C214" s="133" t="s">
        <v>97</v>
      </c>
      <c r="D214" s="133" t="s">
        <v>6014</v>
      </c>
      <c r="E214" s="134" t="s">
        <v>6015</v>
      </c>
      <c r="F214" s="133" t="s">
        <v>40</v>
      </c>
      <c r="G214" s="156">
        <v>45319.873611111114</v>
      </c>
      <c r="H214" s="156">
        <v>45319.9</v>
      </c>
      <c r="I214" s="165" t="s">
        <v>6016</v>
      </c>
      <c r="J214" s="157" t="s">
        <v>72</v>
      </c>
      <c r="K214" s="157"/>
      <c r="L214" s="158"/>
    </row>
    <row r="215" spans="1:12">
      <c r="A215" s="154" t="s">
        <v>20</v>
      </c>
      <c r="B215" s="155" t="s">
        <v>6017</v>
      </c>
      <c r="C215" s="133" t="s">
        <v>21</v>
      </c>
      <c r="D215" s="133" t="s">
        <v>6018</v>
      </c>
      <c r="E215" s="134" t="s">
        <v>6019</v>
      </c>
      <c r="F215" s="133" t="s">
        <v>40</v>
      </c>
      <c r="G215" s="156">
        <v>45319.90347222222</v>
      </c>
      <c r="H215" s="156">
        <v>45320.027777777781</v>
      </c>
      <c r="I215" s="165" t="s">
        <v>6020</v>
      </c>
      <c r="J215" s="157" t="s">
        <v>72</v>
      </c>
      <c r="K215" s="157"/>
      <c r="L215" s="158"/>
    </row>
    <row r="216" spans="1:12">
      <c r="A216" s="154" t="s">
        <v>106</v>
      </c>
      <c r="B216" s="155" t="s">
        <v>6021</v>
      </c>
      <c r="C216" s="133" t="s">
        <v>333</v>
      </c>
      <c r="D216" s="133" t="s">
        <v>6022</v>
      </c>
      <c r="E216" s="134" t="s">
        <v>6023</v>
      </c>
      <c r="F216" s="133" t="s">
        <v>40</v>
      </c>
      <c r="G216" s="156">
        <v>45319.910416666666</v>
      </c>
      <c r="H216" s="156">
        <v>45319.950694444444</v>
      </c>
      <c r="I216" s="165" t="s">
        <v>6024</v>
      </c>
      <c r="J216" s="157" t="s">
        <v>72</v>
      </c>
      <c r="K216" s="157"/>
      <c r="L216" s="158"/>
    </row>
    <row r="217" spans="1:12">
      <c r="A217" s="154" t="s">
        <v>20</v>
      </c>
      <c r="B217" s="155" t="s">
        <v>6025</v>
      </c>
      <c r="C217" s="133" t="s">
        <v>21</v>
      </c>
      <c r="D217" s="133" t="s">
        <v>6026</v>
      </c>
      <c r="E217" s="134" t="s">
        <v>5162</v>
      </c>
      <c r="F217" s="133" t="s">
        <v>40</v>
      </c>
      <c r="G217" s="156">
        <v>45320.009722222225</v>
      </c>
      <c r="H217" s="156">
        <v>45320.040277777778</v>
      </c>
      <c r="I217" s="165" t="s">
        <v>52</v>
      </c>
      <c r="J217" s="157" t="s">
        <v>72</v>
      </c>
      <c r="K217" s="157"/>
      <c r="L217" s="158"/>
    </row>
    <row r="218" spans="1:12">
      <c r="A218" s="154" t="s">
        <v>20</v>
      </c>
      <c r="B218" s="155" t="s">
        <v>6027</v>
      </c>
      <c r="C218" s="133" t="s">
        <v>21</v>
      </c>
      <c r="D218" s="133" t="s">
        <v>6028</v>
      </c>
      <c r="E218" s="134" t="s">
        <v>6029</v>
      </c>
      <c r="F218" s="133" t="s">
        <v>40</v>
      </c>
      <c r="G218" s="156">
        <v>45320.186805555553</v>
      </c>
      <c r="H218" s="156">
        <v>45320.219444444447</v>
      </c>
      <c r="I218" s="165" t="s">
        <v>52</v>
      </c>
      <c r="J218" s="157" t="s">
        <v>72</v>
      </c>
      <c r="K218" s="157"/>
      <c r="L218" s="158"/>
    </row>
    <row r="219" spans="1:12">
      <c r="A219" s="154" t="s">
        <v>106</v>
      </c>
      <c r="B219" s="155" t="s">
        <v>6030</v>
      </c>
      <c r="C219" s="133" t="s">
        <v>108</v>
      </c>
      <c r="D219" s="133" t="s">
        <v>6031</v>
      </c>
      <c r="E219" s="134" t="s">
        <v>6032</v>
      </c>
      <c r="F219" s="133" t="s">
        <v>40</v>
      </c>
      <c r="G219" s="156">
        <v>45320.923611111109</v>
      </c>
      <c r="H219" s="156">
        <v>45320.941666666666</v>
      </c>
      <c r="I219" s="165" t="s">
        <v>946</v>
      </c>
      <c r="J219" s="157" t="s">
        <v>72</v>
      </c>
      <c r="K219" s="157"/>
      <c r="L219" s="158"/>
    </row>
    <row r="220" spans="1:12">
      <c r="A220" s="154" t="s">
        <v>20</v>
      </c>
      <c r="B220" s="155" t="s">
        <v>6033</v>
      </c>
      <c r="C220" s="133" t="s">
        <v>13</v>
      </c>
      <c r="D220" s="133" t="s">
        <v>6034</v>
      </c>
      <c r="E220" s="134" t="s">
        <v>6035</v>
      </c>
      <c r="F220" s="133" t="s">
        <v>40</v>
      </c>
      <c r="G220" s="156">
        <v>45321.086805555555</v>
      </c>
      <c r="H220" s="156">
        <v>45321.120833333334</v>
      </c>
      <c r="I220" s="165" t="s">
        <v>74</v>
      </c>
      <c r="J220" s="157" t="s">
        <v>72</v>
      </c>
      <c r="K220" s="157" t="s">
        <v>41</v>
      </c>
      <c r="L220" s="158">
        <v>45321</v>
      </c>
    </row>
    <row r="221" spans="1:12">
      <c r="A221" s="154" t="s">
        <v>106</v>
      </c>
      <c r="B221" s="155" t="s">
        <v>6036</v>
      </c>
      <c r="C221" s="133" t="s">
        <v>108</v>
      </c>
      <c r="D221" s="133" t="s">
        <v>2838</v>
      </c>
      <c r="E221" s="133" t="s">
        <v>5502</v>
      </c>
      <c r="F221" s="133" t="s">
        <v>40</v>
      </c>
      <c r="G221" s="156">
        <v>45321.133333333331</v>
      </c>
      <c r="H221" s="156">
        <v>45321.326388888891</v>
      </c>
      <c r="I221" s="165" t="s">
        <v>32</v>
      </c>
      <c r="J221" s="157" t="s">
        <v>72</v>
      </c>
      <c r="K221" s="157"/>
      <c r="L221" s="158"/>
    </row>
    <row r="222" spans="1:12">
      <c r="A222" s="154" t="s">
        <v>20</v>
      </c>
      <c r="B222" s="155" t="s">
        <v>6037</v>
      </c>
      <c r="C222" s="133" t="s">
        <v>49</v>
      </c>
      <c r="D222" s="133" t="s">
        <v>6038</v>
      </c>
      <c r="E222" s="134" t="s">
        <v>6039</v>
      </c>
      <c r="F222" s="133" t="s">
        <v>40</v>
      </c>
      <c r="G222" s="156">
        <v>45321.833333333336</v>
      </c>
      <c r="H222" s="156">
        <v>45321.836805555555</v>
      </c>
      <c r="I222" s="165" t="s">
        <v>6040</v>
      </c>
      <c r="J222" s="157" t="s">
        <v>72</v>
      </c>
      <c r="K222" s="157"/>
      <c r="L222" s="158"/>
    </row>
    <row r="223" spans="1:12">
      <c r="A223" s="154" t="s">
        <v>20</v>
      </c>
      <c r="B223" s="155" t="s">
        <v>6041</v>
      </c>
      <c r="C223" s="133" t="s">
        <v>13</v>
      </c>
      <c r="D223" s="133" t="s">
        <v>6042</v>
      </c>
      <c r="E223" s="134" t="s">
        <v>276</v>
      </c>
      <c r="F223" s="133" t="s">
        <v>40</v>
      </c>
      <c r="G223" s="156">
        <v>45321.854166666664</v>
      </c>
      <c r="H223" s="156">
        <v>45322.13958333333</v>
      </c>
      <c r="I223" s="165" t="s">
        <v>17</v>
      </c>
      <c r="J223" s="157" t="s">
        <v>72</v>
      </c>
      <c r="K223" s="157"/>
      <c r="L223" s="158"/>
    </row>
    <row r="224" spans="1:12">
      <c r="A224" s="154" t="s">
        <v>20</v>
      </c>
      <c r="B224" s="155" t="s">
        <v>6043</v>
      </c>
      <c r="C224" s="134" t="s">
        <v>21</v>
      </c>
      <c r="D224" s="133" t="s">
        <v>6044</v>
      </c>
      <c r="E224" s="134" t="s">
        <v>6045</v>
      </c>
      <c r="F224" s="133" t="s">
        <v>40</v>
      </c>
      <c r="G224" s="156">
        <v>45321.900694444441</v>
      </c>
      <c r="H224" s="156">
        <v>45321.912499999999</v>
      </c>
      <c r="I224" s="165" t="s">
        <v>52</v>
      </c>
      <c r="J224" s="157" t="s">
        <v>72</v>
      </c>
      <c r="K224" s="157"/>
      <c r="L224" s="158"/>
    </row>
    <row r="225" spans="1:12">
      <c r="A225" s="154" t="s">
        <v>95</v>
      </c>
      <c r="B225" s="155" t="s">
        <v>6046</v>
      </c>
      <c r="C225" s="133" t="s">
        <v>6047</v>
      </c>
      <c r="D225" s="133" t="s">
        <v>6048</v>
      </c>
      <c r="E225" s="134" t="s">
        <v>6049</v>
      </c>
      <c r="F225" s="133" t="s">
        <v>40</v>
      </c>
      <c r="G225" s="156">
        <v>45321.924305555556</v>
      </c>
      <c r="H225" s="156">
        <v>45321.946527777778</v>
      </c>
      <c r="I225" s="165" t="s">
        <v>378</v>
      </c>
      <c r="J225" s="157" t="s">
        <v>72</v>
      </c>
      <c r="K225" s="157"/>
      <c r="L225" s="158"/>
    </row>
    <row r="226" spans="1:12">
      <c r="A226" s="154" t="s">
        <v>106</v>
      </c>
      <c r="B226" s="155" t="s">
        <v>6050</v>
      </c>
      <c r="C226" s="133" t="s">
        <v>108</v>
      </c>
      <c r="D226" s="133" t="s">
        <v>6051</v>
      </c>
      <c r="E226" s="134" t="s">
        <v>6032</v>
      </c>
      <c r="F226" s="133" t="s">
        <v>40</v>
      </c>
      <c r="G226" s="156">
        <v>45321.961111111108</v>
      </c>
      <c r="H226" s="156">
        <v>45321.967361111114</v>
      </c>
      <c r="I226" s="165" t="s">
        <v>6052</v>
      </c>
      <c r="J226" s="157" t="s">
        <v>72</v>
      </c>
      <c r="K226" s="157"/>
      <c r="L226" s="158"/>
    </row>
    <row r="227" spans="1:12">
      <c r="A227" s="154" t="s">
        <v>106</v>
      </c>
      <c r="B227" s="155" t="s">
        <v>6053</v>
      </c>
      <c r="C227" s="133" t="s">
        <v>108</v>
      </c>
      <c r="D227" s="133" t="s">
        <v>6054</v>
      </c>
      <c r="E227" s="134" t="s">
        <v>276</v>
      </c>
      <c r="F227" s="133" t="s">
        <v>40</v>
      </c>
      <c r="G227" s="156">
        <v>45322.009722222225</v>
      </c>
      <c r="H227" s="156">
        <v>45322.125</v>
      </c>
      <c r="I227" s="165" t="s">
        <v>616</v>
      </c>
      <c r="J227" s="157" t="s">
        <v>72</v>
      </c>
      <c r="K227" s="157"/>
      <c r="L227" s="158"/>
    </row>
    <row r="228" spans="1:12">
      <c r="A228" s="154" t="s">
        <v>106</v>
      </c>
      <c r="B228" s="155" t="s">
        <v>6055</v>
      </c>
      <c r="C228" s="133" t="s">
        <v>333</v>
      </c>
      <c r="D228" s="133" t="s">
        <v>6056</v>
      </c>
      <c r="E228" s="134" t="s">
        <v>6057</v>
      </c>
      <c r="F228" s="133" t="s">
        <v>40</v>
      </c>
      <c r="G228" s="156" t="s">
        <v>6058</v>
      </c>
      <c r="H228" s="156" t="s">
        <v>6059</v>
      </c>
      <c r="I228" s="165" t="s">
        <v>346</v>
      </c>
      <c r="J228" s="157" t="s">
        <v>94</v>
      </c>
      <c r="K228" s="157"/>
      <c r="L228" s="158"/>
    </row>
    <row r="229" spans="1:12">
      <c r="A229" s="154" t="s">
        <v>20</v>
      </c>
      <c r="B229" s="155" t="s">
        <v>6060</v>
      </c>
      <c r="C229" s="133" t="s">
        <v>13</v>
      </c>
      <c r="D229" s="133" t="s">
        <v>6061</v>
      </c>
      <c r="E229" s="134" t="s">
        <v>6062</v>
      </c>
      <c r="F229" s="133" t="s">
        <v>40</v>
      </c>
      <c r="G229" s="156" t="s">
        <v>6063</v>
      </c>
      <c r="H229" s="156" t="s">
        <v>6064</v>
      </c>
      <c r="I229" s="165" t="s">
        <v>17</v>
      </c>
      <c r="J229" s="157" t="s">
        <v>94</v>
      </c>
      <c r="K229" s="157"/>
      <c r="L229" s="158"/>
    </row>
    <row r="230" spans="1:12">
      <c r="A230" s="154" t="s">
        <v>106</v>
      </c>
      <c r="B230" s="155" t="s">
        <v>6065</v>
      </c>
      <c r="C230" s="133" t="s">
        <v>108</v>
      </c>
      <c r="D230" s="133" t="s">
        <v>6066</v>
      </c>
      <c r="E230" s="134" t="s">
        <v>6067</v>
      </c>
      <c r="F230" s="133" t="s">
        <v>40</v>
      </c>
      <c r="G230" s="156" t="s">
        <v>6068</v>
      </c>
      <c r="H230" s="156" t="s">
        <v>6069</v>
      </c>
      <c r="I230" s="165" t="s">
        <v>1373</v>
      </c>
      <c r="J230" s="157" t="s">
        <v>94</v>
      </c>
      <c r="K230" s="157"/>
      <c r="L230" s="158"/>
    </row>
    <row r="231" spans="1:12">
      <c r="A231" s="154" t="s">
        <v>106</v>
      </c>
      <c r="B231" s="155" t="s">
        <v>6070</v>
      </c>
      <c r="C231" s="133" t="s">
        <v>108</v>
      </c>
      <c r="D231" s="133" t="s">
        <v>6071</v>
      </c>
      <c r="E231" s="134" t="s">
        <v>6072</v>
      </c>
      <c r="F231" s="133" t="s">
        <v>40</v>
      </c>
      <c r="G231" s="156" t="s">
        <v>6073</v>
      </c>
      <c r="H231" s="156" t="s">
        <v>6074</v>
      </c>
      <c r="I231" s="165" t="s">
        <v>6075</v>
      </c>
      <c r="J231" s="157" t="s">
        <v>94</v>
      </c>
      <c r="K231" s="157"/>
      <c r="L231" s="158"/>
    </row>
    <row r="232" spans="1:12">
      <c r="A232" s="154" t="s">
        <v>20</v>
      </c>
      <c r="B232" s="155" t="s">
        <v>6076</v>
      </c>
      <c r="C232" s="133" t="s">
        <v>13</v>
      </c>
      <c r="D232" s="133" t="s">
        <v>6077</v>
      </c>
      <c r="E232" s="134" t="s">
        <v>6078</v>
      </c>
      <c r="F232" s="133" t="s">
        <v>40</v>
      </c>
      <c r="G232" s="156" t="s">
        <v>6079</v>
      </c>
      <c r="H232" s="156">
        <v>45293.179166666669</v>
      </c>
      <c r="I232" s="165" t="s">
        <v>6080</v>
      </c>
      <c r="J232" s="157" t="s">
        <v>94</v>
      </c>
      <c r="K232" s="157"/>
      <c r="L232" s="158"/>
    </row>
    <row r="233" spans="1:12">
      <c r="A233" s="154" t="s">
        <v>106</v>
      </c>
      <c r="B233" s="155" t="s">
        <v>6081</v>
      </c>
      <c r="C233" s="133" t="s">
        <v>108</v>
      </c>
      <c r="D233" s="132" t="s">
        <v>6082</v>
      </c>
      <c r="E233" s="134" t="s">
        <v>6083</v>
      </c>
      <c r="F233" s="133" t="s">
        <v>40</v>
      </c>
      <c r="G233" s="156" t="s">
        <v>6084</v>
      </c>
      <c r="H233" s="156" t="s">
        <v>6085</v>
      </c>
      <c r="I233" s="165" t="s">
        <v>4338</v>
      </c>
      <c r="J233" s="157" t="s">
        <v>94</v>
      </c>
      <c r="K233" s="157"/>
      <c r="L233" s="158"/>
    </row>
    <row r="234" spans="1:12">
      <c r="A234" s="154" t="s">
        <v>20</v>
      </c>
      <c r="B234" s="155" t="s">
        <v>6086</v>
      </c>
      <c r="C234" s="133" t="s">
        <v>13</v>
      </c>
      <c r="D234" s="133" t="s">
        <v>6087</v>
      </c>
      <c r="E234" s="134" t="s">
        <v>6088</v>
      </c>
      <c r="F234" s="133" t="s">
        <v>40</v>
      </c>
      <c r="G234" s="156" t="s">
        <v>6089</v>
      </c>
      <c r="H234" s="156" t="s">
        <v>6090</v>
      </c>
      <c r="I234" s="165" t="s">
        <v>6091</v>
      </c>
      <c r="J234" s="157" t="s">
        <v>88</v>
      </c>
      <c r="K234" s="157"/>
      <c r="L234" s="158"/>
    </row>
    <row r="235" spans="1:12">
      <c r="A235" s="154" t="s">
        <v>106</v>
      </c>
      <c r="B235" s="167" t="s">
        <v>6092</v>
      </c>
      <c r="C235" s="132" t="s">
        <v>108</v>
      </c>
      <c r="D235" s="132" t="s">
        <v>1767</v>
      </c>
      <c r="E235" s="132" t="s">
        <v>6093</v>
      </c>
      <c r="F235" s="133" t="s">
        <v>40</v>
      </c>
      <c r="G235" s="156" t="s">
        <v>6094</v>
      </c>
      <c r="H235" s="156" t="s">
        <v>6095</v>
      </c>
      <c r="I235" s="168" t="s">
        <v>111</v>
      </c>
      <c r="J235" s="157" t="s">
        <v>88</v>
      </c>
      <c r="K235" s="157"/>
    </row>
    <row r="236" spans="1:12">
      <c r="A236" s="154" t="s">
        <v>20</v>
      </c>
      <c r="B236" s="159" t="s">
        <v>6096</v>
      </c>
      <c r="C236" s="134" t="s">
        <v>21</v>
      </c>
      <c r="D236" s="134" t="s">
        <v>6097</v>
      </c>
      <c r="E236" s="134" t="s">
        <v>6098</v>
      </c>
      <c r="F236" s="133" t="s">
        <v>40</v>
      </c>
      <c r="G236" s="156" t="s">
        <v>6099</v>
      </c>
      <c r="H236" s="156" t="s">
        <v>6100</v>
      </c>
      <c r="I236" s="166" t="s">
        <v>6101</v>
      </c>
      <c r="J236" s="157" t="s">
        <v>88</v>
      </c>
      <c r="K236" s="157"/>
      <c r="L236" s="161"/>
    </row>
    <row r="237" spans="1:12">
      <c r="A237" s="154" t="s">
        <v>20</v>
      </c>
      <c r="B237" s="155" t="s">
        <v>6102</v>
      </c>
      <c r="C237" s="133" t="s">
        <v>21</v>
      </c>
      <c r="D237" s="133" t="s">
        <v>6103</v>
      </c>
      <c r="E237" s="133" t="s">
        <v>6104</v>
      </c>
      <c r="F237" s="133" t="s">
        <v>40</v>
      </c>
      <c r="G237" s="156" t="s">
        <v>6100</v>
      </c>
      <c r="H237" s="156" t="s">
        <v>6105</v>
      </c>
      <c r="I237" s="165" t="s">
        <v>1628</v>
      </c>
      <c r="J237" s="157" t="s">
        <v>88</v>
      </c>
      <c r="K237" s="157"/>
      <c r="L237" s="158"/>
    </row>
    <row r="238" spans="1:12">
      <c r="A238" s="154" t="s">
        <v>20</v>
      </c>
      <c r="B238" s="155" t="s">
        <v>6106</v>
      </c>
      <c r="C238" s="133" t="s">
        <v>13</v>
      </c>
      <c r="D238" s="133" t="s">
        <v>6107</v>
      </c>
      <c r="E238" s="133" t="s">
        <v>6108</v>
      </c>
      <c r="F238" s="133" t="s">
        <v>40</v>
      </c>
      <c r="G238" s="156" t="s">
        <v>6109</v>
      </c>
      <c r="H238" s="156" t="s">
        <v>6110</v>
      </c>
      <c r="I238" s="165" t="s">
        <v>3014</v>
      </c>
      <c r="J238" s="157" t="s">
        <v>88</v>
      </c>
      <c r="K238" s="157"/>
      <c r="L238" s="158"/>
    </row>
    <row r="239" spans="1:12">
      <c r="A239" s="154" t="s">
        <v>20</v>
      </c>
      <c r="B239" s="155" t="s">
        <v>6111</v>
      </c>
      <c r="C239" s="133" t="s">
        <v>21</v>
      </c>
      <c r="D239" s="133" t="s">
        <v>6112</v>
      </c>
      <c r="E239" s="133" t="s">
        <v>6113</v>
      </c>
      <c r="F239" s="133" t="s">
        <v>40</v>
      </c>
      <c r="G239" s="156" t="s">
        <v>6114</v>
      </c>
      <c r="H239" s="156" t="s">
        <v>6115</v>
      </c>
      <c r="I239" s="165" t="s">
        <v>6116</v>
      </c>
      <c r="J239" s="157" t="s">
        <v>88</v>
      </c>
      <c r="K239" s="157"/>
      <c r="L239" s="158"/>
    </row>
    <row r="240" spans="1:12">
      <c r="A240" s="154" t="s">
        <v>106</v>
      </c>
      <c r="B240" s="155" t="s">
        <v>6117</v>
      </c>
      <c r="C240" s="133" t="s">
        <v>333</v>
      </c>
      <c r="D240" s="133" t="s">
        <v>6118</v>
      </c>
      <c r="E240" s="133" t="s">
        <v>6119</v>
      </c>
      <c r="F240" s="133" t="s">
        <v>40</v>
      </c>
      <c r="G240" s="156" t="s">
        <v>6120</v>
      </c>
      <c r="H240" s="156">
        <v>45293</v>
      </c>
      <c r="I240" s="165" t="s">
        <v>346</v>
      </c>
      <c r="J240" s="157" t="s">
        <v>88</v>
      </c>
      <c r="K240" s="157"/>
      <c r="L240" s="158"/>
    </row>
    <row r="241" spans="1:12">
      <c r="A241" s="154" t="s">
        <v>20</v>
      </c>
      <c r="B241" s="155" t="s">
        <v>6121</v>
      </c>
      <c r="C241" s="133" t="s">
        <v>21</v>
      </c>
      <c r="D241" s="133" t="s">
        <v>6122</v>
      </c>
      <c r="E241" s="133" t="s">
        <v>6123</v>
      </c>
      <c r="F241" s="133" t="s">
        <v>40</v>
      </c>
      <c r="G241" s="156">
        <v>45293.03125</v>
      </c>
      <c r="H241" s="156">
        <v>45293.101388888892</v>
      </c>
      <c r="I241" s="165" t="s">
        <v>1628</v>
      </c>
      <c r="J241" s="157" t="s">
        <v>88</v>
      </c>
      <c r="K241" s="157"/>
      <c r="L241" s="158"/>
    </row>
    <row r="242" spans="1:12">
      <c r="A242" s="154" t="s">
        <v>20</v>
      </c>
      <c r="B242" s="155" t="s">
        <v>6124</v>
      </c>
      <c r="C242" s="133" t="s">
        <v>21</v>
      </c>
      <c r="D242" s="133" t="s">
        <v>6125</v>
      </c>
      <c r="E242" s="133" t="s">
        <v>6126</v>
      </c>
      <c r="F242" s="133" t="s">
        <v>40</v>
      </c>
      <c r="G242" s="156">
        <v>45293.032638888886</v>
      </c>
      <c r="H242" s="156">
        <v>45293.101388888892</v>
      </c>
      <c r="I242" s="165" t="s">
        <v>1628</v>
      </c>
      <c r="J242" s="157" t="s">
        <v>88</v>
      </c>
      <c r="K242" s="157"/>
      <c r="L242" s="158"/>
    </row>
    <row r="243" spans="1:12">
      <c r="A243" s="154" t="s">
        <v>20</v>
      </c>
      <c r="B243" s="155" t="s">
        <v>6127</v>
      </c>
      <c r="C243" s="133" t="s">
        <v>21</v>
      </c>
      <c r="D243" s="133" t="s">
        <v>6128</v>
      </c>
      <c r="E243" s="133" t="s">
        <v>6129</v>
      </c>
      <c r="F243" s="133" t="s">
        <v>40</v>
      </c>
      <c r="G243" s="156">
        <v>45293.03402777778</v>
      </c>
      <c r="H243" s="156">
        <v>45293.100694444445</v>
      </c>
      <c r="I243" s="165" t="s">
        <v>1628</v>
      </c>
      <c r="J243" s="157" t="s">
        <v>88</v>
      </c>
      <c r="K243" s="157"/>
      <c r="L243" s="158"/>
    </row>
    <row r="244" spans="1:12" hidden="1">
      <c r="A244" s="154" t="s">
        <v>20</v>
      </c>
      <c r="B244" s="155" t="s">
        <v>6130</v>
      </c>
      <c r="C244" s="133" t="s">
        <v>21</v>
      </c>
      <c r="D244" s="133" t="s">
        <v>6131</v>
      </c>
      <c r="E244" s="133"/>
      <c r="F244" s="133" t="s">
        <v>214</v>
      </c>
      <c r="G244" s="156">
        <v>45293.131249999999</v>
      </c>
      <c r="I244" s="165" t="s">
        <v>1628</v>
      </c>
      <c r="J244" s="157" t="s">
        <v>88</v>
      </c>
      <c r="K244" s="157"/>
      <c r="L244" s="158"/>
    </row>
    <row r="245" spans="1:12">
      <c r="A245" s="154" t="s">
        <v>20</v>
      </c>
      <c r="B245" s="155" t="s">
        <v>6132</v>
      </c>
      <c r="C245" s="133" t="s">
        <v>21</v>
      </c>
      <c r="D245" s="133" t="s">
        <v>6133</v>
      </c>
      <c r="E245" s="133" t="s">
        <v>6134</v>
      </c>
      <c r="F245" s="133" t="s">
        <v>40</v>
      </c>
      <c r="G245" s="156">
        <v>45293.135416666664</v>
      </c>
      <c r="H245" s="156">
        <v>45293.216666666667</v>
      </c>
      <c r="I245" s="165" t="s">
        <v>1628</v>
      </c>
      <c r="J245" s="157" t="s">
        <v>88</v>
      </c>
      <c r="K245" s="157" t="s">
        <v>94</v>
      </c>
      <c r="L245" s="158"/>
    </row>
    <row r="246" spans="1:12">
      <c r="A246" s="154" t="s">
        <v>106</v>
      </c>
      <c r="B246" s="155" t="s">
        <v>6135</v>
      </c>
      <c r="C246" s="133" t="s">
        <v>333</v>
      </c>
      <c r="D246" s="133" t="s">
        <v>5310</v>
      </c>
      <c r="E246" s="134" t="s">
        <v>6136</v>
      </c>
      <c r="F246" s="133" t="s">
        <v>40</v>
      </c>
      <c r="G246" s="156">
        <v>45293.175694444442</v>
      </c>
      <c r="H246" s="156">
        <v>45293.283333333333</v>
      </c>
      <c r="I246" s="165" t="s">
        <v>346</v>
      </c>
      <c r="J246" s="157" t="s">
        <v>94</v>
      </c>
      <c r="K246" s="157"/>
      <c r="L246" s="158"/>
    </row>
    <row r="247" spans="1:12">
      <c r="A247" s="154" t="s">
        <v>106</v>
      </c>
      <c r="B247" s="155" t="s">
        <v>6137</v>
      </c>
      <c r="C247" s="133" t="s">
        <v>108</v>
      </c>
      <c r="D247" s="133" t="s">
        <v>6138</v>
      </c>
      <c r="E247" s="133" t="s">
        <v>6139</v>
      </c>
      <c r="F247" s="133" t="s">
        <v>40</v>
      </c>
      <c r="G247" s="156">
        <v>45293.318749999999</v>
      </c>
      <c r="H247" s="156">
        <v>45293.404861111114</v>
      </c>
      <c r="I247" s="165" t="s">
        <v>111</v>
      </c>
      <c r="J247" s="157" t="s">
        <v>94</v>
      </c>
      <c r="K247" s="157"/>
      <c r="L247" s="158"/>
    </row>
    <row r="248" spans="1:12">
      <c r="A248" s="154" t="s">
        <v>20</v>
      </c>
      <c r="B248" s="155" t="s">
        <v>6140</v>
      </c>
      <c r="C248" s="133" t="s">
        <v>13</v>
      </c>
      <c r="D248" s="133" t="s">
        <v>6141</v>
      </c>
      <c r="E248" s="133" t="s">
        <v>6142</v>
      </c>
      <c r="F248" s="133" t="s">
        <v>40</v>
      </c>
      <c r="G248" s="156">
        <v>45293.409722222219</v>
      </c>
      <c r="H248" s="156">
        <v>45293.50277777778</v>
      </c>
      <c r="I248" s="165" t="s">
        <v>5020</v>
      </c>
      <c r="J248" s="157" t="s">
        <v>94</v>
      </c>
      <c r="K248" s="157"/>
      <c r="L248" s="158"/>
    </row>
    <row r="249" spans="1:12">
      <c r="A249" s="154" t="s">
        <v>106</v>
      </c>
      <c r="B249" s="155" t="s">
        <v>6143</v>
      </c>
      <c r="C249" s="133" t="s">
        <v>333</v>
      </c>
      <c r="D249" s="133" t="s">
        <v>5310</v>
      </c>
      <c r="E249" s="134" t="s">
        <v>6144</v>
      </c>
      <c r="F249" s="133" t="s">
        <v>40</v>
      </c>
      <c r="G249" s="156">
        <v>45293.410416666666</v>
      </c>
      <c r="H249" s="156">
        <v>45293.456250000003</v>
      </c>
      <c r="I249" s="165" t="s">
        <v>346</v>
      </c>
      <c r="J249" s="157" t="s">
        <v>94</v>
      </c>
      <c r="K249" s="157"/>
      <c r="L249" s="158"/>
    </row>
    <row r="250" spans="1:12">
      <c r="A250" s="154" t="s">
        <v>106</v>
      </c>
      <c r="B250" s="155" t="s">
        <v>6145</v>
      </c>
      <c r="C250" s="133" t="s">
        <v>78</v>
      </c>
      <c r="D250" s="133" t="s">
        <v>6146</v>
      </c>
      <c r="E250" s="133" t="s">
        <v>6147</v>
      </c>
      <c r="F250" s="133" t="s">
        <v>40</v>
      </c>
      <c r="G250" s="156">
        <v>45293.589583333334</v>
      </c>
      <c r="H250" s="156">
        <v>45293.647222222222</v>
      </c>
      <c r="I250" s="165" t="s">
        <v>258</v>
      </c>
      <c r="J250" s="157" t="s">
        <v>94</v>
      </c>
      <c r="K250" s="157"/>
      <c r="L250" s="158"/>
    </row>
    <row r="251" spans="1:12">
      <c r="A251" s="154" t="s">
        <v>20</v>
      </c>
      <c r="B251" s="155" t="s">
        <v>6148</v>
      </c>
      <c r="C251" s="133" t="s">
        <v>13</v>
      </c>
      <c r="D251" s="133" t="s">
        <v>6149</v>
      </c>
      <c r="E251" s="134" t="s">
        <v>6150</v>
      </c>
      <c r="F251" s="133" t="s">
        <v>40</v>
      </c>
      <c r="G251" s="156">
        <v>45293.646527777775</v>
      </c>
      <c r="H251" s="156">
        <v>45293.659722222219</v>
      </c>
      <c r="I251" s="165" t="s">
        <v>6151</v>
      </c>
      <c r="J251" s="157" t="s">
        <v>94</v>
      </c>
      <c r="K251" s="157"/>
      <c r="L251" s="158"/>
    </row>
    <row r="252" spans="1:12">
      <c r="A252" s="154" t="s">
        <v>95</v>
      </c>
      <c r="B252" s="155" t="s">
        <v>6152</v>
      </c>
      <c r="C252" s="133" t="s">
        <v>113</v>
      </c>
      <c r="D252" s="133" t="s">
        <v>6153</v>
      </c>
      <c r="E252" s="133" t="s">
        <v>6154</v>
      </c>
      <c r="F252" s="133" t="s">
        <v>40</v>
      </c>
      <c r="G252" s="156">
        <v>45293.729861111111</v>
      </c>
      <c r="H252" s="156">
        <v>45324.070833333331</v>
      </c>
      <c r="I252" s="165" t="s">
        <v>4677</v>
      </c>
      <c r="J252" s="157" t="s">
        <v>88</v>
      </c>
      <c r="K252" s="157"/>
      <c r="L252" s="158"/>
    </row>
    <row r="253" spans="1:12">
      <c r="A253" s="154" t="s">
        <v>20</v>
      </c>
      <c r="B253" s="155" t="s">
        <v>6155</v>
      </c>
      <c r="C253" s="133" t="s">
        <v>21</v>
      </c>
      <c r="D253" s="133" t="s">
        <v>6156</v>
      </c>
      <c r="E253" s="133" t="s">
        <v>6157</v>
      </c>
      <c r="F253" s="133" t="s">
        <v>40</v>
      </c>
      <c r="G253" s="156">
        <v>45293.740277777775</v>
      </c>
      <c r="H253" s="156">
        <v>45293.759722222225</v>
      </c>
      <c r="I253" s="165" t="s">
        <v>1628</v>
      </c>
      <c r="J253" s="157" t="s">
        <v>88</v>
      </c>
      <c r="K253" s="157"/>
      <c r="L253" s="158"/>
    </row>
    <row r="254" spans="1:12">
      <c r="A254" s="154" t="s">
        <v>20</v>
      </c>
      <c r="B254" s="155" t="s">
        <v>6158</v>
      </c>
      <c r="C254" s="133" t="s">
        <v>21</v>
      </c>
      <c r="D254" s="133" t="s">
        <v>6159</v>
      </c>
      <c r="E254" s="133" t="s">
        <v>6160</v>
      </c>
      <c r="F254" s="133" t="s">
        <v>40</v>
      </c>
      <c r="G254" s="156">
        <v>45293.742361111108</v>
      </c>
      <c r="H254" s="156">
        <v>45293.759722222225</v>
      </c>
      <c r="I254" s="165" t="s">
        <v>1628</v>
      </c>
      <c r="J254" s="157" t="s">
        <v>88</v>
      </c>
      <c r="K254" s="157"/>
      <c r="L254" s="158"/>
    </row>
    <row r="255" spans="1:12">
      <c r="A255" s="154" t="s">
        <v>95</v>
      </c>
      <c r="B255" s="155" t="s">
        <v>6161</v>
      </c>
      <c r="C255" s="133" t="s">
        <v>113</v>
      </c>
      <c r="D255" s="133" t="s">
        <v>6162</v>
      </c>
      <c r="E255" s="133" t="s">
        <v>6163</v>
      </c>
      <c r="F255" s="133" t="s">
        <v>40</v>
      </c>
      <c r="G255" s="156">
        <v>45293.81527777778</v>
      </c>
      <c r="H255" s="156">
        <v>45324.068749999999</v>
      </c>
      <c r="I255" s="165" t="s">
        <v>6164</v>
      </c>
      <c r="J255" s="157" t="s">
        <v>88</v>
      </c>
      <c r="K255" s="157"/>
      <c r="L255" s="158"/>
    </row>
    <row r="256" spans="1:12">
      <c r="A256" s="154" t="s">
        <v>95</v>
      </c>
      <c r="B256" s="155" t="s">
        <v>6165</v>
      </c>
      <c r="C256" s="133" t="s">
        <v>97</v>
      </c>
      <c r="D256" s="133" t="s">
        <v>6166</v>
      </c>
      <c r="E256" s="133" t="s">
        <v>6167</v>
      </c>
      <c r="F256" s="133" t="s">
        <v>40</v>
      </c>
      <c r="G256" s="156">
        <v>45293.848611111112</v>
      </c>
      <c r="H256" s="156">
        <v>45293.885416666664</v>
      </c>
      <c r="I256" s="165" t="s">
        <v>2585</v>
      </c>
      <c r="J256" s="157" t="s">
        <v>88</v>
      </c>
      <c r="K256" s="157"/>
      <c r="L256" s="158"/>
    </row>
    <row r="257" spans="1:12">
      <c r="A257" s="154" t="s">
        <v>20</v>
      </c>
      <c r="B257" s="155" t="s">
        <v>6168</v>
      </c>
      <c r="C257" s="133" t="s">
        <v>21</v>
      </c>
      <c r="D257" s="133" t="s">
        <v>6169</v>
      </c>
      <c r="E257" s="133" t="s">
        <v>6170</v>
      </c>
      <c r="F257" s="133" t="s">
        <v>40</v>
      </c>
      <c r="G257" s="156">
        <v>45293.886805555558</v>
      </c>
      <c r="H257" s="156">
        <v>45293.963194444441</v>
      </c>
      <c r="I257" s="165" t="s">
        <v>1628</v>
      </c>
      <c r="J257" s="157" t="s">
        <v>88</v>
      </c>
      <c r="K257" s="157"/>
      <c r="L257" s="158"/>
    </row>
    <row r="258" spans="1:12">
      <c r="A258" s="154" t="s">
        <v>106</v>
      </c>
      <c r="B258" s="155" t="s">
        <v>6171</v>
      </c>
      <c r="C258" s="133" t="s">
        <v>108</v>
      </c>
      <c r="D258" s="133" t="s">
        <v>6172</v>
      </c>
      <c r="E258" s="133" t="s">
        <v>6173</v>
      </c>
      <c r="F258" s="133" t="s">
        <v>40</v>
      </c>
      <c r="G258" s="156">
        <v>45293.927777777775</v>
      </c>
      <c r="H258" s="156">
        <v>45293.956944444442</v>
      </c>
      <c r="I258" s="165" t="s">
        <v>3041</v>
      </c>
      <c r="J258" s="157" t="s">
        <v>88</v>
      </c>
      <c r="K258" s="157"/>
      <c r="L258" s="158"/>
    </row>
    <row r="259" spans="1:12">
      <c r="A259" s="154" t="s">
        <v>20</v>
      </c>
      <c r="B259" s="155" t="s">
        <v>6174</v>
      </c>
      <c r="C259" s="133" t="s">
        <v>21</v>
      </c>
      <c r="D259" s="133" t="s">
        <v>6175</v>
      </c>
      <c r="E259" s="133" t="s">
        <v>6176</v>
      </c>
      <c r="F259" s="133" t="s">
        <v>40</v>
      </c>
      <c r="G259" s="156">
        <v>45324.072222222225</v>
      </c>
      <c r="H259" s="156">
        <v>45324.14166666667</v>
      </c>
      <c r="I259" s="165" t="s">
        <v>1628</v>
      </c>
      <c r="J259" s="157" t="s">
        <v>88</v>
      </c>
      <c r="K259" s="157"/>
      <c r="L259" s="158"/>
    </row>
    <row r="260" spans="1:12">
      <c r="A260" s="154" t="s">
        <v>20</v>
      </c>
      <c r="B260" s="155" t="s">
        <v>6177</v>
      </c>
      <c r="C260" s="133" t="s">
        <v>21</v>
      </c>
      <c r="D260" s="133" t="s">
        <v>6178</v>
      </c>
      <c r="E260" s="133" t="s">
        <v>6179</v>
      </c>
      <c r="F260" s="133" t="s">
        <v>40</v>
      </c>
      <c r="G260" s="156">
        <v>45324.082638888889</v>
      </c>
      <c r="H260" s="156">
        <v>45324.084027777775</v>
      </c>
      <c r="I260" s="165" t="s">
        <v>1628</v>
      </c>
      <c r="J260" s="157" t="s">
        <v>88</v>
      </c>
      <c r="K260" s="157"/>
      <c r="L260" s="158"/>
    </row>
    <row r="261" spans="1:12">
      <c r="A261" s="154" t="s">
        <v>20</v>
      </c>
      <c r="B261" s="155" t="s">
        <v>6180</v>
      </c>
      <c r="C261" s="133" t="s">
        <v>13</v>
      </c>
      <c r="D261" s="133" t="s">
        <v>6181</v>
      </c>
      <c r="E261" s="133" t="s">
        <v>6182</v>
      </c>
      <c r="F261" s="133" t="s">
        <v>40</v>
      </c>
      <c r="G261" s="156">
        <v>45324.416666666664</v>
      </c>
      <c r="H261" s="156">
        <v>45324.472222222219</v>
      </c>
      <c r="I261" s="165" t="s">
        <v>5454</v>
      </c>
      <c r="J261" s="157" t="s">
        <v>94</v>
      </c>
      <c r="K261" s="157"/>
      <c r="L261" s="158"/>
    </row>
    <row r="262" spans="1:12">
      <c r="A262" s="154" t="s">
        <v>106</v>
      </c>
      <c r="B262" s="155" t="s">
        <v>6183</v>
      </c>
      <c r="C262" s="133" t="s">
        <v>78</v>
      </c>
      <c r="D262" s="133" t="s">
        <v>6184</v>
      </c>
      <c r="E262" s="134" t="s">
        <v>6185</v>
      </c>
      <c r="F262" s="133" t="s">
        <v>40</v>
      </c>
      <c r="G262" s="156">
        <v>45324.418749999997</v>
      </c>
      <c r="H262" s="156">
        <v>45324.470833333333</v>
      </c>
      <c r="I262" s="165" t="s">
        <v>258</v>
      </c>
      <c r="J262" s="157" t="s">
        <v>94</v>
      </c>
      <c r="K262" s="157"/>
      <c r="L262" s="158"/>
    </row>
    <row r="263" spans="1:12">
      <c r="A263" s="154" t="s">
        <v>106</v>
      </c>
      <c r="B263" s="155" t="s">
        <v>6186</v>
      </c>
      <c r="C263" s="133" t="s">
        <v>108</v>
      </c>
      <c r="D263" s="133" t="s">
        <v>6187</v>
      </c>
      <c r="E263" s="133" t="s">
        <v>6188</v>
      </c>
      <c r="F263" s="133" t="s">
        <v>40</v>
      </c>
      <c r="G263" s="156">
        <v>45324.420138888891</v>
      </c>
      <c r="H263" s="156">
        <v>45324.469444444447</v>
      </c>
      <c r="I263" s="165" t="s">
        <v>1373</v>
      </c>
      <c r="J263" s="157" t="s">
        <v>94</v>
      </c>
      <c r="K263" s="157"/>
      <c r="L263" s="158"/>
    </row>
    <row r="264" spans="1:12">
      <c r="A264" s="154" t="s">
        <v>20</v>
      </c>
      <c r="B264" s="155" t="s">
        <v>6189</v>
      </c>
      <c r="C264" s="133" t="s">
        <v>13</v>
      </c>
      <c r="D264" s="133" t="s">
        <v>6190</v>
      </c>
      <c r="E264" s="133" t="s">
        <v>6191</v>
      </c>
      <c r="F264" s="133" t="s">
        <v>40</v>
      </c>
      <c r="G264" s="156">
        <v>45324.523611111108</v>
      </c>
      <c r="H264" s="156">
        <v>45353.443055555559</v>
      </c>
      <c r="I264" s="165" t="s">
        <v>17</v>
      </c>
      <c r="J264" s="157" t="s">
        <v>94</v>
      </c>
      <c r="K264" s="157"/>
      <c r="L264" s="158"/>
    </row>
    <row r="265" spans="1:12">
      <c r="A265" s="154" t="s">
        <v>20</v>
      </c>
      <c r="B265" s="155" t="s">
        <v>6192</v>
      </c>
      <c r="C265" s="133" t="s">
        <v>13</v>
      </c>
      <c r="D265" s="133" t="s">
        <v>6193</v>
      </c>
      <c r="E265" s="133" t="s">
        <v>6194</v>
      </c>
      <c r="F265" s="133" t="s">
        <v>40</v>
      </c>
      <c r="G265" s="156">
        <v>45324.548611111109</v>
      </c>
      <c r="H265" s="156">
        <v>45384.482638888891</v>
      </c>
      <c r="I265" s="165" t="s">
        <v>5454</v>
      </c>
      <c r="J265" s="157" t="s">
        <v>94</v>
      </c>
      <c r="K265" s="157"/>
      <c r="L265" s="158"/>
    </row>
    <row r="266" spans="1:12">
      <c r="A266" s="132" t="s">
        <v>20</v>
      </c>
      <c r="B266" s="167" t="s">
        <v>6195</v>
      </c>
      <c r="C266" s="133" t="s">
        <v>13</v>
      </c>
      <c r="D266" s="132" t="s">
        <v>6196</v>
      </c>
      <c r="E266" s="132" t="s">
        <v>6197</v>
      </c>
      <c r="F266" s="132" t="s">
        <v>40</v>
      </c>
      <c r="G266" s="156">
        <v>45324.618750000001</v>
      </c>
      <c r="H266" s="171">
        <v>45353.136805555558</v>
      </c>
      <c r="I266" s="166" t="s">
        <v>5009</v>
      </c>
      <c r="J266" s="157" t="s">
        <v>94</v>
      </c>
      <c r="K266" s="157" t="s">
        <v>88</v>
      </c>
    </row>
    <row r="267" spans="1:12">
      <c r="A267" s="154" t="s">
        <v>20</v>
      </c>
      <c r="B267" s="155" t="s">
        <v>6198</v>
      </c>
      <c r="C267" s="133" t="s">
        <v>21</v>
      </c>
      <c r="D267" s="133" t="s">
        <v>6199</v>
      </c>
      <c r="E267" s="134" t="s">
        <v>6200</v>
      </c>
      <c r="F267" s="133" t="s">
        <v>40</v>
      </c>
      <c r="G267" s="156">
        <v>45324.693055555559</v>
      </c>
      <c r="H267" s="156">
        <v>45324.765277777777</v>
      </c>
      <c r="I267" s="165" t="s">
        <v>1628</v>
      </c>
      <c r="J267" s="157" t="s">
        <v>88</v>
      </c>
      <c r="K267" s="157"/>
      <c r="L267" s="158"/>
    </row>
    <row r="268" spans="1:12">
      <c r="A268" s="154" t="s">
        <v>20</v>
      </c>
      <c r="B268" s="155" t="s">
        <v>6201</v>
      </c>
      <c r="C268" s="133" t="s">
        <v>21</v>
      </c>
      <c r="D268" s="133" t="s">
        <v>6202</v>
      </c>
      <c r="E268" s="133" t="s">
        <v>6203</v>
      </c>
      <c r="F268" s="133" t="s">
        <v>40</v>
      </c>
      <c r="G268" s="156">
        <v>45324.765972222223</v>
      </c>
      <c r="H268" s="156">
        <v>45324.77847222222</v>
      </c>
      <c r="I268" s="165" t="s">
        <v>1628</v>
      </c>
      <c r="J268" s="157" t="s">
        <v>88</v>
      </c>
      <c r="K268" s="157"/>
      <c r="L268" s="158"/>
    </row>
    <row r="269" spans="1:12">
      <c r="A269" s="154" t="s">
        <v>20</v>
      </c>
      <c r="B269" s="155" t="s">
        <v>6204</v>
      </c>
      <c r="C269" s="133" t="s">
        <v>21</v>
      </c>
      <c r="D269" s="133" t="s">
        <v>6205</v>
      </c>
      <c r="E269" s="133" t="s">
        <v>6206</v>
      </c>
      <c r="F269" s="133" t="s">
        <v>40</v>
      </c>
      <c r="G269" s="156">
        <v>45324.76666666667</v>
      </c>
      <c r="H269" s="156">
        <v>45324.800694444442</v>
      </c>
      <c r="I269" s="165" t="s">
        <v>1628</v>
      </c>
      <c r="J269" s="157" t="s">
        <v>88</v>
      </c>
      <c r="K269" s="157"/>
      <c r="L269" s="158"/>
    </row>
    <row r="270" spans="1:12">
      <c r="A270" s="154" t="s">
        <v>20</v>
      </c>
      <c r="B270" s="155" t="s">
        <v>6207</v>
      </c>
      <c r="C270" s="133" t="s">
        <v>21</v>
      </c>
      <c r="D270" s="133" t="s">
        <v>6208</v>
      </c>
      <c r="E270" s="133" t="s">
        <v>6209</v>
      </c>
      <c r="F270" s="133" t="s">
        <v>40</v>
      </c>
      <c r="G270" s="156">
        <v>45324.986805555556</v>
      </c>
      <c r="H270" s="156">
        <v>45353.13958333333</v>
      </c>
      <c r="I270" s="165" t="s">
        <v>1628</v>
      </c>
      <c r="J270" s="157" t="s">
        <v>88</v>
      </c>
      <c r="K270" s="157"/>
      <c r="L270" s="158"/>
    </row>
    <row r="271" spans="1:12">
      <c r="A271" s="154" t="s">
        <v>20</v>
      </c>
      <c r="B271" s="159" t="s">
        <v>6210</v>
      </c>
      <c r="C271" s="134" t="s">
        <v>21</v>
      </c>
      <c r="D271" s="134" t="s">
        <v>6211</v>
      </c>
      <c r="E271" s="134" t="s">
        <v>6212</v>
      </c>
      <c r="F271" s="133" t="s">
        <v>40</v>
      </c>
      <c r="G271" s="156">
        <v>45324.987500000003</v>
      </c>
      <c r="H271" s="156">
        <v>45353.14166666667</v>
      </c>
      <c r="I271" s="166" t="s">
        <v>1628</v>
      </c>
      <c r="J271" s="160" t="s">
        <v>88</v>
      </c>
      <c r="K271" s="160"/>
      <c r="L271" s="161"/>
    </row>
    <row r="272" spans="1:12">
      <c r="A272" s="154" t="s">
        <v>20</v>
      </c>
      <c r="B272" s="155" t="s">
        <v>6213</v>
      </c>
      <c r="C272" s="133" t="s">
        <v>21</v>
      </c>
      <c r="D272" s="133" t="s">
        <v>6214</v>
      </c>
      <c r="E272" s="133" t="s">
        <v>6215</v>
      </c>
      <c r="F272" s="133" t="s">
        <v>40</v>
      </c>
      <c r="G272" s="156">
        <v>45324.988194444442</v>
      </c>
      <c r="H272" s="156">
        <v>45353.143055555556</v>
      </c>
      <c r="I272" s="165" t="s">
        <v>629</v>
      </c>
      <c r="J272" s="157" t="s">
        <v>88</v>
      </c>
      <c r="K272" s="157"/>
      <c r="L272" s="158"/>
    </row>
    <row r="273" spans="1:12">
      <c r="A273" s="154" t="s">
        <v>95</v>
      </c>
      <c r="B273" s="155" t="s">
        <v>6216</v>
      </c>
      <c r="C273" s="133" t="s">
        <v>97</v>
      </c>
      <c r="D273" s="133" t="s">
        <v>6217</v>
      </c>
      <c r="E273" s="133" t="s">
        <v>6218</v>
      </c>
      <c r="F273" s="133" t="s">
        <v>40</v>
      </c>
      <c r="G273" s="156">
        <v>45353.145138888889</v>
      </c>
      <c r="H273" s="156">
        <v>45353.145833333336</v>
      </c>
      <c r="I273" s="165" t="s">
        <v>2585</v>
      </c>
      <c r="J273" s="157" t="s">
        <v>88</v>
      </c>
      <c r="K273" s="157"/>
      <c r="L273" s="158"/>
    </row>
    <row r="274" spans="1:12">
      <c r="A274" s="154" t="s">
        <v>20</v>
      </c>
      <c r="B274" s="155" t="s">
        <v>6219</v>
      </c>
      <c r="C274" s="133" t="s">
        <v>13</v>
      </c>
      <c r="D274" s="133" t="s">
        <v>6181</v>
      </c>
      <c r="E274" s="133" t="s">
        <v>6182</v>
      </c>
      <c r="F274" s="133" t="s">
        <v>40</v>
      </c>
      <c r="G274" s="156">
        <v>45353.305555555555</v>
      </c>
      <c r="H274" s="156">
        <v>45353.439583333333</v>
      </c>
      <c r="I274" s="165" t="s">
        <v>5454</v>
      </c>
      <c r="J274" s="157" t="s">
        <v>94</v>
      </c>
      <c r="K274" s="157"/>
      <c r="L274" s="158"/>
    </row>
    <row r="275" spans="1:12">
      <c r="A275" s="154" t="s">
        <v>106</v>
      </c>
      <c r="B275" s="155" t="s">
        <v>6220</v>
      </c>
      <c r="C275" s="133" t="s">
        <v>108</v>
      </c>
      <c r="D275" s="133" t="s">
        <v>6221</v>
      </c>
      <c r="E275" s="133" t="s">
        <v>6222</v>
      </c>
      <c r="F275" s="133" t="s">
        <v>40</v>
      </c>
      <c r="G275" s="156">
        <v>45353.440972222219</v>
      </c>
      <c r="H275" s="156">
        <v>45353.444444444445</v>
      </c>
      <c r="I275" s="165" t="s">
        <v>6223</v>
      </c>
      <c r="J275" s="157" t="s">
        <v>94</v>
      </c>
      <c r="K275" s="157"/>
      <c r="L275" s="158"/>
    </row>
    <row r="276" spans="1:12">
      <c r="A276" s="154" t="s">
        <v>106</v>
      </c>
      <c r="B276" s="155" t="s">
        <v>6224</v>
      </c>
      <c r="C276" s="133" t="s">
        <v>108</v>
      </c>
      <c r="D276" s="133" t="s">
        <v>6225</v>
      </c>
      <c r="E276" s="133" t="s">
        <v>6226</v>
      </c>
      <c r="F276" s="133" t="s">
        <v>40</v>
      </c>
      <c r="G276" s="156">
        <v>45353.550694444442</v>
      </c>
      <c r="H276" s="156">
        <v>45353.661111111112</v>
      </c>
      <c r="I276" s="165" t="s">
        <v>111</v>
      </c>
      <c r="J276" s="157" t="s">
        <v>94</v>
      </c>
      <c r="K276" s="157"/>
      <c r="L276" s="158"/>
    </row>
    <row r="277" spans="1:12">
      <c r="A277" s="154" t="s">
        <v>20</v>
      </c>
      <c r="B277" s="155" t="s">
        <v>6227</v>
      </c>
      <c r="C277" s="133" t="s">
        <v>21</v>
      </c>
      <c r="D277" s="133" t="s">
        <v>6228</v>
      </c>
      <c r="E277" s="134" t="s">
        <v>6229</v>
      </c>
      <c r="F277" s="133" t="s">
        <v>40</v>
      </c>
      <c r="G277" s="156">
        <v>45353.76666666667</v>
      </c>
      <c r="H277" s="156">
        <v>45353.895138888889</v>
      </c>
      <c r="I277" s="165" t="s">
        <v>1628</v>
      </c>
      <c r="J277" s="157" t="s">
        <v>88</v>
      </c>
      <c r="K277" s="157"/>
      <c r="L277" s="158"/>
    </row>
    <row r="278" spans="1:12">
      <c r="A278" s="154" t="s">
        <v>20</v>
      </c>
      <c r="B278" s="155" t="s">
        <v>6230</v>
      </c>
      <c r="C278" s="133" t="s">
        <v>21</v>
      </c>
      <c r="D278" s="133" t="s">
        <v>6231</v>
      </c>
      <c r="E278" s="133" t="s">
        <v>6232</v>
      </c>
      <c r="F278" s="133" t="s">
        <v>40</v>
      </c>
      <c r="G278" s="156">
        <v>45353.895833333336</v>
      </c>
      <c r="H278" s="156">
        <v>45384.106944444444</v>
      </c>
      <c r="I278" s="165" t="s">
        <v>1628</v>
      </c>
      <c r="J278" s="157" t="s">
        <v>88</v>
      </c>
      <c r="K278" s="157"/>
      <c r="L278" s="158"/>
    </row>
    <row r="279" spans="1:12">
      <c r="A279" s="154" t="s">
        <v>20</v>
      </c>
      <c r="B279" s="155" t="s">
        <v>6233</v>
      </c>
      <c r="C279" s="133" t="s">
        <v>21</v>
      </c>
      <c r="D279" s="133" t="s">
        <v>6234</v>
      </c>
      <c r="E279" s="133" t="s">
        <v>6235</v>
      </c>
      <c r="F279" s="133" t="s">
        <v>40</v>
      </c>
      <c r="G279" s="156">
        <v>45353.896527777775</v>
      </c>
      <c r="H279" s="156">
        <v>45384.106944444444</v>
      </c>
      <c r="I279" s="165" t="s">
        <v>1628</v>
      </c>
      <c r="J279" s="157" t="s">
        <v>88</v>
      </c>
      <c r="K279" s="157"/>
      <c r="L279" s="158"/>
    </row>
    <row r="280" spans="1:12">
      <c r="A280" s="154" t="s">
        <v>20</v>
      </c>
      <c r="B280" s="155" t="s">
        <v>6236</v>
      </c>
      <c r="C280" s="133" t="s">
        <v>21</v>
      </c>
      <c r="D280" s="133" t="s">
        <v>6237</v>
      </c>
      <c r="E280" s="133" t="s">
        <v>6238</v>
      </c>
      <c r="F280" s="133" t="s">
        <v>40</v>
      </c>
      <c r="G280" s="156">
        <v>45353.898611111108</v>
      </c>
      <c r="H280" s="156">
        <v>45384.106944444444</v>
      </c>
      <c r="I280" s="165" t="s">
        <v>1628</v>
      </c>
      <c r="J280" s="157" t="s">
        <v>88</v>
      </c>
      <c r="K280" s="157"/>
      <c r="L280" s="158"/>
    </row>
    <row r="281" spans="1:12">
      <c r="A281" s="154" t="s">
        <v>20</v>
      </c>
      <c r="B281" s="155" t="s">
        <v>6239</v>
      </c>
      <c r="C281" s="133" t="s">
        <v>21</v>
      </c>
      <c r="D281" s="133" t="s">
        <v>6240</v>
      </c>
      <c r="E281" s="133" t="s">
        <v>6241</v>
      </c>
      <c r="F281" s="133" t="s">
        <v>40</v>
      </c>
      <c r="G281" s="156">
        <v>45353.9</v>
      </c>
      <c r="H281" s="156">
        <v>45384.140277777777</v>
      </c>
      <c r="I281" s="165" t="s">
        <v>1628</v>
      </c>
      <c r="J281" s="157" t="s">
        <v>88</v>
      </c>
      <c r="K281" s="157"/>
      <c r="L281" s="161"/>
    </row>
    <row r="282" spans="1:12">
      <c r="A282" s="154" t="s">
        <v>20</v>
      </c>
      <c r="B282" s="155" t="s">
        <v>6242</v>
      </c>
      <c r="C282" s="133" t="s">
        <v>21</v>
      </c>
      <c r="D282" s="133" t="s">
        <v>6243</v>
      </c>
      <c r="E282" s="133" t="s">
        <v>6244</v>
      </c>
      <c r="F282" s="133" t="s">
        <v>40</v>
      </c>
      <c r="G282" s="156">
        <v>45353.965277777781</v>
      </c>
      <c r="H282" s="156">
        <v>45384.142361111109</v>
      </c>
      <c r="I282" s="165" t="s">
        <v>6245</v>
      </c>
      <c r="J282" s="157" t="s">
        <v>88</v>
      </c>
      <c r="K282" s="157"/>
      <c r="L282" s="158"/>
    </row>
    <row r="283" spans="1:12">
      <c r="A283" s="154" t="s">
        <v>95</v>
      </c>
      <c r="B283" s="155" t="s">
        <v>6246</v>
      </c>
      <c r="C283" s="133" t="s">
        <v>97</v>
      </c>
      <c r="D283" s="133" t="s">
        <v>6247</v>
      </c>
      <c r="E283" s="133" t="s">
        <v>6248</v>
      </c>
      <c r="F283" s="133" t="s">
        <v>40</v>
      </c>
      <c r="G283" s="156">
        <v>45353.998611111114</v>
      </c>
      <c r="H283" s="156">
        <v>45384.106249999997</v>
      </c>
      <c r="I283" s="165" t="s">
        <v>633</v>
      </c>
      <c r="J283" s="157" t="s">
        <v>88</v>
      </c>
      <c r="K283" s="157"/>
      <c r="L283" s="158"/>
    </row>
    <row r="284" spans="1:12">
      <c r="A284" s="154" t="s">
        <v>20</v>
      </c>
      <c r="B284" s="155" t="s">
        <v>6249</v>
      </c>
      <c r="C284" s="133" t="s">
        <v>21</v>
      </c>
      <c r="D284" s="133" t="s">
        <v>6250</v>
      </c>
      <c r="E284" s="133" t="s">
        <v>6251</v>
      </c>
      <c r="F284" s="133" t="s">
        <v>40</v>
      </c>
      <c r="G284" s="156">
        <v>45384.145833333336</v>
      </c>
      <c r="H284" s="156">
        <v>45384.15347222222</v>
      </c>
      <c r="I284" s="165" t="s">
        <v>1628</v>
      </c>
      <c r="J284" s="157" t="s">
        <v>88</v>
      </c>
      <c r="K284" s="157"/>
      <c r="L284" s="158"/>
    </row>
    <row r="285" spans="1:12">
      <c r="A285" s="154" t="s">
        <v>20</v>
      </c>
      <c r="B285" s="155" t="s">
        <v>6252</v>
      </c>
      <c r="C285" s="133" t="s">
        <v>21</v>
      </c>
      <c r="D285" s="133" t="s">
        <v>6253</v>
      </c>
      <c r="E285" s="133" t="s">
        <v>6254</v>
      </c>
      <c r="F285" s="133" t="s">
        <v>40</v>
      </c>
      <c r="G285" s="156">
        <v>45384.147222222222</v>
      </c>
      <c r="H285" s="156">
        <v>45384.154166666667</v>
      </c>
      <c r="I285" s="165" t="s">
        <v>1628</v>
      </c>
      <c r="J285" s="157" t="s">
        <v>88</v>
      </c>
      <c r="K285" s="157"/>
      <c r="L285" s="158"/>
    </row>
    <row r="286" spans="1:12">
      <c r="A286" s="154" t="s">
        <v>20</v>
      </c>
      <c r="B286" s="155" t="s">
        <v>6255</v>
      </c>
      <c r="C286" s="133" t="s">
        <v>21</v>
      </c>
      <c r="D286" s="133" t="s">
        <v>6256</v>
      </c>
      <c r="E286" s="133" t="s">
        <v>6257</v>
      </c>
      <c r="F286" s="133" t="s">
        <v>40</v>
      </c>
      <c r="G286" s="156">
        <v>45384.148611111108</v>
      </c>
      <c r="H286" s="156">
        <v>45384.154861111114</v>
      </c>
      <c r="I286" s="165" t="s">
        <v>1628</v>
      </c>
      <c r="J286" s="157" t="s">
        <v>88</v>
      </c>
      <c r="K286" s="157"/>
      <c r="L286" s="158"/>
    </row>
    <row r="287" spans="1:12" hidden="1">
      <c r="A287" s="154" t="s">
        <v>20</v>
      </c>
      <c r="B287" s="155" t="s">
        <v>6258</v>
      </c>
      <c r="C287" s="133" t="s">
        <v>13</v>
      </c>
      <c r="D287" s="133" t="s">
        <v>6259</v>
      </c>
      <c r="E287" s="133"/>
      <c r="F287" s="133" t="s">
        <v>214</v>
      </c>
      <c r="G287" s="156">
        <v>45384.316666666666</v>
      </c>
      <c r="I287" s="165" t="s">
        <v>5454</v>
      </c>
      <c r="J287" s="157" t="s">
        <v>94</v>
      </c>
      <c r="K287" s="157" t="s">
        <v>88</v>
      </c>
      <c r="L287" s="158"/>
    </row>
    <row r="288" spans="1:12">
      <c r="A288" s="154" t="s">
        <v>20</v>
      </c>
      <c r="B288" s="155" t="s">
        <v>6260</v>
      </c>
      <c r="C288" s="133" t="s">
        <v>13</v>
      </c>
      <c r="D288" s="133" t="s">
        <v>6261</v>
      </c>
      <c r="E288" s="133" t="s">
        <v>6262</v>
      </c>
      <c r="F288" s="133" t="s">
        <v>40</v>
      </c>
      <c r="G288" s="156">
        <v>45384.32708333333</v>
      </c>
      <c r="H288" s="156">
        <v>45384.496527777781</v>
      </c>
      <c r="I288" s="165" t="s">
        <v>5454</v>
      </c>
      <c r="J288" s="157" t="s">
        <v>94</v>
      </c>
      <c r="K288" s="157"/>
      <c r="L288" s="158"/>
    </row>
    <row r="289" spans="1:12">
      <c r="A289" s="154" t="s">
        <v>20</v>
      </c>
      <c r="B289" s="155" t="s">
        <v>6263</v>
      </c>
      <c r="C289" s="133" t="s">
        <v>13</v>
      </c>
      <c r="D289" s="133" t="s">
        <v>6264</v>
      </c>
      <c r="E289" s="133" t="s">
        <v>6265</v>
      </c>
      <c r="F289" s="133" t="s">
        <v>40</v>
      </c>
      <c r="G289" s="156">
        <v>45384.335416666669</v>
      </c>
      <c r="H289" s="156">
        <v>45445.539583333331</v>
      </c>
      <c r="I289" s="165" t="s">
        <v>5454</v>
      </c>
      <c r="J289" s="157" t="s">
        <v>94</v>
      </c>
      <c r="K289" s="157"/>
      <c r="L289" s="158"/>
    </row>
    <row r="290" spans="1:12">
      <c r="A290" s="154" t="s">
        <v>106</v>
      </c>
      <c r="B290" s="155" t="s">
        <v>6266</v>
      </c>
      <c r="C290" s="133" t="s">
        <v>108</v>
      </c>
      <c r="D290" s="133" t="s">
        <v>6267</v>
      </c>
      <c r="E290" s="133" t="s">
        <v>6268</v>
      </c>
      <c r="F290" s="133" t="s">
        <v>40</v>
      </c>
      <c r="G290" s="156">
        <v>45384.338888888888</v>
      </c>
      <c r="H290" s="156">
        <v>45384.353472222225</v>
      </c>
      <c r="I290" s="165" t="s">
        <v>3932</v>
      </c>
      <c r="J290" s="157" t="s">
        <v>94</v>
      </c>
      <c r="K290" s="157"/>
      <c r="L290" s="158"/>
    </row>
    <row r="291" spans="1:12" hidden="1">
      <c r="A291" s="154" t="s">
        <v>106</v>
      </c>
      <c r="B291" s="155" t="s">
        <v>6269</v>
      </c>
      <c r="C291" s="133" t="s">
        <v>108</v>
      </c>
      <c r="D291" s="133" t="s">
        <v>6270</v>
      </c>
      <c r="E291" s="133" t="s">
        <v>6271</v>
      </c>
      <c r="F291" s="133" t="s">
        <v>214</v>
      </c>
      <c r="G291" s="156">
        <v>45384.508333333331</v>
      </c>
      <c r="H291" s="156">
        <v>45384.65</v>
      </c>
      <c r="I291" s="165" t="s">
        <v>111</v>
      </c>
      <c r="J291" s="157" t="s">
        <v>94</v>
      </c>
      <c r="K291" s="157"/>
      <c r="L291" s="158"/>
    </row>
    <row r="292" spans="1:12">
      <c r="A292" s="154" t="s">
        <v>95</v>
      </c>
      <c r="B292" s="155" t="s">
        <v>6272</v>
      </c>
      <c r="C292" s="133" t="s">
        <v>118</v>
      </c>
      <c r="D292" s="133" t="s">
        <v>6273</v>
      </c>
      <c r="E292" s="134" t="s">
        <v>6274</v>
      </c>
      <c r="F292" s="133" t="s">
        <v>40</v>
      </c>
      <c r="G292" s="156">
        <v>45384.722916666666</v>
      </c>
      <c r="H292" s="156">
        <v>45475.123611111114</v>
      </c>
      <c r="I292" s="165" t="s">
        <v>3956</v>
      </c>
      <c r="J292" s="157" t="s">
        <v>88</v>
      </c>
      <c r="K292" s="157"/>
      <c r="L292" s="158"/>
    </row>
    <row r="293" spans="1:12">
      <c r="A293" s="154" t="s">
        <v>20</v>
      </c>
      <c r="B293" s="155" t="s">
        <v>6275</v>
      </c>
      <c r="C293" s="133" t="s">
        <v>21</v>
      </c>
      <c r="D293" s="133" t="s">
        <v>6276</v>
      </c>
      <c r="E293" s="133" t="s">
        <v>6277</v>
      </c>
      <c r="F293" s="133" t="s">
        <v>40</v>
      </c>
      <c r="G293" s="156">
        <v>45384.926388888889</v>
      </c>
      <c r="H293" s="156">
        <v>45414.145833333336</v>
      </c>
      <c r="I293" s="165" t="s">
        <v>1628</v>
      </c>
      <c r="J293" s="157" t="s">
        <v>88</v>
      </c>
      <c r="K293" s="157"/>
      <c r="L293" s="158"/>
    </row>
    <row r="294" spans="1:12">
      <c r="A294" s="154" t="s">
        <v>20</v>
      </c>
      <c r="B294" s="155" t="s">
        <v>6278</v>
      </c>
      <c r="C294" s="133" t="s">
        <v>21</v>
      </c>
      <c r="D294" s="133" t="s">
        <v>6279</v>
      </c>
      <c r="E294" s="133" t="s">
        <v>6280</v>
      </c>
      <c r="F294" s="133" t="s">
        <v>40</v>
      </c>
      <c r="G294" s="156">
        <v>45384.927083333336</v>
      </c>
      <c r="H294" s="156">
        <v>45414.147222222222</v>
      </c>
      <c r="I294" s="165" t="s">
        <v>1628</v>
      </c>
      <c r="J294" s="157" t="s">
        <v>88</v>
      </c>
      <c r="K294" s="157"/>
      <c r="L294" s="158"/>
    </row>
    <row r="295" spans="1:12">
      <c r="A295" s="154" t="s">
        <v>20</v>
      </c>
      <c r="B295" s="155" t="s">
        <v>6281</v>
      </c>
      <c r="C295" s="133" t="s">
        <v>21</v>
      </c>
      <c r="D295" s="133" t="s">
        <v>6282</v>
      </c>
      <c r="E295" s="133" t="s">
        <v>6283</v>
      </c>
      <c r="F295" s="133" t="s">
        <v>40</v>
      </c>
      <c r="G295" s="156">
        <v>45384.927777777775</v>
      </c>
      <c r="H295" s="156">
        <v>45414.147916666669</v>
      </c>
      <c r="I295" s="165" t="s">
        <v>1628</v>
      </c>
      <c r="J295" s="157" t="s">
        <v>88</v>
      </c>
      <c r="K295" s="157"/>
      <c r="L295" s="158"/>
    </row>
    <row r="296" spans="1:12">
      <c r="A296" s="154" t="s">
        <v>20</v>
      </c>
      <c r="B296" s="155" t="s">
        <v>6284</v>
      </c>
      <c r="C296" s="133" t="s">
        <v>21</v>
      </c>
      <c r="D296" s="133" t="s">
        <v>3866</v>
      </c>
      <c r="E296" s="133" t="s">
        <v>6285</v>
      </c>
      <c r="F296" s="133" t="s">
        <v>40</v>
      </c>
      <c r="G296" s="156">
        <v>45384.929861111108</v>
      </c>
      <c r="H296" s="156">
        <v>45414.149305555555</v>
      </c>
      <c r="I296" s="165" t="s">
        <v>1628</v>
      </c>
      <c r="J296" s="157" t="s">
        <v>88</v>
      </c>
      <c r="K296" s="157"/>
      <c r="L296" s="158"/>
    </row>
    <row r="297" spans="1:12">
      <c r="A297" s="154" t="s">
        <v>20</v>
      </c>
      <c r="B297" s="155" t="s">
        <v>6286</v>
      </c>
      <c r="C297" s="133" t="s">
        <v>21</v>
      </c>
      <c r="D297" s="133" t="s">
        <v>6287</v>
      </c>
      <c r="E297" s="133" t="s">
        <v>6288</v>
      </c>
      <c r="F297" s="133" t="s">
        <v>40</v>
      </c>
      <c r="G297" s="156">
        <v>45384.930555555555</v>
      </c>
      <c r="H297" s="156">
        <v>45414.138194444444</v>
      </c>
      <c r="I297" s="165" t="s">
        <v>1628</v>
      </c>
      <c r="J297" s="157" t="s">
        <v>88</v>
      </c>
      <c r="K297" s="157"/>
      <c r="L297" s="158"/>
    </row>
    <row r="298" spans="1:12">
      <c r="A298" s="154" t="s">
        <v>20</v>
      </c>
      <c r="B298" s="155" t="s">
        <v>6289</v>
      </c>
      <c r="C298" s="133" t="s">
        <v>21</v>
      </c>
      <c r="D298" s="133" t="s">
        <v>6290</v>
      </c>
      <c r="E298" s="133" t="s">
        <v>6291</v>
      </c>
      <c r="F298" s="133" t="s">
        <v>40</v>
      </c>
      <c r="G298" s="156">
        <v>45414.15</v>
      </c>
      <c r="H298" s="156">
        <v>45414.150694444441</v>
      </c>
      <c r="I298" s="165" t="s">
        <v>1628</v>
      </c>
      <c r="J298" s="157" t="s">
        <v>88</v>
      </c>
      <c r="K298" s="157"/>
      <c r="L298" s="158"/>
    </row>
    <row r="299" spans="1:12">
      <c r="A299" s="154" t="s">
        <v>20</v>
      </c>
      <c r="B299" s="155" t="s">
        <v>6292</v>
      </c>
      <c r="C299" s="133" t="s">
        <v>21</v>
      </c>
      <c r="D299" s="133" t="s">
        <v>6293</v>
      </c>
      <c r="E299" s="133" t="s">
        <v>6294</v>
      </c>
      <c r="F299" s="133" t="s">
        <v>40</v>
      </c>
      <c r="G299" s="156">
        <v>45414.151388888888</v>
      </c>
      <c r="H299" s="156">
        <v>45414.152083333334</v>
      </c>
      <c r="I299" s="165" t="s">
        <v>1628</v>
      </c>
      <c r="J299" s="157" t="s">
        <v>88</v>
      </c>
      <c r="K299" s="157"/>
      <c r="L299" s="158"/>
    </row>
    <row r="300" spans="1:12">
      <c r="A300" s="154" t="s">
        <v>20</v>
      </c>
      <c r="B300" s="155" t="s">
        <v>6295</v>
      </c>
      <c r="C300" s="133" t="s">
        <v>21</v>
      </c>
      <c r="D300" s="133" t="s">
        <v>6296</v>
      </c>
      <c r="E300" s="133" t="s">
        <v>6297</v>
      </c>
      <c r="F300" s="133" t="s">
        <v>40</v>
      </c>
      <c r="G300" s="156">
        <v>45414.152777777781</v>
      </c>
      <c r="H300" s="156">
        <v>45414.15347222222</v>
      </c>
      <c r="I300" s="165" t="s">
        <v>1628</v>
      </c>
      <c r="J300" s="157" t="s">
        <v>88</v>
      </c>
      <c r="K300" s="157"/>
      <c r="L300" s="158"/>
    </row>
    <row r="301" spans="1:12">
      <c r="A301" s="154" t="s">
        <v>106</v>
      </c>
      <c r="B301" s="155" t="s">
        <v>6298</v>
      </c>
      <c r="C301" s="133" t="s">
        <v>333</v>
      </c>
      <c r="D301" s="133" t="s">
        <v>6299</v>
      </c>
      <c r="E301" s="133" t="s">
        <v>6300</v>
      </c>
      <c r="F301" s="133" t="s">
        <v>40</v>
      </c>
      <c r="G301" s="156">
        <v>45414.433333333334</v>
      </c>
      <c r="H301" s="156">
        <v>45414.500694444447</v>
      </c>
      <c r="I301" s="165" t="s">
        <v>346</v>
      </c>
      <c r="J301" s="157" t="s">
        <v>94</v>
      </c>
      <c r="K301" s="157"/>
      <c r="L301" s="158"/>
    </row>
    <row r="302" spans="1:12">
      <c r="A302" s="154" t="s">
        <v>20</v>
      </c>
      <c r="B302" s="155" t="s">
        <v>6301</v>
      </c>
      <c r="C302" s="133" t="s">
        <v>21</v>
      </c>
      <c r="D302" s="134" t="s">
        <v>6302</v>
      </c>
      <c r="E302" s="134" t="s">
        <v>6303</v>
      </c>
      <c r="F302" s="133" t="s">
        <v>40</v>
      </c>
      <c r="G302" s="156">
        <v>45414.804861111108</v>
      </c>
      <c r="H302" s="156">
        <v>45445.129861111112</v>
      </c>
      <c r="I302" s="165" t="s">
        <v>1628</v>
      </c>
      <c r="J302" s="157" t="s">
        <v>88</v>
      </c>
      <c r="K302" s="157"/>
      <c r="L302" s="158"/>
    </row>
    <row r="303" spans="1:12">
      <c r="A303" s="154" t="s">
        <v>20</v>
      </c>
      <c r="B303" s="155" t="s">
        <v>6304</v>
      </c>
      <c r="C303" s="133" t="s">
        <v>21</v>
      </c>
      <c r="D303" s="133" t="s">
        <v>6305</v>
      </c>
      <c r="E303" s="133" t="s">
        <v>6306</v>
      </c>
      <c r="F303" s="133" t="s">
        <v>40</v>
      </c>
      <c r="G303" s="156">
        <v>45414.805555555555</v>
      </c>
      <c r="H303" s="156">
        <v>45445.136111111111</v>
      </c>
      <c r="I303" s="165" t="s">
        <v>1628</v>
      </c>
      <c r="J303" s="157" t="s">
        <v>88</v>
      </c>
      <c r="K303" s="157"/>
      <c r="L303" s="158"/>
    </row>
    <row r="304" spans="1:12" hidden="1">
      <c r="A304" s="154" t="s">
        <v>20</v>
      </c>
      <c r="B304" s="155" t="s">
        <v>6307</v>
      </c>
      <c r="C304" s="133" t="s">
        <v>13</v>
      </c>
      <c r="D304" s="133" t="s">
        <v>6308</v>
      </c>
      <c r="E304" s="133"/>
      <c r="F304" s="133" t="s">
        <v>308</v>
      </c>
      <c r="G304" s="156">
        <v>45414.850694444445</v>
      </c>
      <c r="I304" s="165" t="s">
        <v>17</v>
      </c>
      <c r="J304" s="157" t="s">
        <v>88</v>
      </c>
      <c r="K304" s="157"/>
      <c r="L304" s="158"/>
    </row>
    <row r="305" spans="1:12">
      <c r="A305" s="154" t="s">
        <v>20</v>
      </c>
      <c r="B305" s="155" t="s">
        <v>6309</v>
      </c>
      <c r="C305" s="133" t="s">
        <v>21</v>
      </c>
      <c r="D305" s="133" t="s">
        <v>6310</v>
      </c>
      <c r="E305" s="133" t="s">
        <v>6311</v>
      </c>
      <c r="F305" s="133" t="s">
        <v>40</v>
      </c>
      <c r="G305" s="156">
        <v>45414.927777777775</v>
      </c>
      <c r="H305" s="156">
        <v>45475.124305555553</v>
      </c>
      <c r="I305" s="165" t="s">
        <v>1628</v>
      </c>
      <c r="J305" s="157" t="s">
        <v>88</v>
      </c>
      <c r="K305" s="157"/>
      <c r="L305" s="158"/>
    </row>
    <row r="306" spans="1:12">
      <c r="A306" s="154" t="s">
        <v>20</v>
      </c>
      <c r="B306" s="155" t="s">
        <v>6309</v>
      </c>
      <c r="C306" s="133" t="s">
        <v>21</v>
      </c>
      <c r="D306" s="133" t="s">
        <v>6312</v>
      </c>
      <c r="E306" s="133" t="s">
        <v>6313</v>
      </c>
      <c r="F306" s="133" t="s">
        <v>40</v>
      </c>
      <c r="G306" s="156">
        <v>45445.864583333336</v>
      </c>
      <c r="H306" s="156">
        <v>45475.129861111112</v>
      </c>
      <c r="I306" s="165" t="s">
        <v>1628</v>
      </c>
      <c r="J306" s="157" t="s">
        <v>88</v>
      </c>
      <c r="K306" s="157"/>
      <c r="L306" s="158"/>
    </row>
    <row r="307" spans="1:12">
      <c r="A307" s="154" t="s">
        <v>20</v>
      </c>
      <c r="B307" s="155" t="s">
        <v>6314</v>
      </c>
      <c r="C307" s="133" t="s">
        <v>21</v>
      </c>
      <c r="D307" s="133" t="s">
        <v>6315</v>
      </c>
      <c r="E307" s="133" t="s">
        <v>6316</v>
      </c>
      <c r="F307" s="133" t="s">
        <v>40</v>
      </c>
      <c r="G307" s="156">
        <v>45414.979861111111</v>
      </c>
      <c r="H307" s="156">
        <v>45445.14166666667</v>
      </c>
      <c r="I307" s="165" t="s">
        <v>1628</v>
      </c>
      <c r="J307" s="157" t="s">
        <v>88</v>
      </c>
      <c r="K307" s="157"/>
      <c r="L307" s="158"/>
    </row>
    <row r="308" spans="1:12">
      <c r="A308" s="154" t="s">
        <v>106</v>
      </c>
      <c r="B308" s="155" t="s">
        <v>6317</v>
      </c>
      <c r="C308" s="133" t="s">
        <v>78</v>
      </c>
      <c r="D308" s="133" t="s">
        <v>6318</v>
      </c>
      <c r="E308" s="133" t="s">
        <v>6319</v>
      </c>
      <c r="F308" s="133" t="s">
        <v>40</v>
      </c>
      <c r="G308" s="156">
        <v>45445.272222222222</v>
      </c>
      <c r="H308" s="156">
        <v>45445.536805555559</v>
      </c>
      <c r="I308" s="165" t="s">
        <v>258</v>
      </c>
      <c r="J308" s="157" t="s">
        <v>94</v>
      </c>
      <c r="K308" s="157"/>
      <c r="L308" s="158"/>
    </row>
    <row r="309" spans="1:12">
      <c r="A309" s="154" t="s">
        <v>95</v>
      </c>
      <c r="B309" s="155" t="s">
        <v>6320</v>
      </c>
      <c r="C309" s="133" t="s">
        <v>6047</v>
      </c>
      <c r="D309" s="133" t="s">
        <v>6321</v>
      </c>
      <c r="E309" s="133" t="s">
        <v>6322</v>
      </c>
      <c r="F309" s="133" t="s">
        <v>40</v>
      </c>
      <c r="G309" s="156">
        <v>45445.862500000003</v>
      </c>
      <c r="H309" s="156">
        <v>45475.125694444447</v>
      </c>
      <c r="I309" s="165" t="s">
        <v>2585</v>
      </c>
      <c r="J309" s="157" t="s">
        <v>88</v>
      </c>
      <c r="K309" s="157"/>
      <c r="L309" s="158"/>
    </row>
    <row r="310" spans="1:12">
      <c r="A310" s="154" t="s">
        <v>95</v>
      </c>
      <c r="B310" s="155" t="s">
        <v>6323</v>
      </c>
      <c r="C310" s="133" t="s">
        <v>97</v>
      </c>
      <c r="D310" s="133" t="s">
        <v>6324</v>
      </c>
      <c r="E310" s="133" t="s">
        <v>6325</v>
      </c>
      <c r="F310" s="133" t="s">
        <v>40</v>
      </c>
      <c r="G310" s="156">
        <v>45445.863194444442</v>
      </c>
      <c r="H310" s="156">
        <v>45475.127083333333</v>
      </c>
      <c r="I310" s="165" t="s">
        <v>6326</v>
      </c>
      <c r="J310" s="157" t="s">
        <v>88</v>
      </c>
      <c r="K310" s="157"/>
      <c r="L310" s="158"/>
    </row>
    <row r="311" spans="1:12">
      <c r="A311" s="154" t="s">
        <v>20</v>
      </c>
      <c r="B311" s="155" t="s">
        <v>6327</v>
      </c>
      <c r="C311" s="133" t="s">
        <v>21</v>
      </c>
      <c r="D311" s="133" t="s">
        <v>6328</v>
      </c>
      <c r="E311" s="133" t="s">
        <v>6329</v>
      </c>
      <c r="F311" s="133" t="s">
        <v>40</v>
      </c>
      <c r="G311" s="156">
        <v>45445.865277777775</v>
      </c>
      <c r="H311" s="156">
        <v>45475.130555555559</v>
      </c>
      <c r="I311" s="165" t="s">
        <v>1628</v>
      </c>
      <c r="J311" s="157" t="s">
        <v>88</v>
      </c>
      <c r="K311" s="157"/>
      <c r="L311" s="158"/>
    </row>
    <row r="312" spans="1:12">
      <c r="A312" s="154" t="s">
        <v>95</v>
      </c>
      <c r="B312" s="155" t="s">
        <v>6330</v>
      </c>
      <c r="C312" s="133" t="s">
        <v>113</v>
      </c>
      <c r="D312" s="133" t="s">
        <v>6331</v>
      </c>
      <c r="E312" s="133" t="s">
        <v>6332</v>
      </c>
      <c r="F312" s="133" t="s">
        <v>40</v>
      </c>
      <c r="G312" s="156">
        <v>45445.865972222222</v>
      </c>
      <c r="H312" s="156">
        <v>45475.12222222222</v>
      </c>
      <c r="I312" s="165" t="s">
        <v>6164</v>
      </c>
      <c r="J312" s="157" t="s">
        <v>88</v>
      </c>
      <c r="K312" s="157"/>
      <c r="L312" s="158"/>
    </row>
    <row r="313" spans="1:12">
      <c r="A313" s="154" t="s">
        <v>20</v>
      </c>
      <c r="B313" s="159" t="s">
        <v>6333</v>
      </c>
      <c r="C313" s="134" t="s">
        <v>13</v>
      </c>
      <c r="D313" s="134" t="s">
        <v>6334</v>
      </c>
      <c r="E313" s="134" t="s">
        <v>6335</v>
      </c>
      <c r="F313" s="134" t="s">
        <v>40</v>
      </c>
      <c r="G313" s="156">
        <v>45475.144444444442</v>
      </c>
      <c r="H313" s="156">
        <v>45475.150694444441</v>
      </c>
      <c r="I313" s="166" t="s">
        <v>5489</v>
      </c>
      <c r="J313" s="160" t="s">
        <v>88</v>
      </c>
      <c r="K313" s="160"/>
      <c r="L313" s="161"/>
    </row>
    <row r="314" spans="1:12">
      <c r="A314" s="172" t="s">
        <v>106</v>
      </c>
      <c r="B314" s="173" t="s">
        <v>6336</v>
      </c>
      <c r="C314" s="136" t="s">
        <v>108</v>
      </c>
      <c r="D314" s="136" t="s">
        <v>6337</v>
      </c>
      <c r="E314" s="136" t="s">
        <v>6338</v>
      </c>
      <c r="F314" s="136" t="s">
        <v>40</v>
      </c>
      <c r="G314" s="156">
        <v>45475.148611111108</v>
      </c>
      <c r="H314" s="174">
        <v>45475.15</v>
      </c>
      <c r="I314" s="175" t="s">
        <v>3825</v>
      </c>
      <c r="J314" s="176" t="s">
        <v>88</v>
      </c>
      <c r="K314" s="176"/>
      <c r="L314" s="177"/>
    </row>
    <row r="315" spans="1:12">
      <c r="A315" s="154" t="s">
        <v>20</v>
      </c>
      <c r="B315" s="155" t="s">
        <v>6339</v>
      </c>
      <c r="C315" s="133" t="s">
        <v>21</v>
      </c>
      <c r="D315" s="133" t="s">
        <v>6340</v>
      </c>
      <c r="E315" s="133" t="s">
        <v>6341</v>
      </c>
      <c r="F315" s="133" t="s">
        <v>40</v>
      </c>
      <c r="G315" s="156">
        <v>45475.152777777781</v>
      </c>
      <c r="H315" s="156">
        <v>45475.15347222222</v>
      </c>
      <c r="I315" s="165" t="s">
        <v>1628</v>
      </c>
      <c r="J315" s="157" t="s">
        <v>88</v>
      </c>
      <c r="K315" s="157"/>
      <c r="L315" s="158"/>
    </row>
    <row r="316" spans="1:12" ht="58">
      <c r="A316" s="172" t="s">
        <v>106</v>
      </c>
      <c r="B316" s="155" t="s">
        <v>6342</v>
      </c>
      <c r="C316" s="133" t="s">
        <v>78</v>
      </c>
      <c r="D316" s="133" t="s">
        <v>6343</v>
      </c>
      <c r="E316" s="135" t="s">
        <v>6344</v>
      </c>
      <c r="F316" s="133" t="s">
        <v>40</v>
      </c>
      <c r="G316" s="156">
        <v>45475.381944444445</v>
      </c>
      <c r="H316" s="156">
        <v>45475.472222222219</v>
      </c>
      <c r="I316" s="165" t="s">
        <v>258</v>
      </c>
      <c r="J316" s="157" t="s">
        <v>72</v>
      </c>
      <c r="K316" s="157"/>
      <c r="L316" s="158"/>
    </row>
    <row r="317" spans="1:12">
      <c r="A317" s="154" t="s">
        <v>95</v>
      </c>
      <c r="B317" s="155" t="s">
        <v>6345</v>
      </c>
      <c r="C317" s="133" t="s">
        <v>97</v>
      </c>
      <c r="D317" s="133" t="s">
        <v>6346</v>
      </c>
      <c r="E317" s="133" t="s">
        <v>6347</v>
      </c>
      <c r="F317" s="133" t="s">
        <v>40</v>
      </c>
      <c r="G317" s="156">
        <v>45475.423611111109</v>
      </c>
      <c r="H317" s="156">
        <v>45475.441666666666</v>
      </c>
      <c r="I317" s="165" t="s">
        <v>32</v>
      </c>
      <c r="J317" s="157" t="s">
        <v>72</v>
      </c>
      <c r="K317" s="157"/>
      <c r="L317" s="158"/>
    </row>
    <row r="318" spans="1:12">
      <c r="A318" s="154" t="s">
        <v>95</v>
      </c>
      <c r="B318" s="155" t="s">
        <v>6348</v>
      </c>
      <c r="C318" s="133" t="s">
        <v>118</v>
      </c>
      <c r="D318" s="133" t="s">
        <v>6349</v>
      </c>
      <c r="E318" s="133"/>
      <c r="F318" s="133" t="s">
        <v>40</v>
      </c>
      <c r="I318" s="165"/>
      <c r="J318" s="157" t="s">
        <v>72</v>
      </c>
      <c r="K318" s="157"/>
      <c r="L318" s="158"/>
    </row>
    <row r="319" spans="1:12">
      <c r="A319" s="172" t="s">
        <v>106</v>
      </c>
      <c r="B319" s="155" t="s">
        <v>6350</v>
      </c>
      <c r="C319" s="133" t="s">
        <v>78</v>
      </c>
      <c r="D319" s="133" t="s">
        <v>6351</v>
      </c>
      <c r="E319" s="133" t="s">
        <v>276</v>
      </c>
      <c r="F319" s="133" t="s">
        <v>40</v>
      </c>
      <c r="G319" s="156">
        <v>45475.634027777778</v>
      </c>
      <c r="H319" s="156">
        <v>45475.691666666666</v>
      </c>
      <c r="I319" s="165" t="s">
        <v>258</v>
      </c>
      <c r="J319" s="157" t="s">
        <v>72</v>
      </c>
      <c r="K319" s="157"/>
      <c r="L319" s="158"/>
    </row>
    <row r="320" spans="1:12">
      <c r="A320" s="154" t="s">
        <v>20</v>
      </c>
      <c r="B320" s="155" t="s">
        <v>6352</v>
      </c>
      <c r="C320" s="133" t="s">
        <v>21</v>
      </c>
      <c r="D320" s="132" t="s">
        <v>6353</v>
      </c>
      <c r="E320" s="132" t="s">
        <v>6354</v>
      </c>
      <c r="F320" s="133" t="s">
        <v>40</v>
      </c>
      <c r="G320" s="156">
        <v>45475.898611111108</v>
      </c>
      <c r="H320" s="156">
        <v>45475.94027777778</v>
      </c>
      <c r="I320" s="165" t="s">
        <v>52</v>
      </c>
      <c r="J320" s="157" t="s">
        <v>61</v>
      </c>
      <c r="K320" s="157"/>
      <c r="L320" s="158"/>
    </row>
    <row r="321" spans="1:12">
      <c r="A321" s="154" t="s">
        <v>20</v>
      </c>
      <c r="B321" s="155" t="s">
        <v>6355</v>
      </c>
      <c r="C321" s="133" t="s">
        <v>21</v>
      </c>
      <c r="D321" s="132" t="s">
        <v>6356</v>
      </c>
      <c r="E321" s="132" t="s">
        <v>6357</v>
      </c>
      <c r="F321" s="133" t="s">
        <v>40</v>
      </c>
      <c r="G321" s="156">
        <v>45475.898611111108</v>
      </c>
      <c r="H321" s="156">
        <v>45475.912499999999</v>
      </c>
      <c r="I321" s="165" t="s">
        <v>52</v>
      </c>
      <c r="J321" s="157" t="s">
        <v>61</v>
      </c>
      <c r="K321" s="157"/>
      <c r="L321" s="158"/>
    </row>
    <row r="322" spans="1:12">
      <c r="A322" s="154" t="s">
        <v>20</v>
      </c>
      <c r="B322" s="155" t="s">
        <v>6358</v>
      </c>
      <c r="C322" s="133" t="s">
        <v>21</v>
      </c>
      <c r="D322" s="132" t="s">
        <v>6359</v>
      </c>
      <c r="E322" s="132" t="s">
        <v>5520</v>
      </c>
      <c r="F322" s="133" t="s">
        <v>40</v>
      </c>
      <c r="G322" s="156">
        <v>45475.945833333331</v>
      </c>
      <c r="H322" s="156">
        <v>45475.987500000003</v>
      </c>
      <c r="I322" s="165" t="s">
        <v>52</v>
      </c>
      <c r="J322" s="157" t="s">
        <v>61</v>
      </c>
      <c r="K322" s="157"/>
      <c r="L322" s="158"/>
    </row>
    <row r="323" spans="1:12">
      <c r="A323" s="154" t="s">
        <v>20</v>
      </c>
      <c r="B323" s="155" t="s">
        <v>6360</v>
      </c>
      <c r="C323" s="133" t="s">
        <v>21</v>
      </c>
      <c r="D323" s="132" t="s">
        <v>6361</v>
      </c>
      <c r="E323" s="132" t="s">
        <v>5520</v>
      </c>
      <c r="F323" s="133" t="s">
        <v>40</v>
      </c>
      <c r="G323" s="156">
        <v>45475.993055555555</v>
      </c>
      <c r="H323" s="156">
        <v>45506.034722222219</v>
      </c>
      <c r="I323" s="165" t="s">
        <v>52</v>
      </c>
      <c r="J323" s="157" t="s">
        <v>61</v>
      </c>
      <c r="K323" s="157"/>
      <c r="L323" s="158"/>
    </row>
    <row r="324" spans="1:12" hidden="1">
      <c r="A324" s="154" t="s">
        <v>106</v>
      </c>
      <c r="B324" s="155" t="s">
        <v>6362</v>
      </c>
      <c r="C324" s="133" t="s">
        <v>333</v>
      </c>
      <c r="D324" s="132" t="s">
        <v>6363</v>
      </c>
      <c r="E324" s="133"/>
      <c r="F324" s="133" t="s">
        <v>214</v>
      </c>
      <c r="I324" s="165" t="s">
        <v>1964</v>
      </c>
      <c r="J324" s="157" t="s">
        <v>61</v>
      </c>
      <c r="K324" s="157"/>
      <c r="L324" s="158"/>
    </row>
    <row r="325" spans="1:12" hidden="1">
      <c r="A325" s="154" t="s">
        <v>95</v>
      </c>
      <c r="B325" s="155" t="s">
        <v>6364</v>
      </c>
      <c r="C325" s="133" t="s">
        <v>113</v>
      </c>
      <c r="D325" s="132" t="s">
        <v>6365</v>
      </c>
      <c r="E325" s="133" t="s">
        <v>6366</v>
      </c>
      <c r="F325" s="133" t="s">
        <v>214</v>
      </c>
      <c r="G325" s="156">
        <v>45506.057638888888</v>
      </c>
      <c r="H325" s="156">
        <v>45506.099305555559</v>
      </c>
      <c r="I325" s="165" t="s">
        <v>866</v>
      </c>
      <c r="J325" s="157" t="s">
        <v>61</v>
      </c>
      <c r="K325" s="157"/>
      <c r="L325" s="158"/>
    </row>
    <row r="326" spans="1:12">
      <c r="A326" s="154" t="s">
        <v>20</v>
      </c>
      <c r="B326" s="155" t="s">
        <v>6367</v>
      </c>
      <c r="C326" s="133" t="s">
        <v>13</v>
      </c>
      <c r="D326" s="132" t="s">
        <v>6368</v>
      </c>
      <c r="E326" s="132" t="s">
        <v>6369</v>
      </c>
      <c r="F326" s="133" t="s">
        <v>40</v>
      </c>
      <c r="G326" s="156">
        <v>45506.069444444445</v>
      </c>
      <c r="H326" s="156">
        <v>45506.111111111109</v>
      </c>
      <c r="I326" s="165" t="s">
        <v>6370</v>
      </c>
      <c r="J326" s="157" t="s">
        <v>61</v>
      </c>
      <c r="K326" s="157"/>
      <c r="L326" s="158"/>
    </row>
    <row r="327" spans="1:12">
      <c r="A327" s="154" t="s">
        <v>20</v>
      </c>
      <c r="B327" s="155" t="s">
        <v>6371</v>
      </c>
      <c r="C327" s="133" t="s">
        <v>13</v>
      </c>
      <c r="D327" s="132" t="s">
        <v>6372</v>
      </c>
      <c r="E327" s="133"/>
      <c r="F327" s="133" t="s">
        <v>40</v>
      </c>
      <c r="G327" s="156">
        <v>45506.17291666667</v>
      </c>
      <c r="H327" s="156">
        <v>45506.214583333334</v>
      </c>
      <c r="I327" s="165" t="s">
        <v>6370</v>
      </c>
      <c r="J327" s="157" t="s">
        <v>61</v>
      </c>
      <c r="K327" s="157"/>
      <c r="L327" s="158"/>
    </row>
    <row r="328" spans="1:12">
      <c r="A328" s="154" t="s">
        <v>20</v>
      </c>
      <c r="B328" s="155" t="s">
        <v>6373</v>
      </c>
      <c r="C328" s="133" t="s">
        <v>21</v>
      </c>
      <c r="D328" s="132" t="s">
        <v>6374</v>
      </c>
      <c r="E328" s="133" t="s">
        <v>6375</v>
      </c>
      <c r="F328" s="133" t="s">
        <v>40</v>
      </c>
      <c r="G328" s="156">
        <v>45506.262499999997</v>
      </c>
      <c r="H328" s="156">
        <v>45506.304166666669</v>
      </c>
      <c r="I328" s="165" t="s">
        <v>52</v>
      </c>
      <c r="J328" s="157" t="s">
        <v>61</v>
      </c>
      <c r="K328" s="157"/>
      <c r="L328" s="158"/>
    </row>
    <row r="329" spans="1:12">
      <c r="A329" s="154" t="s">
        <v>20</v>
      </c>
      <c r="B329" s="155" t="s">
        <v>6376</v>
      </c>
      <c r="C329" s="133" t="s">
        <v>13</v>
      </c>
      <c r="D329" s="133" t="s">
        <v>6377</v>
      </c>
      <c r="E329" s="133" t="s">
        <v>6378</v>
      </c>
      <c r="F329" s="133" t="s">
        <v>40</v>
      </c>
      <c r="G329" s="156">
        <v>45506.461111111108</v>
      </c>
      <c r="H329" s="156">
        <v>45506.488888888889</v>
      </c>
      <c r="I329" s="165" t="s">
        <v>17</v>
      </c>
      <c r="J329" s="157" t="s">
        <v>72</v>
      </c>
      <c r="K329" s="157"/>
      <c r="L329" s="158"/>
    </row>
    <row r="330" spans="1:12">
      <c r="A330" s="154" t="s">
        <v>20</v>
      </c>
      <c r="B330" s="155" t="s">
        <v>6379</v>
      </c>
      <c r="C330" s="133" t="s">
        <v>13</v>
      </c>
      <c r="D330" s="133" t="s">
        <v>6380</v>
      </c>
      <c r="E330" s="133" t="s">
        <v>6381</v>
      </c>
      <c r="F330" s="133" t="s">
        <v>40</v>
      </c>
      <c r="G330" s="156">
        <v>45506.461111111108</v>
      </c>
      <c r="H330" s="156">
        <v>45506.489583333336</v>
      </c>
      <c r="I330" s="165" t="s">
        <v>17</v>
      </c>
      <c r="J330" s="157" t="s">
        <v>72</v>
      </c>
      <c r="K330" s="157"/>
      <c r="L330" s="158"/>
    </row>
    <row r="331" spans="1:12">
      <c r="A331" s="154" t="s">
        <v>20</v>
      </c>
      <c r="B331" s="155" t="s">
        <v>6382</v>
      </c>
      <c r="C331" s="133" t="s">
        <v>13</v>
      </c>
      <c r="D331" s="133" t="s">
        <v>6383</v>
      </c>
      <c r="E331" s="133" t="s">
        <v>6384</v>
      </c>
      <c r="F331" s="133" t="s">
        <v>40</v>
      </c>
      <c r="G331" s="156">
        <v>45506.506249999999</v>
      </c>
      <c r="H331" s="156">
        <v>45537.301388888889</v>
      </c>
      <c r="I331" s="165" t="s">
        <v>17</v>
      </c>
      <c r="J331" s="157" t="s">
        <v>72</v>
      </c>
      <c r="K331" s="157" t="s">
        <v>61</v>
      </c>
      <c r="L331" s="158">
        <v>45330</v>
      </c>
    </row>
    <row r="332" spans="1:12">
      <c r="A332" s="154" t="s">
        <v>20</v>
      </c>
      <c r="B332" s="155" t="s">
        <v>6385</v>
      </c>
      <c r="C332" s="133" t="s">
        <v>13</v>
      </c>
      <c r="D332" s="133" t="s">
        <v>6386</v>
      </c>
      <c r="E332" s="133" t="s">
        <v>6387</v>
      </c>
      <c r="F332" s="133" t="s">
        <v>40</v>
      </c>
      <c r="I332" s="165" t="s">
        <v>17</v>
      </c>
      <c r="J332" s="157" t="s">
        <v>72</v>
      </c>
      <c r="K332" s="157"/>
      <c r="L332" s="158"/>
    </row>
    <row r="333" spans="1:12">
      <c r="A333" s="154" t="s">
        <v>106</v>
      </c>
      <c r="B333" s="155" t="s">
        <v>6388</v>
      </c>
      <c r="C333" s="133" t="s">
        <v>333</v>
      </c>
      <c r="D333" s="133" t="s">
        <v>6389</v>
      </c>
      <c r="E333" s="133" t="s">
        <v>6390</v>
      </c>
      <c r="F333" s="133" t="s">
        <v>40</v>
      </c>
      <c r="G333" s="156">
        <v>45506.612500000003</v>
      </c>
      <c r="H333" s="156">
        <v>45506.823437500003</v>
      </c>
      <c r="I333" s="165" t="s">
        <v>346</v>
      </c>
      <c r="J333" s="157" t="s">
        <v>72</v>
      </c>
      <c r="K333" s="157" t="s">
        <v>61</v>
      </c>
      <c r="L333" s="158">
        <v>45330</v>
      </c>
    </row>
    <row r="334" spans="1:12">
      <c r="A334" s="154" t="s">
        <v>106</v>
      </c>
      <c r="B334" s="155" t="s">
        <v>6391</v>
      </c>
      <c r="C334" s="133" t="s">
        <v>78</v>
      </c>
      <c r="D334" s="133" t="s">
        <v>6392</v>
      </c>
      <c r="E334" s="133" t="s">
        <v>6393</v>
      </c>
      <c r="F334" s="133" t="s">
        <v>40</v>
      </c>
      <c r="G334" s="156">
        <v>45506.677083333336</v>
      </c>
      <c r="H334" s="156">
        <v>45506.698611111111</v>
      </c>
      <c r="I334" s="165" t="s">
        <v>6394</v>
      </c>
      <c r="J334" s="157" t="s">
        <v>72</v>
      </c>
      <c r="K334" s="157"/>
      <c r="L334" s="158"/>
    </row>
    <row r="335" spans="1:12">
      <c r="A335" s="154" t="s">
        <v>20</v>
      </c>
      <c r="B335" s="155" t="s">
        <v>6395</v>
      </c>
      <c r="C335" s="133" t="s">
        <v>13</v>
      </c>
      <c r="D335" s="133" t="s">
        <v>6396</v>
      </c>
      <c r="E335" s="133" t="s">
        <v>276</v>
      </c>
      <c r="F335" s="133" t="s">
        <v>40</v>
      </c>
      <c r="G335" s="156">
        <v>45506.769444444442</v>
      </c>
      <c r="H335" s="156">
        <v>45537.277777777781</v>
      </c>
      <c r="I335" s="165" t="s">
        <v>6397</v>
      </c>
      <c r="J335" s="157" t="s">
        <v>72</v>
      </c>
      <c r="K335" s="157" t="s">
        <v>61</v>
      </c>
      <c r="L335" s="158">
        <v>45330</v>
      </c>
    </row>
    <row r="336" spans="1:12">
      <c r="A336" s="154" t="s">
        <v>95</v>
      </c>
      <c r="B336" s="155" t="s">
        <v>6398</v>
      </c>
      <c r="C336" s="133" t="s">
        <v>113</v>
      </c>
      <c r="D336" s="132" t="s">
        <v>6399</v>
      </c>
      <c r="E336" s="132" t="s">
        <v>6400</v>
      </c>
      <c r="F336" s="133" t="s">
        <v>40</v>
      </c>
      <c r="G336" s="156">
        <v>45506.857638888891</v>
      </c>
      <c r="H336" s="156">
        <v>45506.875</v>
      </c>
      <c r="I336" s="165" t="s">
        <v>866</v>
      </c>
      <c r="J336" s="157" t="s">
        <v>61</v>
      </c>
      <c r="K336" s="157"/>
      <c r="L336" s="158"/>
    </row>
    <row r="337" spans="1:12">
      <c r="A337" s="154" t="s">
        <v>20</v>
      </c>
      <c r="B337" s="155" t="s">
        <v>6401</v>
      </c>
      <c r="C337" s="133" t="s">
        <v>21</v>
      </c>
      <c r="D337" s="132" t="s">
        <v>6402</v>
      </c>
      <c r="E337" s="132" t="s">
        <v>5520</v>
      </c>
      <c r="F337" s="133" t="s">
        <v>40</v>
      </c>
      <c r="G337" s="156">
        <v>45506.872916666667</v>
      </c>
      <c r="H337" s="156">
        <v>45506.914583333331</v>
      </c>
      <c r="I337" s="165" t="s">
        <v>52</v>
      </c>
      <c r="J337" s="157" t="s">
        <v>61</v>
      </c>
      <c r="K337" s="157"/>
      <c r="L337" s="158"/>
    </row>
    <row r="338" spans="1:12">
      <c r="A338" s="154" t="s">
        <v>20</v>
      </c>
      <c r="B338" s="159" t="s">
        <v>6403</v>
      </c>
      <c r="C338" s="134" t="s">
        <v>49</v>
      </c>
      <c r="D338" s="132" t="s">
        <v>6404</v>
      </c>
      <c r="E338" s="132" t="s">
        <v>6405</v>
      </c>
      <c r="F338" s="134" t="s">
        <v>40</v>
      </c>
      <c r="G338" s="156">
        <v>45506.967361111114</v>
      </c>
      <c r="H338" s="156">
        <v>45537.132638888892</v>
      </c>
      <c r="I338" s="166" t="s">
        <v>6406</v>
      </c>
      <c r="J338" s="160" t="s">
        <v>61</v>
      </c>
      <c r="K338" s="160"/>
      <c r="L338" s="161"/>
    </row>
    <row r="339" spans="1:12">
      <c r="A339" s="154" t="s">
        <v>20</v>
      </c>
      <c r="B339" s="155" t="s">
        <v>6407</v>
      </c>
      <c r="C339" s="133" t="s">
        <v>21</v>
      </c>
      <c r="D339" s="132" t="s">
        <v>6408</v>
      </c>
      <c r="E339" s="132" t="s">
        <v>5520</v>
      </c>
      <c r="F339" s="133" t="s">
        <v>40</v>
      </c>
      <c r="G339" s="156">
        <v>45506.979861111111</v>
      </c>
      <c r="H339" s="156">
        <v>45537.021527777775</v>
      </c>
      <c r="I339" s="165" t="s">
        <v>52</v>
      </c>
      <c r="J339" s="157" t="s">
        <v>61</v>
      </c>
      <c r="K339" s="157"/>
      <c r="L339" s="158"/>
    </row>
    <row r="340" spans="1:12">
      <c r="A340" s="154" t="s">
        <v>20</v>
      </c>
      <c r="B340" s="155" t="s">
        <v>6409</v>
      </c>
      <c r="C340" s="133" t="s">
        <v>49</v>
      </c>
      <c r="D340" s="132" t="s">
        <v>6410</v>
      </c>
      <c r="E340" s="132" t="s">
        <v>6411</v>
      </c>
      <c r="F340" s="133" t="s">
        <v>40</v>
      </c>
      <c r="G340" s="156">
        <v>45506.975694444445</v>
      </c>
      <c r="H340" s="156">
        <v>45537.132638888892</v>
      </c>
      <c r="I340" s="165" t="s">
        <v>6412</v>
      </c>
      <c r="J340" s="157" t="s">
        <v>61</v>
      </c>
      <c r="K340" s="157"/>
      <c r="L340" s="158"/>
    </row>
    <row r="341" spans="1:12">
      <c r="A341" s="154" t="s">
        <v>20</v>
      </c>
      <c r="B341" s="155" t="s">
        <v>6413</v>
      </c>
      <c r="C341" s="133" t="s">
        <v>21</v>
      </c>
      <c r="D341" s="132" t="s">
        <v>6414</v>
      </c>
      <c r="E341" s="132" t="s">
        <v>5520</v>
      </c>
      <c r="F341" s="133" t="s">
        <v>40</v>
      </c>
      <c r="G341" s="156">
        <v>45506.917361111111</v>
      </c>
      <c r="H341" s="156">
        <v>45506.959027777775</v>
      </c>
      <c r="I341" s="165" t="s">
        <v>52</v>
      </c>
      <c r="J341" s="157" t="s">
        <v>61</v>
      </c>
      <c r="K341" s="157"/>
      <c r="L341" s="158"/>
    </row>
    <row r="342" spans="1:12">
      <c r="A342" s="164" t="s">
        <v>20</v>
      </c>
      <c r="B342" s="155" t="s">
        <v>6415</v>
      </c>
      <c r="C342" s="133" t="s">
        <v>21</v>
      </c>
      <c r="D342" s="132" t="s">
        <v>6416</v>
      </c>
      <c r="E342" s="132" t="s">
        <v>6417</v>
      </c>
      <c r="F342" s="133" t="s">
        <v>40</v>
      </c>
      <c r="G342" s="156">
        <v>45506.918055555558</v>
      </c>
      <c r="H342" s="156">
        <v>45506.959027777775</v>
      </c>
      <c r="I342" s="165" t="s">
        <v>52</v>
      </c>
      <c r="J342" s="157" t="s">
        <v>61</v>
      </c>
      <c r="K342" s="157"/>
      <c r="L342" s="158"/>
    </row>
    <row r="343" spans="1:12">
      <c r="A343" s="154" t="s">
        <v>20</v>
      </c>
      <c r="B343" s="159" t="s">
        <v>6418</v>
      </c>
      <c r="C343" s="134" t="s">
        <v>21</v>
      </c>
      <c r="D343" s="132" t="s">
        <v>6419</v>
      </c>
      <c r="E343" s="132" t="s">
        <v>6420</v>
      </c>
      <c r="F343" s="134" t="s">
        <v>40</v>
      </c>
      <c r="G343" s="156">
        <v>45537.160416666666</v>
      </c>
      <c r="H343" s="156">
        <v>45537.20208333333</v>
      </c>
      <c r="I343" s="166" t="s">
        <v>52</v>
      </c>
      <c r="J343" s="160" t="s">
        <v>61</v>
      </c>
      <c r="K343" s="160"/>
      <c r="L343" s="161"/>
    </row>
    <row r="344" spans="1:12">
      <c r="A344" s="154" t="s">
        <v>95</v>
      </c>
      <c r="B344" s="155" t="s">
        <v>6421</v>
      </c>
      <c r="C344" s="133" t="s">
        <v>97</v>
      </c>
      <c r="D344" s="133" t="s">
        <v>4107</v>
      </c>
      <c r="E344" s="133" t="s">
        <v>6422</v>
      </c>
      <c r="F344" s="133" t="s">
        <v>40</v>
      </c>
      <c r="G344" s="156">
        <v>45537.34375</v>
      </c>
      <c r="H344" s="156">
        <v>45537.347222222219</v>
      </c>
      <c r="I344" s="165" t="s">
        <v>6423</v>
      </c>
      <c r="J344" s="157" t="s">
        <v>72</v>
      </c>
      <c r="K344" s="157"/>
      <c r="L344" s="158"/>
    </row>
    <row r="345" spans="1:12" ht="58">
      <c r="A345" s="154" t="s">
        <v>95</v>
      </c>
      <c r="B345" s="155" t="s">
        <v>6424</v>
      </c>
      <c r="C345" s="133" t="s">
        <v>113</v>
      </c>
      <c r="D345" s="133" t="s">
        <v>6425</v>
      </c>
      <c r="E345" s="135" t="s">
        <v>6426</v>
      </c>
      <c r="F345" s="133" t="s">
        <v>40</v>
      </c>
      <c r="G345" s="156">
        <v>45537.386111111111</v>
      </c>
      <c r="H345" s="156">
        <v>45537.400694444441</v>
      </c>
      <c r="I345" s="165" t="s">
        <v>378</v>
      </c>
      <c r="J345" s="157" t="s">
        <v>72</v>
      </c>
      <c r="K345" s="157"/>
      <c r="L345" s="158"/>
    </row>
    <row r="346" spans="1:12" ht="72.5">
      <c r="A346" s="154" t="s">
        <v>20</v>
      </c>
      <c r="B346" s="155" t="s">
        <v>6427</v>
      </c>
      <c r="C346" s="133" t="s">
        <v>21</v>
      </c>
      <c r="D346" s="133" t="s">
        <v>6428</v>
      </c>
      <c r="E346" s="135" t="s">
        <v>6429</v>
      </c>
      <c r="F346" s="133" t="s">
        <v>40</v>
      </c>
      <c r="G346" s="156">
        <v>45537.426388888889</v>
      </c>
      <c r="H346" s="156">
        <v>45537.511111111111</v>
      </c>
      <c r="I346" s="165" t="s">
        <v>32</v>
      </c>
      <c r="J346" s="157" t="s">
        <v>72</v>
      </c>
      <c r="K346" s="157"/>
      <c r="L346" s="158"/>
    </row>
    <row r="347" spans="1:12" ht="43.5">
      <c r="A347" s="154" t="s">
        <v>95</v>
      </c>
      <c r="B347" s="155" t="s">
        <v>6430</v>
      </c>
      <c r="C347" s="133" t="s">
        <v>113</v>
      </c>
      <c r="D347" s="133" t="s">
        <v>6431</v>
      </c>
      <c r="E347" s="135" t="s">
        <v>6432</v>
      </c>
      <c r="F347" s="133" t="s">
        <v>40</v>
      </c>
      <c r="G347" s="156">
        <v>45537.418749999997</v>
      </c>
      <c r="H347" s="156">
        <v>45537.460416666669</v>
      </c>
      <c r="I347" s="165" t="s">
        <v>6433</v>
      </c>
      <c r="J347" s="157" t="s">
        <v>72</v>
      </c>
      <c r="K347" s="157"/>
      <c r="L347" s="158"/>
    </row>
    <row r="348" spans="1:12">
      <c r="A348" s="154" t="s">
        <v>95</v>
      </c>
      <c r="B348" s="155" t="s">
        <v>6434</v>
      </c>
      <c r="C348" s="133" t="s">
        <v>97</v>
      </c>
      <c r="D348" s="133" t="s">
        <v>6435</v>
      </c>
      <c r="E348" s="133" t="s">
        <v>6436</v>
      </c>
      <c r="F348" s="133" t="s">
        <v>40</v>
      </c>
      <c r="G348" s="156">
        <v>45537.478472222225</v>
      </c>
      <c r="H348" s="156">
        <v>45537.5</v>
      </c>
      <c r="I348" s="165" t="s">
        <v>6423</v>
      </c>
      <c r="J348" s="157" t="s">
        <v>72</v>
      </c>
      <c r="K348" s="157"/>
      <c r="L348" s="158"/>
    </row>
    <row r="349" spans="1:12">
      <c r="A349" s="154" t="s">
        <v>20</v>
      </c>
      <c r="B349" s="155" t="s">
        <v>6437</v>
      </c>
      <c r="C349" s="133" t="s">
        <v>21</v>
      </c>
      <c r="D349" s="132" t="s">
        <v>6438</v>
      </c>
      <c r="E349" s="133" t="s">
        <v>6439</v>
      </c>
      <c r="F349" s="133" t="s">
        <v>40</v>
      </c>
      <c r="G349" s="156">
        <v>45537.908333333333</v>
      </c>
      <c r="H349" s="156">
        <v>45567.033333333333</v>
      </c>
      <c r="I349" s="165" t="s">
        <v>52</v>
      </c>
      <c r="J349" s="157" t="s">
        <v>61</v>
      </c>
      <c r="K349" s="157"/>
      <c r="L349" s="158"/>
    </row>
    <row r="350" spans="1:12">
      <c r="A350" s="154" t="s">
        <v>20</v>
      </c>
      <c r="B350" s="155" t="s">
        <v>6440</v>
      </c>
      <c r="C350" s="133" t="s">
        <v>21</v>
      </c>
      <c r="D350" s="132" t="s">
        <v>6441</v>
      </c>
      <c r="E350" s="133" t="s">
        <v>6420</v>
      </c>
      <c r="F350" s="133" t="s">
        <v>40</v>
      </c>
      <c r="G350" s="156">
        <v>45537.927083333336</v>
      </c>
      <c r="H350" s="156">
        <v>45537.96875</v>
      </c>
      <c r="I350" s="165" t="s">
        <v>52</v>
      </c>
      <c r="J350" s="157" t="s">
        <v>61</v>
      </c>
      <c r="K350" s="157"/>
      <c r="L350" s="158"/>
    </row>
    <row r="351" spans="1:12">
      <c r="A351" s="154" t="s">
        <v>20</v>
      </c>
      <c r="B351" s="155" t="s">
        <v>6442</v>
      </c>
      <c r="C351" s="133" t="s">
        <v>21</v>
      </c>
      <c r="D351" s="132" t="s">
        <v>6443</v>
      </c>
      <c r="E351" s="132" t="s">
        <v>6420</v>
      </c>
      <c r="F351" s="133" t="s">
        <v>40</v>
      </c>
      <c r="G351" s="156">
        <v>45537.972222222219</v>
      </c>
      <c r="H351" s="156">
        <v>45567.013888888891</v>
      </c>
      <c r="I351" s="165" t="s">
        <v>52</v>
      </c>
      <c r="J351" s="157" t="s">
        <v>61</v>
      </c>
      <c r="K351" s="157"/>
      <c r="L351" s="158"/>
    </row>
    <row r="352" spans="1:12">
      <c r="A352" s="154" t="s">
        <v>20</v>
      </c>
      <c r="B352" s="155" t="s">
        <v>6444</v>
      </c>
      <c r="C352" s="133" t="s">
        <v>21</v>
      </c>
      <c r="D352" s="132" t="s">
        <v>6445</v>
      </c>
      <c r="E352" s="132" t="s">
        <v>6446</v>
      </c>
      <c r="F352" s="133" t="s">
        <v>40</v>
      </c>
      <c r="G352" s="156">
        <v>45537.986111111109</v>
      </c>
      <c r="H352" s="156">
        <v>45567.027777777781</v>
      </c>
      <c r="I352" s="165" t="s">
        <v>6447</v>
      </c>
      <c r="J352" s="157" t="s">
        <v>61</v>
      </c>
      <c r="K352" s="157"/>
      <c r="L352" s="158"/>
    </row>
    <row r="353" spans="1:12">
      <c r="A353" s="154" t="s">
        <v>20</v>
      </c>
      <c r="B353" s="155" t="s">
        <v>6448</v>
      </c>
      <c r="C353" s="133" t="s">
        <v>21</v>
      </c>
      <c r="D353" s="132" t="s">
        <v>6449</v>
      </c>
      <c r="E353" s="132" t="s">
        <v>6446</v>
      </c>
      <c r="F353" s="133" t="s">
        <v>40</v>
      </c>
      <c r="G353" s="156">
        <v>45567.00277777778</v>
      </c>
      <c r="H353" s="156">
        <v>45567.044444444444</v>
      </c>
      <c r="I353" s="165" t="s">
        <v>52</v>
      </c>
      <c r="J353" s="157" t="s">
        <v>61</v>
      </c>
      <c r="K353" s="157"/>
      <c r="L353" s="158"/>
    </row>
    <row r="354" spans="1:12">
      <c r="A354" s="154" t="s">
        <v>20</v>
      </c>
      <c r="B354" s="155" t="s">
        <v>6450</v>
      </c>
      <c r="C354" s="133" t="s">
        <v>21</v>
      </c>
      <c r="D354" s="132" t="s">
        <v>6451</v>
      </c>
      <c r="E354" s="133" t="s">
        <v>6452</v>
      </c>
      <c r="F354" s="133" t="s">
        <v>40</v>
      </c>
      <c r="G354" s="156">
        <v>45567.067361111112</v>
      </c>
      <c r="H354" s="156">
        <v>45567.109027777777</v>
      </c>
      <c r="I354" s="165" t="s">
        <v>52</v>
      </c>
      <c r="J354" s="157" t="s">
        <v>61</v>
      </c>
      <c r="K354" s="157"/>
      <c r="L354" s="158"/>
    </row>
    <row r="355" spans="1:12">
      <c r="A355" s="154" t="s">
        <v>20</v>
      </c>
      <c r="B355" s="155" t="s">
        <v>6453</v>
      </c>
      <c r="C355" s="133" t="s">
        <v>21</v>
      </c>
      <c r="D355" s="132" t="s">
        <v>6454</v>
      </c>
      <c r="E355" s="132" t="s">
        <v>6455</v>
      </c>
      <c r="F355" s="133" t="s">
        <v>40</v>
      </c>
      <c r="G355" s="156">
        <v>45567.247916666667</v>
      </c>
      <c r="H355" s="156">
        <v>45567.247916666667</v>
      </c>
      <c r="I355" s="165" t="s">
        <v>52</v>
      </c>
      <c r="J355" s="157" t="s">
        <v>61</v>
      </c>
      <c r="K355" s="157"/>
      <c r="L355" s="158"/>
    </row>
    <row r="356" spans="1:12">
      <c r="A356" s="154" t="s">
        <v>20</v>
      </c>
      <c r="B356" s="155" t="s">
        <v>6456</v>
      </c>
      <c r="C356" s="133" t="s">
        <v>21</v>
      </c>
      <c r="D356" s="132" t="s">
        <v>6457</v>
      </c>
      <c r="E356" s="133" t="s">
        <v>6458</v>
      </c>
      <c r="F356" s="133" t="s">
        <v>40</v>
      </c>
      <c r="G356" s="156">
        <v>45567.067361111112</v>
      </c>
      <c r="H356" s="156">
        <v>45567.067361111112</v>
      </c>
      <c r="I356" s="165" t="s">
        <v>6459</v>
      </c>
      <c r="J356" s="157" t="s">
        <v>72</v>
      </c>
      <c r="K356" s="157"/>
      <c r="L356" s="158"/>
    </row>
    <row r="357" spans="1:12">
      <c r="A357" s="154" t="s">
        <v>95</v>
      </c>
      <c r="B357" s="155" t="s">
        <v>6460</v>
      </c>
      <c r="C357" s="133" t="s">
        <v>113</v>
      </c>
      <c r="D357" s="132" t="s">
        <v>6461</v>
      </c>
      <c r="F357" s="133" t="s">
        <v>40</v>
      </c>
      <c r="G357" s="156">
        <v>45567.56527777778</v>
      </c>
      <c r="H357" s="156">
        <v>45567.620833333334</v>
      </c>
      <c r="I357" s="165" t="s">
        <v>6462</v>
      </c>
      <c r="J357" s="157" t="s">
        <v>72</v>
      </c>
      <c r="K357" s="157" t="s">
        <v>61</v>
      </c>
      <c r="L357" s="158"/>
    </row>
    <row r="358" spans="1:12" ht="43.5">
      <c r="A358" s="164" t="s">
        <v>20</v>
      </c>
      <c r="B358" s="155" t="s">
        <v>6463</v>
      </c>
      <c r="C358" s="133" t="s">
        <v>13</v>
      </c>
      <c r="D358" s="132" t="s">
        <v>6464</v>
      </c>
      <c r="E358" s="137" t="s">
        <v>6465</v>
      </c>
      <c r="F358" s="133" t="s">
        <v>40</v>
      </c>
      <c r="G358" s="156">
        <v>45567.067361111112</v>
      </c>
      <c r="H358" s="156">
        <v>45567.067361111112</v>
      </c>
      <c r="I358" s="165" t="s">
        <v>149</v>
      </c>
      <c r="J358" s="157" t="s">
        <v>72</v>
      </c>
      <c r="K358" s="157"/>
      <c r="L358" s="158"/>
    </row>
    <row r="359" spans="1:12">
      <c r="A359" s="154" t="s">
        <v>20</v>
      </c>
      <c r="B359" s="159" t="s">
        <v>6466</v>
      </c>
      <c r="C359" s="134" t="s">
        <v>49</v>
      </c>
      <c r="D359" s="132" t="s">
        <v>6467</v>
      </c>
      <c r="E359" s="134" t="s">
        <v>6468</v>
      </c>
      <c r="F359" s="134" t="s">
        <v>40</v>
      </c>
      <c r="G359" s="156">
        <v>45567.840277777781</v>
      </c>
      <c r="H359" s="156">
        <v>45567.881944444445</v>
      </c>
      <c r="I359" s="166" t="s">
        <v>2663</v>
      </c>
      <c r="J359" s="160" t="s">
        <v>61</v>
      </c>
      <c r="K359" s="160"/>
      <c r="L359" s="161"/>
    </row>
    <row r="360" spans="1:12">
      <c r="A360" s="154" t="s">
        <v>95</v>
      </c>
      <c r="B360" s="155" t="s">
        <v>6469</v>
      </c>
      <c r="C360" s="133" t="s">
        <v>118</v>
      </c>
      <c r="D360" s="132" t="s">
        <v>6470</v>
      </c>
      <c r="E360" s="132" t="s">
        <v>6471</v>
      </c>
      <c r="F360" s="133" t="s">
        <v>40</v>
      </c>
      <c r="G360" s="156">
        <v>45567.865277777775</v>
      </c>
      <c r="H360" s="156">
        <v>45567.906944444447</v>
      </c>
      <c r="I360" s="165" t="s">
        <v>4907</v>
      </c>
      <c r="J360" s="157" t="s">
        <v>61</v>
      </c>
      <c r="K360" s="157"/>
      <c r="L360" s="158"/>
    </row>
    <row r="361" spans="1:12">
      <c r="A361" s="154" t="s">
        <v>20</v>
      </c>
      <c r="B361" s="155" t="s">
        <v>6472</v>
      </c>
      <c r="C361" s="133" t="s">
        <v>21</v>
      </c>
      <c r="D361" s="132" t="s">
        <v>6473</v>
      </c>
      <c r="E361" s="133" t="s">
        <v>2521</v>
      </c>
      <c r="F361" s="133" t="s">
        <v>40</v>
      </c>
      <c r="G361" s="156">
        <v>45567.924305555556</v>
      </c>
      <c r="H361" s="156">
        <v>45598</v>
      </c>
      <c r="I361" s="165" t="s">
        <v>52</v>
      </c>
      <c r="J361" s="157" t="s">
        <v>61</v>
      </c>
      <c r="K361" s="157"/>
      <c r="L361" s="158"/>
    </row>
    <row r="362" spans="1:12">
      <c r="A362" s="154" t="s">
        <v>95</v>
      </c>
      <c r="B362" s="155" t="s">
        <v>6474</v>
      </c>
      <c r="C362" s="133" t="s">
        <v>113</v>
      </c>
      <c r="D362" s="133" t="s">
        <v>6475</v>
      </c>
      <c r="E362" s="133" t="s">
        <v>6476</v>
      </c>
      <c r="F362" s="133" t="s">
        <v>40</v>
      </c>
      <c r="G362" s="156">
        <v>45598</v>
      </c>
      <c r="H362" s="156">
        <v>45598.041666666664</v>
      </c>
      <c r="I362" s="165" t="s">
        <v>866</v>
      </c>
      <c r="J362" s="157" t="s">
        <v>61</v>
      </c>
      <c r="K362" s="157"/>
      <c r="L362" s="158"/>
    </row>
    <row r="363" spans="1:12">
      <c r="A363" s="154" t="s">
        <v>20</v>
      </c>
      <c r="B363" s="155" t="s">
        <v>6477</v>
      </c>
      <c r="C363" s="133" t="s">
        <v>21</v>
      </c>
      <c r="D363" s="133" t="s">
        <v>6478</v>
      </c>
      <c r="E363" s="133" t="s">
        <v>6479</v>
      </c>
      <c r="F363" s="133" t="s">
        <v>40</v>
      </c>
      <c r="G363" s="156">
        <v>45598.156944444447</v>
      </c>
      <c r="H363" s="156">
        <v>45598.198611111111</v>
      </c>
      <c r="I363" s="165" t="s">
        <v>52</v>
      </c>
      <c r="J363" s="157" t="s">
        <v>61</v>
      </c>
      <c r="K363" s="157"/>
      <c r="L363" s="158"/>
    </row>
    <row r="364" spans="1:12">
      <c r="A364" s="154" t="s">
        <v>95</v>
      </c>
      <c r="B364" s="155" t="s">
        <v>6480</v>
      </c>
      <c r="C364" s="133" t="s">
        <v>113</v>
      </c>
      <c r="D364" s="133" t="s">
        <v>6425</v>
      </c>
      <c r="E364" s="133" t="s">
        <v>6481</v>
      </c>
      <c r="F364" s="133" t="s">
        <v>40</v>
      </c>
      <c r="G364" s="156">
        <v>45598.397916666669</v>
      </c>
      <c r="H364" s="156">
        <v>45598.48333333333</v>
      </c>
      <c r="I364" s="165" t="s">
        <v>2951</v>
      </c>
      <c r="J364" s="157" t="s">
        <v>72</v>
      </c>
      <c r="K364" s="157"/>
      <c r="L364" s="158"/>
    </row>
    <row r="365" spans="1:12" ht="43.5">
      <c r="A365" s="154" t="s">
        <v>20</v>
      </c>
      <c r="B365" s="155" t="s">
        <v>6482</v>
      </c>
      <c r="C365" s="133" t="s">
        <v>49</v>
      </c>
      <c r="D365" s="133" t="s">
        <v>6483</v>
      </c>
      <c r="E365" s="135" t="s">
        <v>6484</v>
      </c>
      <c r="F365" s="133" t="s">
        <v>40</v>
      </c>
      <c r="G365" s="156">
        <v>45598.556944444441</v>
      </c>
      <c r="H365" s="156">
        <v>45598.556944444441</v>
      </c>
      <c r="I365" s="165" t="s">
        <v>498</v>
      </c>
      <c r="J365" s="157" t="s">
        <v>72</v>
      </c>
      <c r="K365" s="157"/>
      <c r="L365" s="158"/>
    </row>
    <row r="366" spans="1:12">
      <c r="A366" s="154" t="s">
        <v>106</v>
      </c>
      <c r="B366" s="155" t="s">
        <v>6485</v>
      </c>
      <c r="C366" s="133" t="s">
        <v>108</v>
      </c>
      <c r="D366" s="133" t="s">
        <v>2838</v>
      </c>
      <c r="E366" s="133" t="s">
        <v>4094</v>
      </c>
      <c r="F366" s="133" t="s">
        <v>40</v>
      </c>
      <c r="G366" s="156">
        <v>45598.6</v>
      </c>
      <c r="H366" s="156">
        <v>45598.635416666664</v>
      </c>
      <c r="I366" s="165" t="s">
        <v>32</v>
      </c>
      <c r="J366" s="157" t="s">
        <v>72</v>
      </c>
      <c r="K366" s="157"/>
      <c r="L366" s="158"/>
    </row>
    <row r="367" spans="1:12">
      <c r="A367" s="154" t="s">
        <v>20</v>
      </c>
      <c r="B367" s="155" t="s">
        <v>6486</v>
      </c>
      <c r="C367" s="133" t="s">
        <v>13</v>
      </c>
      <c r="D367" s="133" t="s">
        <v>6487</v>
      </c>
      <c r="E367" s="133" t="s">
        <v>276</v>
      </c>
      <c r="F367" s="133" t="s">
        <v>40</v>
      </c>
      <c r="G367" s="156">
        <v>45598.638888888891</v>
      </c>
      <c r="I367" s="165" t="s">
        <v>149</v>
      </c>
      <c r="J367" s="157" t="s">
        <v>72</v>
      </c>
      <c r="K367" s="157"/>
      <c r="L367" s="158"/>
    </row>
    <row r="368" spans="1:12">
      <c r="A368" s="154" t="s">
        <v>95</v>
      </c>
      <c r="B368" s="155" t="s">
        <v>6488</v>
      </c>
      <c r="C368" s="133" t="s">
        <v>21</v>
      </c>
      <c r="D368" s="132" t="s">
        <v>6489</v>
      </c>
      <c r="E368" s="132" t="s">
        <v>6490</v>
      </c>
      <c r="F368" s="133" t="s">
        <v>40</v>
      </c>
      <c r="G368" s="156">
        <v>45598.861111111109</v>
      </c>
      <c r="H368" s="156">
        <v>45598.902777777781</v>
      </c>
      <c r="I368" s="165" t="s">
        <v>4907</v>
      </c>
      <c r="J368" s="157" t="s">
        <v>61</v>
      </c>
      <c r="K368" s="157"/>
      <c r="L368" s="158"/>
    </row>
    <row r="369" spans="1:12">
      <c r="A369" s="154" t="s">
        <v>95</v>
      </c>
      <c r="B369" s="155" t="s">
        <v>6491</v>
      </c>
      <c r="C369" s="133" t="s">
        <v>113</v>
      </c>
      <c r="D369" s="132" t="s">
        <v>6492</v>
      </c>
      <c r="E369" s="132" t="s">
        <v>6493</v>
      </c>
      <c r="F369" s="133" t="s">
        <v>40</v>
      </c>
      <c r="G369" s="156">
        <v>45598.956250000003</v>
      </c>
      <c r="H369" s="156">
        <v>45598.997916666667</v>
      </c>
      <c r="I369" s="165" t="s">
        <v>6494</v>
      </c>
      <c r="J369" s="157" t="s">
        <v>61</v>
      </c>
      <c r="K369" s="157"/>
      <c r="L369" s="158"/>
    </row>
    <row r="370" spans="1:12" hidden="1">
      <c r="A370" s="154" t="s">
        <v>20</v>
      </c>
      <c r="B370" s="155" t="s">
        <v>6495</v>
      </c>
      <c r="C370" s="133" t="s">
        <v>13</v>
      </c>
      <c r="D370" s="132" t="s">
        <v>6496</v>
      </c>
      <c r="E370" s="132" t="s">
        <v>6497</v>
      </c>
      <c r="F370" s="133" t="s">
        <v>308</v>
      </c>
      <c r="G370" s="156">
        <v>45628.038888888892</v>
      </c>
      <c r="H370" s="156">
        <v>45628.080555555556</v>
      </c>
      <c r="I370" s="165" t="s">
        <v>2902</v>
      </c>
      <c r="J370" s="157" t="s">
        <v>61</v>
      </c>
      <c r="K370" s="157"/>
      <c r="L370" s="158"/>
    </row>
    <row r="371" spans="1:12">
      <c r="A371" s="154" t="s">
        <v>20</v>
      </c>
      <c r="B371" s="155" t="s">
        <v>6498</v>
      </c>
      <c r="C371" s="133" t="s">
        <v>21</v>
      </c>
      <c r="D371" s="132" t="s">
        <v>6499</v>
      </c>
      <c r="E371" s="132" t="s">
        <v>6500</v>
      </c>
      <c r="F371" s="133" t="s">
        <v>40</v>
      </c>
      <c r="G371" s="156">
        <v>45598.493055555555</v>
      </c>
      <c r="H371" s="156">
        <v>45628.034722222219</v>
      </c>
      <c r="I371" s="165" t="s">
        <v>52</v>
      </c>
      <c r="J371" s="157" t="s">
        <v>61</v>
      </c>
      <c r="K371" s="157"/>
      <c r="L371" s="158"/>
    </row>
    <row r="372" spans="1:12">
      <c r="A372" s="154" t="s">
        <v>20</v>
      </c>
      <c r="B372" s="155" t="s">
        <v>6501</v>
      </c>
      <c r="C372" s="133" t="s">
        <v>21</v>
      </c>
      <c r="D372" s="132" t="s">
        <v>6502</v>
      </c>
      <c r="E372" s="132" t="s">
        <v>6500</v>
      </c>
      <c r="F372" s="133" t="s">
        <v>40</v>
      </c>
      <c r="G372" s="156">
        <v>45598.493055555555</v>
      </c>
      <c r="H372" s="156">
        <v>45628.034722222219</v>
      </c>
      <c r="I372" s="165" t="s">
        <v>52</v>
      </c>
      <c r="J372" s="157" t="s">
        <v>61</v>
      </c>
      <c r="K372" s="157"/>
      <c r="L372" s="158"/>
    </row>
    <row r="373" spans="1:12">
      <c r="A373" s="154" t="s">
        <v>20</v>
      </c>
      <c r="B373" s="155" t="s">
        <v>6503</v>
      </c>
      <c r="C373" s="133" t="s">
        <v>21</v>
      </c>
      <c r="D373" s="132" t="s">
        <v>6504</v>
      </c>
      <c r="E373" s="132" t="s">
        <v>6505</v>
      </c>
      <c r="F373" s="133" t="s">
        <v>40</v>
      </c>
      <c r="G373" s="156">
        <v>45598.495833333334</v>
      </c>
      <c r="H373" s="156">
        <v>45628.034722222219</v>
      </c>
      <c r="I373" s="165" t="s">
        <v>6506</v>
      </c>
      <c r="J373" s="157" t="s">
        <v>61</v>
      </c>
      <c r="K373" s="157"/>
      <c r="L373" s="158"/>
    </row>
    <row r="374" spans="1:12">
      <c r="A374" s="154" t="s">
        <v>20</v>
      </c>
      <c r="B374" s="155" t="s">
        <v>6507</v>
      </c>
      <c r="C374" s="133" t="s">
        <v>21</v>
      </c>
      <c r="D374" s="132" t="s">
        <v>6508</v>
      </c>
      <c r="E374" s="132" t="s">
        <v>6509</v>
      </c>
      <c r="F374" s="133" t="s">
        <v>40</v>
      </c>
      <c r="G374" s="156">
        <v>45598.495833333334</v>
      </c>
      <c r="H374" s="156">
        <v>45628.034722222219</v>
      </c>
      <c r="I374" s="165" t="s">
        <v>6506</v>
      </c>
      <c r="J374" s="157" t="s">
        <v>61</v>
      </c>
      <c r="K374" s="157"/>
      <c r="L374" s="158"/>
    </row>
    <row r="375" spans="1:12">
      <c r="A375" s="154" t="s">
        <v>20</v>
      </c>
      <c r="B375" s="155" t="s">
        <v>6510</v>
      </c>
      <c r="C375" s="133" t="s">
        <v>21</v>
      </c>
      <c r="D375" s="132" t="s">
        <v>6511</v>
      </c>
      <c r="E375" s="132" t="s">
        <v>6512</v>
      </c>
      <c r="F375" s="133" t="s">
        <v>40</v>
      </c>
      <c r="G375" s="156">
        <v>45628.000694444447</v>
      </c>
      <c r="H375" s="156">
        <v>45628.042361111111</v>
      </c>
      <c r="I375" s="165" t="s">
        <v>6506</v>
      </c>
      <c r="J375" s="157" t="s">
        <v>61</v>
      </c>
      <c r="K375" s="157"/>
      <c r="L375" s="158"/>
    </row>
    <row r="376" spans="1:12">
      <c r="A376" s="154" t="s">
        <v>20</v>
      </c>
      <c r="B376" s="155" t="s">
        <v>6513</v>
      </c>
      <c r="C376" s="133" t="s">
        <v>21</v>
      </c>
      <c r="D376" s="132" t="s">
        <v>6514</v>
      </c>
      <c r="E376" s="132" t="s">
        <v>6515</v>
      </c>
      <c r="F376" s="133" t="s">
        <v>40</v>
      </c>
      <c r="G376" s="156">
        <v>45628.15902777778</v>
      </c>
      <c r="H376" s="156">
        <v>45628.200694444444</v>
      </c>
      <c r="I376" s="165" t="s">
        <v>6506</v>
      </c>
      <c r="J376" s="157" t="s">
        <v>61</v>
      </c>
      <c r="K376" s="157"/>
      <c r="L376" s="158"/>
    </row>
    <row r="377" spans="1:12">
      <c r="A377" s="154" t="s">
        <v>20</v>
      </c>
      <c r="B377" s="155" t="s">
        <v>6516</v>
      </c>
      <c r="C377" s="133" t="s">
        <v>21</v>
      </c>
      <c r="D377" s="132" t="s">
        <v>6517</v>
      </c>
      <c r="E377" s="132" t="s">
        <v>6515</v>
      </c>
      <c r="F377" s="133" t="s">
        <v>40</v>
      </c>
      <c r="G377" s="156">
        <v>45628.15902777778</v>
      </c>
      <c r="H377" s="156">
        <v>45628.200694444444</v>
      </c>
      <c r="I377" s="165" t="s">
        <v>6506</v>
      </c>
      <c r="J377" s="157" t="s">
        <v>61</v>
      </c>
      <c r="K377" s="157"/>
      <c r="L377" s="158"/>
    </row>
    <row r="378" spans="1:12">
      <c r="A378" s="154" t="s">
        <v>20</v>
      </c>
      <c r="B378" s="155" t="s">
        <v>6518</v>
      </c>
      <c r="C378" s="133" t="s">
        <v>21</v>
      </c>
      <c r="D378" s="132" t="s">
        <v>6519</v>
      </c>
      <c r="E378" s="132" t="s">
        <v>6515</v>
      </c>
      <c r="F378" s="133" t="s">
        <v>40</v>
      </c>
      <c r="G378" s="156">
        <v>45628.15902777778</v>
      </c>
      <c r="H378" s="156">
        <v>45628.200694444444</v>
      </c>
      <c r="I378" s="165" t="s">
        <v>52</v>
      </c>
      <c r="J378" s="157" t="s">
        <v>61</v>
      </c>
      <c r="K378" s="157"/>
      <c r="L378" s="158"/>
    </row>
    <row r="379" spans="1:12">
      <c r="A379" s="154" t="s">
        <v>20</v>
      </c>
      <c r="B379" s="155" t="s">
        <v>6520</v>
      </c>
      <c r="C379" s="133" t="s">
        <v>21</v>
      </c>
      <c r="D379" s="132" t="s">
        <v>6521</v>
      </c>
      <c r="E379" s="132" t="s">
        <v>6522</v>
      </c>
      <c r="F379" s="133" t="s">
        <v>40</v>
      </c>
      <c r="G379" s="156">
        <v>45628.15902777778</v>
      </c>
      <c r="H379" s="156">
        <v>45628.200694444444</v>
      </c>
      <c r="I379" s="165" t="s">
        <v>52</v>
      </c>
      <c r="J379" s="157" t="s">
        <v>61</v>
      </c>
      <c r="K379" s="157"/>
      <c r="L379" s="158"/>
    </row>
    <row r="380" spans="1:12">
      <c r="A380" s="154" t="s">
        <v>106</v>
      </c>
      <c r="B380" s="155" t="s">
        <v>6523</v>
      </c>
      <c r="C380" s="133" t="s">
        <v>108</v>
      </c>
      <c r="D380" s="133" t="s">
        <v>6524</v>
      </c>
      <c r="E380" s="133" t="s">
        <v>6525</v>
      </c>
      <c r="F380" s="133" t="s">
        <v>40</v>
      </c>
      <c r="G380" s="156">
        <v>45628.50277777778</v>
      </c>
      <c r="H380" s="156">
        <v>45628.511805555558</v>
      </c>
      <c r="I380" s="165" t="s">
        <v>616</v>
      </c>
      <c r="J380" s="157" t="s">
        <v>72</v>
      </c>
      <c r="K380" s="157"/>
      <c r="L380" s="158"/>
    </row>
    <row r="381" spans="1:12">
      <c r="A381" s="154" t="s">
        <v>106</v>
      </c>
      <c r="B381" s="155" t="s">
        <v>6526</v>
      </c>
      <c r="C381" s="133" t="s">
        <v>78</v>
      </c>
      <c r="D381" s="133" t="s">
        <v>6527</v>
      </c>
      <c r="E381" s="133"/>
      <c r="F381" s="133" t="s">
        <v>40</v>
      </c>
      <c r="G381" s="156">
        <v>45628.688888888886</v>
      </c>
      <c r="I381" s="165" t="s">
        <v>514</v>
      </c>
      <c r="J381" s="157" t="s">
        <v>72</v>
      </c>
      <c r="K381" s="157"/>
      <c r="L381" s="158"/>
    </row>
    <row r="382" spans="1:12">
      <c r="A382" s="154" t="s">
        <v>106</v>
      </c>
      <c r="B382" s="155" t="s">
        <v>6528</v>
      </c>
      <c r="C382" s="133" t="s">
        <v>333</v>
      </c>
      <c r="D382" s="133" t="s">
        <v>6529</v>
      </c>
      <c r="E382" s="133"/>
      <c r="F382" s="133" t="s">
        <v>40</v>
      </c>
      <c r="G382" s="156">
        <v>45628.739583333336</v>
      </c>
      <c r="I382" s="165" t="s">
        <v>6530</v>
      </c>
      <c r="J382" s="157" t="s">
        <v>72</v>
      </c>
      <c r="K382" s="157"/>
      <c r="L382" s="158"/>
    </row>
    <row r="383" spans="1:12">
      <c r="A383" s="154" t="s">
        <v>106</v>
      </c>
      <c r="B383" s="155" t="s">
        <v>6531</v>
      </c>
      <c r="C383" s="133" t="s">
        <v>333</v>
      </c>
      <c r="D383" s="133" t="s">
        <v>5310</v>
      </c>
      <c r="E383" s="133" t="s">
        <v>276</v>
      </c>
      <c r="F383" s="133" t="s">
        <v>40</v>
      </c>
      <c r="G383" s="156">
        <v>45628.691666666666</v>
      </c>
      <c r="H383" s="156">
        <v>45628.747916666667</v>
      </c>
      <c r="I383" s="165" t="s">
        <v>346</v>
      </c>
      <c r="J383" s="157" t="s">
        <v>72</v>
      </c>
      <c r="K383" s="157"/>
      <c r="L383" s="158"/>
    </row>
    <row r="384" spans="1:12" hidden="1">
      <c r="A384" s="154" t="s">
        <v>20</v>
      </c>
      <c r="B384" s="155" t="s">
        <v>6532</v>
      </c>
      <c r="C384" s="133" t="s">
        <v>13</v>
      </c>
      <c r="D384" s="132" t="s">
        <v>6533</v>
      </c>
      <c r="E384" s="133" t="s">
        <v>6534</v>
      </c>
      <c r="F384" s="133" t="s">
        <v>214</v>
      </c>
      <c r="G384" s="156">
        <v>45628.981249999997</v>
      </c>
      <c r="I384" s="165" t="s">
        <v>6535</v>
      </c>
      <c r="J384" s="157" t="s">
        <v>61</v>
      </c>
      <c r="K384" s="157" t="s">
        <v>72</v>
      </c>
      <c r="L384" s="156" t="s">
        <v>6536</v>
      </c>
    </row>
    <row r="385" spans="1:12">
      <c r="A385" s="154" t="s">
        <v>20</v>
      </c>
      <c r="B385" s="155" t="s">
        <v>6537</v>
      </c>
      <c r="C385" s="133" t="s">
        <v>21</v>
      </c>
      <c r="D385" s="132" t="s">
        <v>6538</v>
      </c>
      <c r="E385" s="132" t="s">
        <v>6539</v>
      </c>
      <c r="F385" s="133" t="s">
        <v>40</v>
      </c>
      <c r="G385" s="156">
        <v>45628.9375</v>
      </c>
      <c r="H385" s="156" t="s">
        <v>6540</v>
      </c>
      <c r="I385" s="165" t="s">
        <v>52</v>
      </c>
      <c r="J385" s="157" t="s">
        <v>61</v>
      </c>
      <c r="K385" s="157"/>
      <c r="L385" s="158"/>
    </row>
    <row r="386" spans="1:12">
      <c r="A386" s="154" t="s">
        <v>20</v>
      </c>
      <c r="B386" s="155" t="s">
        <v>6541</v>
      </c>
      <c r="C386" s="133" t="s">
        <v>21</v>
      </c>
      <c r="D386" s="132" t="s">
        <v>6542</v>
      </c>
      <c r="E386" s="133" t="s">
        <v>6543</v>
      </c>
      <c r="F386" s="133" t="s">
        <v>40</v>
      </c>
      <c r="G386" s="156">
        <v>45628.979166666664</v>
      </c>
      <c r="H386" s="156">
        <v>45628.979166666664</v>
      </c>
      <c r="I386" s="165" t="s">
        <v>52</v>
      </c>
      <c r="J386" s="157" t="s">
        <v>61</v>
      </c>
      <c r="K386" s="157"/>
      <c r="L386" s="158"/>
    </row>
    <row r="387" spans="1:12">
      <c r="A387" s="154" t="s">
        <v>20</v>
      </c>
      <c r="B387" s="155" t="s">
        <v>6544</v>
      </c>
      <c r="C387" s="133" t="s">
        <v>21</v>
      </c>
      <c r="D387" s="132" t="s">
        <v>6545</v>
      </c>
      <c r="E387" s="133" t="s">
        <v>6543</v>
      </c>
      <c r="F387" s="133" t="s">
        <v>40</v>
      </c>
      <c r="G387" s="156">
        <v>45628.979166666664</v>
      </c>
      <c r="H387" s="156">
        <v>45628.979166666664</v>
      </c>
      <c r="I387" s="165" t="s">
        <v>52</v>
      </c>
      <c r="J387" s="157" t="s">
        <v>61</v>
      </c>
      <c r="K387" s="157"/>
      <c r="L387" s="158"/>
    </row>
    <row r="388" spans="1:12">
      <c r="A388" s="154" t="s">
        <v>106</v>
      </c>
      <c r="B388" s="155" t="s">
        <v>6546</v>
      </c>
      <c r="C388" s="133" t="s">
        <v>333</v>
      </c>
      <c r="D388" s="133" t="s">
        <v>6547</v>
      </c>
      <c r="E388" s="133" t="s">
        <v>6548</v>
      </c>
      <c r="F388" s="133" t="s">
        <v>40</v>
      </c>
      <c r="G388" s="156">
        <v>45335.388888888891</v>
      </c>
      <c r="H388" s="156">
        <v>45335.793055555558</v>
      </c>
      <c r="I388" s="165" t="s">
        <v>346</v>
      </c>
      <c r="J388" s="157" t="s">
        <v>72</v>
      </c>
      <c r="K388" s="157"/>
      <c r="L388" s="158"/>
    </row>
    <row r="389" spans="1:12">
      <c r="A389" s="154" t="s">
        <v>106</v>
      </c>
      <c r="B389" s="155" t="s">
        <v>6549</v>
      </c>
      <c r="C389" s="133" t="s">
        <v>108</v>
      </c>
      <c r="D389" s="133" t="s">
        <v>6550</v>
      </c>
      <c r="E389" s="133" t="s">
        <v>6551</v>
      </c>
      <c r="F389" s="133" t="s">
        <v>40</v>
      </c>
      <c r="G389" s="156">
        <v>45335.422222222223</v>
      </c>
      <c r="H389" s="156">
        <v>45335.448611111111</v>
      </c>
      <c r="I389" s="165" t="s">
        <v>946</v>
      </c>
      <c r="J389" s="157" t="s">
        <v>72</v>
      </c>
      <c r="K389" s="157"/>
      <c r="L389" s="158"/>
    </row>
    <row r="390" spans="1:12">
      <c r="A390" s="154" t="s">
        <v>95</v>
      </c>
      <c r="B390" s="155" t="s">
        <v>6552</v>
      </c>
      <c r="C390" s="133" t="s">
        <v>97</v>
      </c>
      <c r="D390" s="133" t="s">
        <v>6346</v>
      </c>
      <c r="E390" s="133" t="s">
        <v>6553</v>
      </c>
      <c r="F390" s="133" t="s">
        <v>40</v>
      </c>
      <c r="G390" s="156">
        <v>45335.465277777781</v>
      </c>
      <c r="H390" s="156">
        <v>45335.498611111114</v>
      </c>
      <c r="I390" s="165" t="s">
        <v>32</v>
      </c>
      <c r="J390" s="157" t="s">
        <v>72</v>
      </c>
      <c r="K390" s="157"/>
      <c r="L390" s="158"/>
    </row>
    <row r="391" spans="1:12">
      <c r="A391" s="154" t="s">
        <v>106</v>
      </c>
      <c r="B391" s="155" t="s">
        <v>6554</v>
      </c>
      <c r="C391" s="133" t="s">
        <v>108</v>
      </c>
      <c r="D391" s="133" t="s">
        <v>6555</v>
      </c>
      <c r="E391" s="133" t="s">
        <v>6556</v>
      </c>
      <c r="F391" s="133" t="s">
        <v>40</v>
      </c>
      <c r="G391" s="156">
        <v>45335.537499999999</v>
      </c>
      <c r="H391" s="156">
        <v>45335.563888888886</v>
      </c>
      <c r="I391" s="165" t="s">
        <v>946</v>
      </c>
      <c r="J391" s="157" t="s">
        <v>72</v>
      </c>
      <c r="K391" s="157"/>
      <c r="L391" s="158"/>
    </row>
    <row r="392" spans="1:12">
      <c r="A392" s="154" t="s">
        <v>20</v>
      </c>
      <c r="B392" s="155" t="s">
        <v>6557</v>
      </c>
      <c r="C392" s="133" t="s">
        <v>13</v>
      </c>
      <c r="D392" s="133" t="s">
        <v>6558</v>
      </c>
      <c r="E392" s="133" t="s">
        <v>6559</v>
      </c>
      <c r="F392" s="133" t="s">
        <v>40</v>
      </c>
      <c r="G392" s="156">
        <v>45335.590277777781</v>
      </c>
      <c r="H392" s="156">
        <v>45335.800694444442</v>
      </c>
      <c r="I392" s="165" t="s">
        <v>6091</v>
      </c>
      <c r="J392" s="157" t="s">
        <v>72</v>
      </c>
      <c r="K392" s="157"/>
      <c r="L392" s="158"/>
    </row>
    <row r="393" spans="1:12">
      <c r="A393" s="154" t="s">
        <v>106</v>
      </c>
      <c r="B393" s="155" t="s">
        <v>6560</v>
      </c>
      <c r="C393" s="133" t="s">
        <v>108</v>
      </c>
      <c r="D393" s="133" t="s">
        <v>6561</v>
      </c>
      <c r="E393" s="133" t="s">
        <v>6562</v>
      </c>
      <c r="F393" s="133" t="s">
        <v>40</v>
      </c>
      <c r="G393" s="156">
        <v>45335.634722222225</v>
      </c>
      <c r="H393" s="156">
        <v>45335.732638888891</v>
      </c>
      <c r="I393" s="165" t="s">
        <v>6563</v>
      </c>
      <c r="J393" s="157" t="s">
        <v>72</v>
      </c>
      <c r="K393" s="157"/>
      <c r="L393" s="158"/>
    </row>
    <row r="394" spans="1:12">
      <c r="A394" s="154" t="s">
        <v>106</v>
      </c>
      <c r="B394" s="155" t="s">
        <v>6564</v>
      </c>
      <c r="C394" s="133" t="s">
        <v>78</v>
      </c>
      <c r="D394" s="133" t="s">
        <v>6565</v>
      </c>
      <c r="E394" s="133" t="s">
        <v>276</v>
      </c>
      <c r="F394" s="133" t="s">
        <v>40</v>
      </c>
      <c r="G394" s="156">
        <v>45335.65</v>
      </c>
      <c r="H394" s="156">
        <v>45335.664583333331</v>
      </c>
      <c r="I394" s="165" t="s">
        <v>258</v>
      </c>
      <c r="J394" s="157" t="s">
        <v>72</v>
      </c>
      <c r="K394" s="157"/>
      <c r="L394" s="158"/>
    </row>
    <row r="395" spans="1:12">
      <c r="A395" s="154" t="s">
        <v>106</v>
      </c>
      <c r="B395" s="155" t="s">
        <v>6566</v>
      </c>
      <c r="C395" s="133" t="s">
        <v>108</v>
      </c>
      <c r="D395" s="133" t="s">
        <v>6567</v>
      </c>
      <c r="E395" s="133" t="s">
        <v>6568</v>
      </c>
      <c r="F395" s="133" t="s">
        <v>40</v>
      </c>
      <c r="G395" s="156">
        <v>45335.717361111114</v>
      </c>
      <c r="H395" s="156">
        <v>45335.75277777778</v>
      </c>
      <c r="I395" s="165" t="s">
        <v>2618</v>
      </c>
      <c r="J395" s="157" t="s">
        <v>72</v>
      </c>
      <c r="K395" s="157"/>
      <c r="L395" s="158"/>
    </row>
    <row r="396" spans="1:12">
      <c r="A396" s="154" t="s">
        <v>106</v>
      </c>
      <c r="B396" s="155" t="s">
        <v>6569</v>
      </c>
      <c r="C396" s="133" t="s">
        <v>333</v>
      </c>
      <c r="D396" s="132" t="s">
        <v>6570</v>
      </c>
      <c r="E396" s="132" t="s">
        <v>6571</v>
      </c>
      <c r="F396" s="133" t="s">
        <v>40</v>
      </c>
      <c r="G396" s="156" t="s">
        <v>6572</v>
      </c>
      <c r="H396" s="156" t="s">
        <v>6573</v>
      </c>
      <c r="I396" s="165" t="s">
        <v>346</v>
      </c>
      <c r="J396" s="157" t="s">
        <v>88</v>
      </c>
      <c r="K396" s="157"/>
      <c r="L396" s="158"/>
    </row>
    <row r="397" spans="1:12">
      <c r="A397" s="154" t="s">
        <v>20</v>
      </c>
      <c r="B397" s="155" t="s">
        <v>6574</v>
      </c>
      <c r="C397" s="133" t="s">
        <v>21</v>
      </c>
      <c r="D397" s="132" t="s">
        <v>6575</v>
      </c>
      <c r="E397" s="132" t="s">
        <v>6512</v>
      </c>
      <c r="F397" s="133" t="s">
        <v>40</v>
      </c>
      <c r="G397" s="156">
        <v>45335.967361111114</v>
      </c>
      <c r="H397" s="156">
        <v>45336.031944444447</v>
      </c>
      <c r="I397" s="165" t="s">
        <v>52</v>
      </c>
      <c r="J397" s="157" t="s">
        <v>61</v>
      </c>
      <c r="K397" s="157"/>
      <c r="L397" s="158"/>
    </row>
    <row r="398" spans="1:12">
      <c r="A398" s="154" t="s">
        <v>95</v>
      </c>
      <c r="B398" s="155" t="s">
        <v>6576</v>
      </c>
      <c r="C398" s="133" t="s">
        <v>113</v>
      </c>
      <c r="D398" s="133" t="s">
        <v>6577</v>
      </c>
      <c r="E398" s="133" t="s">
        <v>6578</v>
      </c>
      <c r="F398" s="133" t="s">
        <v>40</v>
      </c>
      <c r="G398" s="156">
        <v>45335.842361111114</v>
      </c>
      <c r="H398" s="156">
        <v>45335.884027777778</v>
      </c>
      <c r="I398" s="165" t="s">
        <v>6494</v>
      </c>
      <c r="J398" s="157" t="s">
        <v>61</v>
      </c>
      <c r="K398" s="157"/>
      <c r="L398" s="158"/>
    </row>
    <row r="399" spans="1:12" hidden="1">
      <c r="A399" s="154" t="s">
        <v>106</v>
      </c>
      <c r="B399" s="155" t="s">
        <v>6579</v>
      </c>
      <c r="C399" s="133" t="s">
        <v>108</v>
      </c>
      <c r="D399" s="133" t="s">
        <v>6580</v>
      </c>
      <c r="E399" s="134" t="s">
        <v>6581</v>
      </c>
      <c r="F399" s="133" t="s">
        <v>214</v>
      </c>
      <c r="G399" s="156" t="s">
        <v>6582</v>
      </c>
      <c r="H399" s="156" t="s">
        <v>6583</v>
      </c>
      <c r="I399" s="165" t="s">
        <v>6584</v>
      </c>
      <c r="J399" s="157" t="s">
        <v>88</v>
      </c>
      <c r="K399" s="157"/>
      <c r="L399" s="158"/>
    </row>
    <row r="400" spans="1:12" hidden="1">
      <c r="A400" s="154" t="s">
        <v>20</v>
      </c>
      <c r="B400" s="155" t="s">
        <v>6585</v>
      </c>
      <c r="C400" s="133" t="s">
        <v>13</v>
      </c>
      <c r="D400" s="133" t="s">
        <v>6586</v>
      </c>
      <c r="E400" s="133"/>
      <c r="F400" s="133" t="s">
        <v>214</v>
      </c>
      <c r="G400" s="156" t="s">
        <v>6587</v>
      </c>
      <c r="I400" s="165" t="s">
        <v>5454</v>
      </c>
      <c r="J400" s="157" t="s">
        <v>88</v>
      </c>
      <c r="K400" s="157"/>
      <c r="L400" s="158"/>
    </row>
    <row r="401" spans="1:12" hidden="1">
      <c r="A401" s="154" t="s">
        <v>20</v>
      </c>
      <c r="B401" s="155" t="s">
        <v>6585</v>
      </c>
      <c r="C401" s="133" t="s">
        <v>13</v>
      </c>
      <c r="D401" s="133" t="s">
        <v>6586</v>
      </c>
      <c r="E401" s="133" t="s">
        <v>6588</v>
      </c>
      <c r="F401" s="133" t="s">
        <v>308</v>
      </c>
      <c r="I401" s="165"/>
      <c r="J401" s="157" t="s">
        <v>88</v>
      </c>
      <c r="K401" s="157" t="s">
        <v>61</v>
      </c>
      <c r="L401" s="158"/>
    </row>
    <row r="402" spans="1:12">
      <c r="A402" s="154" t="s">
        <v>20</v>
      </c>
      <c r="B402" s="155" t="s">
        <v>6589</v>
      </c>
      <c r="C402" s="133" t="s">
        <v>13</v>
      </c>
      <c r="D402" s="133" t="s">
        <v>6590</v>
      </c>
      <c r="E402" s="133" t="s">
        <v>6591</v>
      </c>
      <c r="F402" s="133" t="s">
        <v>40</v>
      </c>
      <c r="G402" s="156" t="s">
        <v>6592</v>
      </c>
      <c r="H402" s="156" t="s">
        <v>6593</v>
      </c>
      <c r="I402" s="165" t="s">
        <v>17</v>
      </c>
      <c r="J402" s="157" t="s">
        <v>88</v>
      </c>
      <c r="K402" s="157"/>
      <c r="L402" s="158"/>
    </row>
    <row r="403" spans="1:12">
      <c r="A403" s="154" t="s">
        <v>95</v>
      </c>
      <c r="B403" s="155" t="s">
        <v>6594</v>
      </c>
      <c r="C403" s="133" t="s">
        <v>97</v>
      </c>
      <c r="D403" s="133" t="s">
        <v>6595</v>
      </c>
      <c r="E403" s="133" t="s">
        <v>6596</v>
      </c>
      <c r="F403" s="133" t="s">
        <v>40</v>
      </c>
      <c r="G403" s="156" t="s">
        <v>6597</v>
      </c>
      <c r="H403" s="156" t="s">
        <v>6598</v>
      </c>
      <c r="I403" s="165" t="s">
        <v>991</v>
      </c>
      <c r="J403" s="157" t="s">
        <v>88</v>
      </c>
      <c r="K403" s="157"/>
      <c r="L403" s="158"/>
    </row>
    <row r="404" spans="1:12">
      <c r="A404" s="154" t="s">
        <v>20</v>
      </c>
      <c r="B404" s="155" t="s">
        <v>6599</v>
      </c>
      <c r="C404" s="133" t="s">
        <v>13</v>
      </c>
      <c r="D404" s="133" t="s">
        <v>6600</v>
      </c>
      <c r="E404" s="133" t="s">
        <v>6601</v>
      </c>
      <c r="F404" s="133" t="s">
        <v>40</v>
      </c>
      <c r="G404" s="156" t="s">
        <v>6602</v>
      </c>
      <c r="H404" s="156" t="s">
        <v>6603</v>
      </c>
      <c r="I404" s="165" t="s">
        <v>17</v>
      </c>
      <c r="J404" s="157" t="s">
        <v>88</v>
      </c>
      <c r="K404" s="157"/>
      <c r="L404" s="158"/>
    </row>
    <row r="405" spans="1:12">
      <c r="A405" s="154" t="s">
        <v>95</v>
      </c>
      <c r="B405" s="155" t="s">
        <v>6604</v>
      </c>
      <c r="C405" s="133" t="s">
        <v>97</v>
      </c>
      <c r="D405" s="133" t="s">
        <v>6605</v>
      </c>
      <c r="E405" s="133" t="s">
        <v>6606</v>
      </c>
      <c r="F405" s="133" t="s">
        <v>40</v>
      </c>
      <c r="G405" s="156" t="s">
        <v>6607</v>
      </c>
      <c r="H405" s="156" t="s">
        <v>6608</v>
      </c>
      <c r="I405" s="165" t="s">
        <v>6609</v>
      </c>
      <c r="J405" s="157" t="s">
        <v>94</v>
      </c>
      <c r="K405" s="157"/>
      <c r="L405" s="158"/>
    </row>
    <row r="406" spans="1:12">
      <c r="A406" s="154" t="s">
        <v>20</v>
      </c>
      <c r="B406" s="155" t="s">
        <v>6610</v>
      </c>
      <c r="C406" s="133" t="s">
        <v>13</v>
      </c>
      <c r="D406" s="133" t="s">
        <v>6611</v>
      </c>
      <c r="E406" s="133" t="s">
        <v>6612</v>
      </c>
      <c r="F406" s="133" t="s">
        <v>40</v>
      </c>
      <c r="G406" s="156" t="s">
        <v>6613</v>
      </c>
      <c r="I406" s="165" t="s">
        <v>5454</v>
      </c>
      <c r="J406" s="157" t="s">
        <v>94</v>
      </c>
      <c r="K406" s="157"/>
      <c r="L406" s="158"/>
    </row>
    <row r="407" spans="1:12" ht="29">
      <c r="A407" s="154" t="s">
        <v>20</v>
      </c>
      <c r="B407" s="155" t="s">
        <v>6614</v>
      </c>
      <c r="C407" s="133" t="s">
        <v>13</v>
      </c>
      <c r="D407" s="133" t="s">
        <v>6615</v>
      </c>
      <c r="E407" s="134" t="s">
        <v>6616</v>
      </c>
      <c r="F407" s="133" t="s">
        <v>40</v>
      </c>
      <c r="G407" s="156" t="s">
        <v>6617</v>
      </c>
      <c r="H407" s="178" t="s">
        <v>6618</v>
      </c>
      <c r="I407" s="166" t="s">
        <v>17</v>
      </c>
      <c r="J407" s="157" t="s">
        <v>94</v>
      </c>
      <c r="K407" s="157" t="s">
        <v>88</v>
      </c>
      <c r="L407" s="158"/>
    </row>
    <row r="408" spans="1:12">
      <c r="A408" s="154" t="s">
        <v>20</v>
      </c>
      <c r="B408" s="155" t="s">
        <v>6619</v>
      </c>
      <c r="C408" s="133" t="s">
        <v>21</v>
      </c>
      <c r="D408" s="133" t="s">
        <v>6620</v>
      </c>
      <c r="E408" s="133" t="s">
        <v>6621</v>
      </c>
      <c r="F408" s="133" t="s">
        <v>40</v>
      </c>
      <c r="G408" s="156" t="s">
        <v>6622</v>
      </c>
      <c r="H408" s="156" t="s">
        <v>6623</v>
      </c>
      <c r="I408" s="165" t="s">
        <v>6624</v>
      </c>
      <c r="J408" s="157" t="s">
        <v>94</v>
      </c>
      <c r="K408" s="157"/>
      <c r="L408" s="158"/>
    </row>
    <row r="409" spans="1:12">
      <c r="A409" s="154" t="s">
        <v>106</v>
      </c>
      <c r="B409" s="155" t="s">
        <v>6625</v>
      </c>
      <c r="C409" s="133" t="s">
        <v>108</v>
      </c>
      <c r="D409" s="133" t="s">
        <v>6626</v>
      </c>
      <c r="E409" s="133" t="s">
        <v>6627</v>
      </c>
      <c r="F409" s="133" t="s">
        <v>40</v>
      </c>
      <c r="G409" s="156" t="s">
        <v>6628</v>
      </c>
      <c r="H409" s="156" t="s">
        <v>6623</v>
      </c>
      <c r="I409" s="165" t="s">
        <v>6629</v>
      </c>
      <c r="J409" s="157" t="s">
        <v>94</v>
      </c>
      <c r="K409" s="157"/>
      <c r="L409" s="158"/>
    </row>
    <row r="410" spans="1:12">
      <c r="A410" s="154" t="s">
        <v>95</v>
      </c>
      <c r="B410" s="155" t="s">
        <v>6630</v>
      </c>
      <c r="C410" s="133" t="s">
        <v>97</v>
      </c>
      <c r="D410" s="133" t="s">
        <v>6631</v>
      </c>
      <c r="E410" s="133" t="s">
        <v>6632</v>
      </c>
      <c r="F410" s="133" t="s">
        <v>40</v>
      </c>
      <c r="G410" s="156" t="s">
        <v>6633</v>
      </c>
      <c r="H410" s="156" t="s">
        <v>6634</v>
      </c>
      <c r="I410" s="165" t="s">
        <v>991</v>
      </c>
      <c r="J410" s="157" t="s">
        <v>88</v>
      </c>
      <c r="K410" s="157"/>
      <c r="L410" s="158"/>
    </row>
    <row r="411" spans="1:12" ht="58">
      <c r="A411" s="154" t="s">
        <v>106</v>
      </c>
      <c r="B411" s="155" t="s">
        <v>6635</v>
      </c>
      <c r="C411" s="133" t="s">
        <v>333</v>
      </c>
      <c r="D411" s="133" t="s">
        <v>6636</v>
      </c>
      <c r="E411" s="135" t="s">
        <v>6637</v>
      </c>
      <c r="F411" s="133" t="s">
        <v>40</v>
      </c>
      <c r="G411" s="156" t="s">
        <v>6638</v>
      </c>
      <c r="H411" s="156" t="s">
        <v>6639</v>
      </c>
      <c r="I411" s="165" t="s">
        <v>6640</v>
      </c>
      <c r="J411" s="157" t="s">
        <v>88</v>
      </c>
      <c r="K411" s="157"/>
      <c r="L411" s="158"/>
    </row>
    <row r="412" spans="1:12">
      <c r="A412" s="154" t="s">
        <v>106</v>
      </c>
      <c r="B412" s="155" t="s">
        <v>6641</v>
      </c>
      <c r="C412" s="133" t="s">
        <v>108</v>
      </c>
      <c r="D412" s="133" t="s">
        <v>6642</v>
      </c>
      <c r="E412" s="133" t="s">
        <v>6643</v>
      </c>
      <c r="F412" s="133" t="s">
        <v>40</v>
      </c>
      <c r="G412" s="156" t="s">
        <v>6644</v>
      </c>
      <c r="H412" s="156" t="s">
        <v>6645</v>
      </c>
      <c r="I412" s="165" t="s">
        <v>6646</v>
      </c>
      <c r="J412" s="157" t="s">
        <v>88</v>
      </c>
      <c r="K412" s="157"/>
      <c r="L412" s="158"/>
    </row>
    <row r="413" spans="1:12">
      <c r="A413" s="154" t="s">
        <v>95</v>
      </c>
      <c r="B413" s="155" t="s">
        <v>6647</v>
      </c>
      <c r="C413" s="133" t="s">
        <v>97</v>
      </c>
      <c r="D413" s="133" t="s">
        <v>6648</v>
      </c>
      <c r="E413" s="133" t="s">
        <v>6649</v>
      </c>
      <c r="F413" s="133" t="s">
        <v>40</v>
      </c>
      <c r="G413" s="156" t="s">
        <v>6650</v>
      </c>
      <c r="H413" s="156" t="s">
        <v>6651</v>
      </c>
      <c r="I413" s="165" t="s">
        <v>991</v>
      </c>
      <c r="J413" s="157" t="s">
        <v>88</v>
      </c>
      <c r="K413" s="157"/>
      <c r="L413" s="158"/>
    </row>
    <row r="414" spans="1:12">
      <c r="A414" s="154" t="s">
        <v>20</v>
      </c>
      <c r="B414" s="155" t="s">
        <v>6652</v>
      </c>
      <c r="C414" s="133" t="s">
        <v>13</v>
      </c>
      <c r="D414" s="133" t="s">
        <v>6653</v>
      </c>
      <c r="E414" s="134" t="s">
        <v>6654</v>
      </c>
      <c r="F414" s="133" t="s">
        <v>40</v>
      </c>
      <c r="G414" s="156" t="s">
        <v>6655</v>
      </c>
      <c r="H414" s="156" t="s">
        <v>6656</v>
      </c>
      <c r="I414" s="165" t="s">
        <v>17</v>
      </c>
      <c r="J414" s="157" t="s">
        <v>88</v>
      </c>
      <c r="K414" s="157" t="s">
        <v>94</v>
      </c>
      <c r="L414" s="158"/>
    </row>
    <row r="415" spans="1:12">
      <c r="A415" s="154" t="s">
        <v>20</v>
      </c>
      <c r="B415" s="155" t="s">
        <v>6657</v>
      </c>
      <c r="C415" s="133" t="s">
        <v>21</v>
      </c>
      <c r="D415" s="133" t="s">
        <v>6658</v>
      </c>
      <c r="E415" s="133" t="s">
        <v>6659</v>
      </c>
      <c r="F415" s="133" t="s">
        <v>40</v>
      </c>
      <c r="G415" s="156" t="s">
        <v>6660</v>
      </c>
      <c r="H415" s="156" t="s">
        <v>6661</v>
      </c>
      <c r="I415" s="165" t="s">
        <v>6662</v>
      </c>
      <c r="J415" s="157" t="s">
        <v>94</v>
      </c>
      <c r="K415" s="157"/>
      <c r="L415" s="158"/>
    </row>
    <row r="416" spans="1:12">
      <c r="A416" s="154" t="s">
        <v>20</v>
      </c>
      <c r="B416" s="155" t="s">
        <v>6663</v>
      </c>
      <c r="C416" s="133" t="s">
        <v>21</v>
      </c>
      <c r="D416" s="133" t="s">
        <v>6664</v>
      </c>
      <c r="E416" s="133" t="s">
        <v>6665</v>
      </c>
      <c r="F416" s="133" t="s">
        <v>40</v>
      </c>
      <c r="G416" s="156" t="s">
        <v>6666</v>
      </c>
      <c r="H416" s="156" t="s">
        <v>6667</v>
      </c>
      <c r="I416" s="165" t="s">
        <v>6662</v>
      </c>
      <c r="J416" s="157" t="s">
        <v>94</v>
      </c>
      <c r="K416" s="157"/>
      <c r="L416" s="158"/>
    </row>
    <row r="417" spans="1:12">
      <c r="A417" s="154" t="s">
        <v>20</v>
      </c>
      <c r="B417" s="155" t="s">
        <v>6668</v>
      </c>
      <c r="C417" s="133" t="s">
        <v>49</v>
      </c>
      <c r="D417" s="133" t="s">
        <v>6669</v>
      </c>
      <c r="E417" s="133" t="s">
        <v>6670</v>
      </c>
      <c r="F417" s="133" t="s">
        <v>40</v>
      </c>
      <c r="G417" s="156" t="s">
        <v>6671</v>
      </c>
      <c r="H417" s="156" t="s">
        <v>6661</v>
      </c>
      <c r="I417" s="165" t="s">
        <v>6672</v>
      </c>
      <c r="J417" s="157" t="s">
        <v>94</v>
      </c>
      <c r="K417" s="157"/>
      <c r="L417" s="158"/>
    </row>
    <row r="418" spans="1:12">
      <c r="A418" s="154" t="s">
        <v>20</v>
      </c>
      <c r="B418" s="155" t="s">
        <v>6673</v>
      </c>
      <c r="C418" s="133" t="s">
        <v>21</v>
      </c>
      <c r="D418" s="133" t="s">
        <v>6674</v>
      </c>
      <c r="E418" s="133" t="s">
        <v>6675</v>
      </c>
      <c r="F418" s="133" t="s">
        <v>40</v>
      </c>
      <c r="G418" s="156" t="s">
        <v>6676</v>
      </c>
      <c r="H418" s="156" t="s">
        <v>6677</v>
      </c>
      <c r="I418" s="165" t="s">
        <v>6678</v>
      </c>
      <c r="J418" s="157" t="s">
        <v>94</v>
      </c>
      <c r="K418" s="157"/>
      <c r="L418" s="158"/>
    </row>
    <row r="419" spans="1:12">
      <c r="A419" s="154" t="s">
        <v>95</v>
      </c>
      <c r="B419" s="155" t="s">
        <v>6679</v>
      </c>
      <c r="C419" s="133" t="s">
        <v>113</v>
      </c>
      <c r="D419" s="133" t="s">
        <v>6680</v>
      </c>
      <c r="E419" s="133" t="s">
        <v>6681</v>
      </c>
      <c r="F419" s="133" t="s">
        <v>40</v>
      </c>
      <c r="G419" s="156" t="s">
        <v>6682</v>
      </c>
      <c r="H419" s="156" t="s">
        <v>6683</v>
      </c>
      <c r="I419" s="165" t="s">
        <v>6684</v>
      </c>
      <c r="J419" s="157" t="s">
        <v>88</v>
      </c>
      <c r="K419" s="157"/>
      <c r="L419" s="158"/>
    </row>
    <row r="420" spans="1:12">
      <c r="A420" s="154" t="s">
        <v>20</v>
      </c>
      <c r="B420" s="155" t="s">
        <v>6685</v>
      </c>
      <c r="C420" s="133" t="s">
        <v>13</v>
      </c>
      <c r="D420" s="133" t="s">
        <v>6686</v>
      </c>
      <c r="E420" s="133" t="s">
        <v>6687</v>
      </c>
      <c r="F420" s="133" t="s">
        <v>40</v>
      </c>
      <c r="G420" s="156" t="s">
        <v>6688</v>
      </c>
      <c r="H420" s="156" t="s">
        <v>6689</v>
      </c>
      <c r="I420" s="165" t="s">
        <v>6690</v>
      </c>
      <c r="J420" s="157" t="s">
        <v>88</v>
      </c>
      <c r="K420" s="157"/>
      <c r="L420" s="158"/>
    </row>
    <row r="421" spans="1:12" hidden="1">
      <c r="A421" s="164" t="s">
        <v>95</v>
      </c>
      <c r="B421" s="155" t="s">
        <v>6691</v>
      </c>
      <c r="C421" s="133" t="s">
        <v>118</v>
      </c>
      <c r="D421" s="133" t="s">
        <v>6692</v>
      </c>
      <c r="E421" s="133" t="s">
        <v>6693</v>
      </c>
      <c r="F421" s="133" t="s">
        <v>308</v>
      </c>
      <c r="G421" s="156" t="s">
        <v>6694</v>
      </c>
      <c r="I421" s="165" t="s">
        <v>1241</v>
      </c>
      <c r="J421" s="157" t="s">
        <v>88</v>
      </c>
      <c r="K421" s="157"/>
      <c r="L421" s="158"/>
    </row>
    <row r="422" spans="1:12">
      <c r="A422" s="138" t="s">
        <v>95</v>
      </c>
      <c r="B422" s="179" t="s">
        <v>6691</v>
      </c>
      <c r="C422" s="138" t="s">
        <v>118</v>
      </c>
      <c r="D422" s="138" t="s">
        <v>6692</v>
      </c>
      <c r="E422" s="138" t="s">
        <v>6693</v>
      </c>
      <c r="F422" s="138" t="s">
        <v>40</v>
      </c>
      <c r="G422" s="180"/>
      <c r="H422" s="180"/>
      <c r="I422" s="4"/>
      <c r="J422" s="5" t="s">
        <v>88</v>
      </c>
      <c r="K422" s="5" t="s">
        <v>61</v>
      </c>
      <c r="L422" s="181"/>
    </row>
    <row r="423" spans="1:12" hidden="1">
      <c r="A423" s="138" t="s">
        <v>20</v>
      </c>
      <c r="B423" s="179" t="s">
        <v>6695</v>
      </c>
      <c r="C423" s="138" t="s">
        <v>13</v>
      </c>
      <c r="D423" s="138" t="s">
        <v>6696</v>
      </c>
      <c r="E423" s="138"/>
      <c r="F423" s="138" t="s">
        <v>214</v>
      </c>
      <c r="G423" s="180"/>
      <c r="H423" s="180"/>
      <c r="I423" s="4"/>
      <c r="J423" s="5" t="s">
        <v>88</v>
      </c>
      <c r="K423" s="5" t="s">
        <v>61</v>
      </c>
      <c r="L423" s="181"/>
    </row>
    <row r="424" spans="1:12" hidden="1">
      <c r="A424" s="138" t="s">
        <v>20</v>
      </c>
      <c r="B424" s="179" t="s">
        <v>6695</v>
      </c>
      <c r="C424" s="138" t="s">
        <v>13</v>
      </c>
      <c r="D424" s="138" t="s">
        <v>6696</v>
      </c>
      <c r="E424" s="138"/>
      <c r="F424" s="138" t="s">
        <v>214</v>
      </c>
      <c r="G424" s="180" t="s">
        <v>6697</v>
      </c>
      <c r="H424" s="180"/>
      <c r="I424" s="4" t="s">
        <v>5454</v>
      </c>
      <c r="J424" s="5" t="s">
        <v>94</v>
      </c>
      <c r="K424" s="5"/>
      <c r="L424" s="181"/>
    </row>
    <row r="425" spans="1:12">
      <c r="A425" s="138" t="s">
        <v>95</v>
      </c>
      <c r="B425" s="179" t="s">
        <v>6698</v>
      </c>
      <c r="C425" s="138" t="s">
        <v>97</v>
      </c>
      <c r="D425" s="138" t="s">
        <v>6699</v>
      </c>
      <c r="E425" s="138" t="s">
        <v>6700</v>
      </c>
      <c r="F425" s="138" t="s">
        <v>40</v>
      </c>
      <c r="G425" s="180" t="s">
        <v>6701</v>
      </c>
      <c r="H425" s="180" t="s">
        <v>6702</v>
      </c>
      <c r="I425" s="4" t="s">
        <v>991</v>
      </c>
      <c r="J425" s="5" t="s">
        <v>88</v>
      </c>
      <c r="K425" s="5"/>
      <c r="L425" s="181"/>
    </row>
    <row r="426" spans="1:12">
      <c r="A426" s="138" t="s">
        <v>95</v>
      </c>
      <c r="B426" s="179" t="s">
        <v>6703</v>
      </c>
      <c r="C426" s="138" t="s">
        <v>113</v>
      </c>
      <c r="D426" s="138" t="s">
        <v>6704</v>
      </c>
      <c r="E426" s="138" t="s">
        <v>6705</v>
      </c>
      <c r="F426" s="138" t="s">
        <v>40</v>
      </c>
      <c r="G426" s="180" t="s">
        <v>6706</v>
      </c>
      <c r="H426" s="180" t="s">
        <v>6707</v>
      </c>
      <c r="I426" s="4" t="s">
        <v>6164</v>
      </c>
      <c r="J426" s="5" t="s">
        <v>88</v>
      </c>
      <c r="K426" s="5"/>
      <c r="L426" s="181"/>
    </row>
    <row r="427" spans="1:12">
      <c r="A427" s="138" t="s">
        <v>95</v>
      </c>
      <c r="B427" s="179" t="s">
        <v>6708</v>
      </c>
      <c r="C427" s="138" t="s">
        <v>97</v>
      </c>
      <c r="D427" s="138" t="s">
        <v>6709</v>
      </c>
      <c r="E427" s="138" t="s">
        <v>6710</v>
      </c>
      <c r="F427" s="138" t="s">
        <v>40</v>
      </c>
      <c r="G427" s="180" t="s">
        <v>6711</v>
      </c>
      <c r="H427" s="180" t="s">
        <v>6712</v>
      </c>
      <c r="I427" s="4" t="s">
        <v>6713</v>
      </c>
      <c r="J427" s="5" t="s">
        <v>88</v>
      </c>
      <c r="K427" s="5"/>
      <c r="L427" s="181"/>
    </row>
    <row r="428" spans="1:12">
      <c r="A428" s="138" t="s">
        <v>106</v>
      </c>
      <c r="B428" s="179" t="s">
        <v>6714</v>
      </c>
      <c r="C428" s="138" t="s">
        <v>108</v>
      </c>
      <c r="D428" s="138" t="s">
        <v>6715</v>
      </c>
      <c r="E428" s="138" t="s">
        <v>6716</v>
      </c>
      <c r="F428" s="138" t="s">
        <v>40</v>
      </c>
      <c r="G428" s="180" t="s">
        <v>6717</v>
      </c>
      <c r="H428" s="180" t="s">
        <v>6712</v>
      </c>
      <c r="I428" s="4" t="s">
        <v>3932</v>
      </c>
      <c r="J428" s="5" t="s">
        <v>88</v>
      </c>
      <c r="K428" s="5"/>
      <c r="L428" s="181"/>
    </row>
    <row r="429" spans="1:12">
      <c r="A429" s="138" t="s">
        <v>95</v>
      </c>
      <c r="B429" s="179" t="s">
        <v>6718</v>
      </c>
      <c r="C429" s="138" t="s">
        <v>97</v>
      </c>
      <c r="D429" s="138" t="s">
        <v>6719</v>
      </c>
      <c r="E429" s="138" t="s">
        <v>6720</v>
      </c>
      <c r="F429" s="138" t="s">
        <v>40</v>
      </c>
      <c r="G429" s="180" t="s">
        <v>6721</v>
      </c>
      <c r="H429" s="180" t="s">
        <v>6683</v>
      </c>
      <c r="I429" s="4" t="s">
        <v>991</v>
      </c>
      <c r="J429" s="5" t="s">
        <v>88</v>
      </c>
      <c r="K429" s="5"/>
      <c r="L429" s="181"/>
    </row>
    <row r="430" spans="1:12" hidden="1">
      <c r="A430" s="138" t="s">
        <v>20</v>
      </c>
      <c r="B430" s="179" t="s">
        <v>6722</v>
      </c>
      <c r="C430" s="138" t="s">
        <v>13</v>
      </c>
      <c r="D430" s="138" t="s">
        <v>6723</v>
      </c>
      <c r="E430" s="138"/>
      <c r="F430" s="138" t="s">
        <v>214</v>
      </c>
      <c r="G430" s="180" t="s">
        <v>6724</v>
      </c>
      <c r="H430" s="180"/>
      <c r="I430" s="4" t="s">
        <v>17</v>
      </c>
      <c r="J430" s="5" t="s">
        <v>94</v>
      </c>
      <c r="K430" s="5"/>
      <c r="L430" s="181"/>
    </row>
    <row r="431" spans="1:12" hidden="1">
      <c r="A431" s="138" t="s">
        <v>20</v>
      </c>
      <c r="B431" s="179" t="s">
        <v>6722</v>
      </c>
      <c r="C431" s="138" t="s">
        <v>13</v>
      </c>
      <c r="D431" s="138" t="s">
        <v>6723</v>
      </c>
      <c r="E431" s="138"/>
      <c r="F431" s="138" t="s">
        <v>214</v>
      </c>
      <c r="G431" s="180"/>
      <c r="H431" s="180"/>
      <c r="I431" s="4"/>
      <c r="J431" s="5" t="s">
        <v>88</v>
      </c>
      <c r="K431" s="5" t="s">
        <v>61</v>
      </c>
      <c r="L431" s="181"/>
    </row>
    <row r="432" spans="1:12">
      <c r="A432" s="138" t="s">
        <v>20</v>
      </c>
      <c r="B432" s="179" t="s">
        <v>6725</v>
      </c>
      <c r="C432" s="138" t="s">
        <v>21</v>
      </c>
      <c r="D432" s="138" t="s">
        <v>6726</v>
      </c>
      <c r="E432" s="138" t="s">
        <v>6727</v>
      </c>
      <c r="F432" s="138" t="s">
        <v>40</v>
      </c>
      <c r="G432" s="180" t="s">
        <v>6728</v>
      </c>
      <c r="H432" s="180" t="s">
        <v>6729</v>
      </c>
      <c r="I432" s="4" t="s">
        <v>5749</v>
      </c>
      <c r="J432" s="5" t="s">
        <v>94</v>
      </c>
      <c r="K432" s="5"/>
      <c r="L432" s="181"/>
    </row>
    <row r="433" spans="1:12">
      <c r="A433" s="138" t="s">
        <v>20</v>
      </c>
      <c r="B433" s="179" t="s">
        <v>6730</v>
      </c>
      <c r="C433" s="138" t="s">
        <v>21</v>
      </c>
      <c r="D433" s="138" t="s">
        <v>6731</v>
      </c>
      <c r="E433" s="138" t="s">
        <v>6732</v>
      </c>
      <c r="F433" s="138" t="s">
        <v>40</v>
      </c>
      <c r="G433" s="180" t="s">
        <v>6733</v>
      </c>
      <c r="H433" s="180" t="s">
        <v>6734</v>
      </c>
      <c r="I433" s="4" t="s">
        <v>5749</v>
      </c>
      <c r="J433" s="5" t="s">
        <v>94</v>
      </c>
      <c r="K433" s="5"/>
      <c r="L433" s="181"/>
    </row>
    <row r="434" spans="1:12">
      <c r="A434" s="138" t="s">
        <v>95</v>
      </c>
      <c r="B434" s="179" t="s">
        <v>6735</v>
      </c>
      <c r="C434" s="138" t="s">
        <v>97</v>
      </c>
      <c r="D434" s="138" t="s">
        <v>6736</v>
      </c>
      <c r="E434" s="138" t="s">
        <v>6737</v>
      </c>
      <c r="F434" s="138" t="s">
        <v>40</v>
      </c>
      <c r="G434" s="180" t="s">
        <v>6738</v>
      </c>
      <c r="H434" s="180" t="s">
        <v>6739</v>
      </c>
      <c r="I434" s="4" t="s">
        <v>991</v>
      </c>
      <c r="J434" s="5" t="s">
        <v>88</v>
      </c>
      <c r="K434" s="5"/>
      <c r="L434" s="181"/>
    </row>
    <row r="435" spans="1:12">
      <c r="A435" s="138" t="s">
        <v>95</v>
      </c>
      <c r="B435" s="179" t="s">
        <v>6740</v>
      </c>
      <c r="C435" s="138" t="s">
        <v>118</v>
      </c>
      <c r="D435" s="138" t="s">
        <v>6741</v>
      </c>
      <c r="E435" s="138" t="s">
        <v>6742</v>
      </c>
      <c r="F435" s="138" t="s">
        <v>40</v>
      </c>
      <c r="G435" s="180" t="s">
        <v>6743</v>
      </c>
      <c r="H435" s="180" t="s">
        <v>6744</v>
      </c>
      <c r="I435" s="4" t="s">
        <v>1241</v>
      </c>
      <c r="J435" s="5" t="s">
        <v>88</v>
      </c>
      <c r="K435" s="5" t="s">
        <v>94</v>
      </c>
      <c r="L435" s="181"/>
    </row>
    <row r="436" spans="1:12">
      <c r="A436" s="138" t="s">
        <v>20</v>
      </c>
      <c r="B436" s="179" t="s">
        <v>6745</v>
      </c>
      <c r="C436" s="138" t="s">
        <v>21</v>
      </c>
      <c r="D436" s="138" t="s">
        <v>6746</v>
      </c>
      <c r="E436" s="138" t="s">
        <v>6747</v>
      </c>
      <c r="F436" s="138" t="s">
        <v>40</v>
      </c>
      <c r="G436" s="180" t="s">
        <v>6748</v>
      </c>
      <c r="H436" s="180" t="s">
        <v>6749</v>
      </c>
      <c r="I436" s="4" t="s">
        <v>5749</v>
      </c>
      <c r="J436" s="5" t="s">
        <v>94</v>
      </c>
      <c r="K436" s="5"/>
      <c r="L436" s="181"/>
    </row>
    <row r="437" spans="1:12">
      <c r="A437" s="138" t="s">
        <v>95</v>
      </c>
      <c r="B437" s="179" t="s">
        <v>6750</v>
      </c>
      <c r="C437" s="138" t="s">
        <v>118</v>
      </c>
      <c r="D437" s="138" t="s">
        <v>6751</v>
      </c>
      <c r="E437" s="138" t="s">
        <v>6752</v>
      </c>
      <c r="F437" s="138" t="s">
        <v>40</v>
      </c>
      <c r="G437" s="180" t="s">
        <v>6753</v>
      </c>
      <c r="H437" s="180" t="s">
        <v>6754</v>
      </c>
      <c r="I437" s="4" t="s">
        <v>4943</v>
      </c>
      <c r="J437" s="5" t="s">
        <v>94</v>
      </c>
      <c r="K437" s="5"/>
      <c r="L437" s="181"/>
    </row>
    <row r="438" spans="1:12">
      <c r="A438" s="138" t="s">
        <v>95</v>
      </c>
      <c r="B438" s="179" t="s">
        <v>6755</v>
      </c>
      <c r="C438" s="138" t="s">
        <v>97</v>
      </c>
      <c r="D438" s="138" t="s">
        <v>3469</v>
      </c>
      <c r="E438" s="138" t="s">
        <v>6756</v>
      </c>
      <c r="F438" s="138" t="s">
        <v>40</v>
      </c>
      <c r="G438" s="180" t="s">
        <v>6757</v>
      </c>
      <c r="H438" s="180" t="s">
        <v>6758</v>
      </c>
      <c r="I438" s="4" t="s">
        <v>3429</v>
      </c>
      <c r="J438" s="5" t="s">
        <v>88</v>
      </c>
      <c r="K438" s="5"/>
      <c r="L438" s="181"/>
    </row>
    <row r="439" spans="1:12">
      <c r="A439" s="138" t="s">
        <v>95</v>
      </c>
      <c r="B439" s="179" t="s">
        <v>6759</v>
      </c>
      <c r="C439" s="138" t="s">
        <v>118</v>
      </c>
      <c r="D439" s="138" t="s">
        <v>6760</v>
      </c>
      <c r="E439" s="138" t="s">
        <v>6761</v>
      </c>
      <c r="F439" s="138" t="s">
        <v>40</v>
      </c>
      <c r="G439" s="180" t="s">
        <v>6762</v>
      </c>
      <c r="H439" s="180" t="s">
        <v>6763</v>
      </c>
      <c r="I439" s="4" t="s">
        <v>346</v>
      </c>
      <c r="J439" s="5" t="s">
        <v>88</v>
      </c>
      <c r="K439" s="5"/>
      <c r="L439" s="181"/>
    </row>
    <row r="440" spans="1:12">
      <c r="A440" s="138" t="s">
        <v>106</v>
      </c>
      <c r="B440" s="179" t="s">
        <v>6764</v>
      </c>
      <c r="C440" s="138" t="s">
        <v>78</v>
      </c>
      <c r="D440" s="138" t="s">
        <v>6765</v>
      </c>
      <c r="E440" s="138" t="s">
        <v>6766</v>
      </c>
      <c r="F440" s="138" t="s">
        <v>40</v>
      </c>
      <c r="G440" s="180" t="s">
        <v>6767</v>
      </c>
      <c r="H440" s="180" t="s">
        <v>6768</v>
      </c>
      <c r="I440" s="4" t="s">
        <v>514</v>
      </c>
      <c r="J440" s="5" t="s">
        <v>88</v>
      </c>
      <c r="K440" s="5"/>
      <c r="L440" s="181"/>
    </row>
    <row r="441" spans="1:12">
      <c r="A441" s="138" t="s">
        <v>95</v>
      </c>
      <c r="B441" s="179" t="s">
        <v>6769</v>
      </c>
      <c r="C441" s="138" t="s">
        <v>118</v>
      </c>
      <c r="D441" s="138" t="s">
        <v>6770</v>
      </c>
      <c r="E441" s="138" t="s">
        <v>6771</v>
      </c>
      <c r="F441" s="138" t="s">
        <v>40</v>
      </c>
      <c r="G441" s="180" t="s">
        <v>6772</v>
      </c>
      <c r="H441" s="180" t="s">
        <v>6773</v>
      </c>
      <c r="I441" s="4" t="s">
        <v>6774</v>
      </c>
      <c r="J441" s="5" t="s">
        <v>88</v>
      </c>
      <c r="K441" s="5" t="s">
        <v>94</v>
      </c>
      <c r="L441" s="181"/>
    </row>
    <row r="442" spans="1:12">
      <c r="A442" s="138" t="s">
        <v>20</v>
      </c>
      <c r="B442" s="179" t="s">
        <v>6775</v>
      </c>
      <c r="C442" s="138" t="s">
        <v>21</v>
      </c>
      <c r="D442" s="138" t="s">
        <v>6776</v>
      </c>
      <c r="E442" s="138" t="s">
        <v>6777</v>
      </c>
      <c r="F442" s="138" t="s">
        <v>40</v>
      </c>
      <c r="G442" s="180" t="s">
        <v>6778</v>
      </c>
      <c r="H442" s="180" t="s">
        <v>6779</v>
      </c>
      <c r="I442" s="138" t="s">
        <v>5749</v>
      </c>
      <c r="J442" s="5" t="s">
        <v>94</v>
      </c>
      <c r="K442" s="5"/>
      <c r="L442" s="181"/>
    </row>
    <row r="443" spans="1:12">
      <c r="A443" s="138" t="s">
        <v>95</v>
      </c>
      <c r="B443" s="179" t="s">
        <v>6780</v>
      </c>
      <c r="C443" s="138" t="s">
        <v>97</v>
      </c>
      <c r="D443" s="138" t="s">
        <v>6781</v>
      </c>
      <c r="E443" s="138" t="s">
        <v>6782</v>
      </c>
      <c r="F443" s="138" t="s">
        <v>40</v>
      </c>
      <c r="G443" s="180" t="s">
        <v>6783</v>
      </c>
      <c r="H443" s="180" t="s">
        <v>6784</v>
      </c>
      <c r="I443" s="4" t="s">
        <v>2951</v>
      </c>
      <c r="J443" s="5" t="s">
        <v>94</v>
      </c>
      <c r="K443" s="5"/>
      <c r="L443" s="181"/>
    </row>
    <row r="444" spans="1:12">
      <c r="A444" s="138" t="s">
        <v>106</v>
      </c>
      <c r="B444" s="179" t="s">
        <v>6785</v>
      </c>
      <c r="C444" s="138" t="s">
        <v>108</v>
      </c>
      <c r="D444" s="138" t="s">
        <v>6786</v>
      </c>
      <c r="E444" s="138" t="s">
        <v>6787</v>
      </c>
      <c r="F444" s="138" t="s">
        <v>40</v>
      </c>
      <c r="G444" s="180" t="s">
        <v>6788</v>
      </c>
      <c r="H444" s="180" t="s">
        <v>6789</v>
      </c>
      <c r="I444" s="4" t="s">
        <v>6790</v>
      </c>
      <c r="J444" s="5" t="s">
        <v>88</v>
      </c>
      <c r="K444" s="5" t="s">
        <v>94</v>
      </c>
      <c r="L444" s="181"/>
    </row>
    <row r="445" spans="1:12" hidden="1">
      <c r="A445" s="138" t="s">
        <v>20</v>
      </c>
      <c r="B445" s="179" t="s">
        <v>6791</v>
      </c>
      <c r="C445" s="138" t="s">
        <v>13</v>
      </c>
      <c r="D445" s="138" t="s">
        <v>6792</v>
      </c>
      <c r="E445" s="138"/>
      <c r="F445" s="138" t="s">
        <v>214</v>
      </c>
      <c r="G445" s="180" t="s">
        <v>6793</v>
      </c>
      <c r="H445" s="180"/>
      <c r="I445" s="4" t="s">
        <v>6091</v>
      </c>
      <c r="J445" s="5" t="s">
        <v>88</v>
      </c>
      <c r="K445" s="5" t="s">
        <v>94</v>
      </c>
      <c r="L445" s="181"/>
    </row>
    <row r="446" spans="1:12" hidden="1">
      <c r="A446" s="138" t="s">
        <v>20</v>
      </c>
      <c r="B446" s="179" t="s">
        <v>6791</v>
      </c>
      <c r="C446" s="138" t="s">
        <v>13</v>
      </c>
      <c r="D446" s="138" t="s">
        <v>6792</v>
      </c>
      <c r="E446" s="138"/>
      <c r="F446" s="138" t="s">
        <v>214</v>
      </c>
      <c r="G446" s="180"/>
      <c r="H446" s="180"/>
      <c r="I446" s="4"/>
      <c r="J446" s="5" t="s">
        <v>88</v>
      </c>
      <c r="K446" s="5" t="s">
        <v>61</v>
      </c>
      <c r="L446" s="181"/>
    </row>
    <row r="447" spans="1:12">
      <c r="A447" s="138" t="s">
        <v>106</v>
      </c>
      <c r="B447" s="179" t="s">
        <v>6794</v>
      </c>
      <c r="C447" s="138" t="s">
        <v>108</v>
      </c>
      <c r="D447" s="138" t="s">
        <v>6795</v>
      </c>
      <c r="E447" s="138" t="s">
        <v>6796</v>
      </c>
      <c r="F447" s="138" t="s">
        <v>40</v>
      </c>
      <c r="G447" s="180" t="s">
        <v>6797</v>
      </c>
      <c r="H447" s="180" t="s">
        <v>6798</v>
      </c>
      <c r="I447" s="4" t="s">
        <v>6799</v>
      </c>
      <c r="J447" s="5" t="s">
        <v>88</v>
      </c>
      <c r="K447" s="5"/>
      <c r="L447" s="181"/>
    </row>
    <row r="448" spans="1:12">
      <c r="A448" s="138" t="s">
        <v>106</v>
      </c>
      <c r="B448" s="179" t="s">
        <v>6800</v>
      </c>
      <c r="C448" s="138" t="s">
        <v>108</v>
      </c>
      <c r="D448" s="138" t="s">
        <v>6801</v>
      </c>
      <c r="E448" s="138" t="s">
        <v>6802</v>
      </c>
      <c r="F448" s="138" t="s">
        <v>40</v>
      </c>
      <c r="G448" s="180" t="s">
        <v>6803</v>
      </c>
      <c r="H448" s="180" t="s">
        <v>6804</v>
      </c>
      <c r="I448" s="4" t="s">
        <v>960</v>
      </c>
      <c r="J448" s="5" t="s">
        <v>88</v>
      </c>
      <c r="K448" s="5"/>
      <c r="L448" s="181"/>
    </row>
    <row r="449" spans="1:12" hidden="1">
      <c r="A449" s="138" t="s">
        <v>106</v>
      </c>
      <c r="B449" s="179" t="s">
        <v>6805</v>
      </c>
      <c r="C449" s="138" t="s">
        <v>380</v>
      </c>
      <c r="D449" s="138" t="s">
        <v>6806</v>
      </c>
      <c r="E449" s="138"/>
      <c r="F449" s="138" t="s">
        <v>214</v>
      </c>
      <c r="G449" s="180" t="s">
        <v>6807</v>
      </c>
      <c r="H449" s="180"/>
      <c r="I449" s="4" t="s">
        <v>2585</v>
      </c>
      <c r="J449" s="5" t="s">
        <v>88</v>
      </c>
      <c r="K449" s="5"/>
      <c r="L449" s="181"/>
    </row>
    <row r="450" spans="1:12">
      <c r="A450" s="138" t="s">
        <v>20</v>
      </c>
      <c r="B450" s="179" t="s">
        <v>6805</v>
      </c>
      <c r="C450" s="138" t="s">
        <v>380</v>
      </c>
      <c r="D450" s="138" t="s">
        <v>6806</v>
      </c>
      <c r="E450" s="138" t="s">
        <v>6808</v>
      </c>
      <c r="F450" s="138" t="s">
        <v>40</v>
      </c>
      <c r="G450" s="180"/>
      <c r="H450" s="180"/>
      <c r="I450" s="4"/>
      <c r="J450" s="5" t="s">
        <v>88</v>
      </c>
      <c r="K450" s="5" t="s">
        <v>61</v>
      </c>
      <c r="L450" s="181"/>
    </row>
    <row r="451" spans="1:12">
      <c r="A451" s="138" t="s">
        <v>20</v>
      </c>
      <c r="B451" s="179" t="s">
        <v>6809</v>
      </c>
      <c r="C451" s="138" t="s">
        <v>13</v>
      </c>
      <c r="D451" s="138" t="s">
        <v>6810</v>
      </c>
      <c r="E451" s="138" t="s">
        <v>6811</v>
      </c>
      <c r="F451" s="138" t="s">
        <v>40</v>
      </c>
      <c r="G451" s="180" t="s">
        <v>6812</v>
      </c>
      <c r="H451" s="180" t="s">
        <v>6813</v>
      </c>
      <c r="I451" s="4" t="s">
        <v>17</v>
      </c>
      <c r="J451" s="5" t="s">
        <v>94</v>
      </c>
      <c r="K451" s="5"/>
      <c r="L451" s="181"/>
    </row>
    <row r="452" spans="1:12">
      <c r="A452" s="138" t="s">
        <v>20</v>
      </c>
      <c r="B452" s="179" t="s">
        <v>6814</v>
      </c>
      <c r="C452" s="138" t="s">
        <v>21</v>
      </c>
      <c r="D452" s="138" t="s">
        <v>6815</v>
      </c>
      <c r="E452" s="138" t="s">
        <v>6816</v>
      </c>
      <c r="F452" s="138" t="s">
        <v>40</v>
      </c>
      <c r="G452" s="180" t="s">
        <v>6817</v>
      </c>
      <c r="H452" s="180" t="s">
        <v>6818</v>
      </c>
      <c r="I452" s="4" t="s">
        <v>5749</v>
      </c>
      <c r="J452" s="5" t="s">
        <v>94</v>
      </c>
      <c r="K452" s="5"/>
      <c r="L452" s="181"/>
    </row>
    <row r="453" spans="1:12">
      <c r="A453" s="138" t="s">
        <v>20</v>
      </c>
      <c r="B453" s="179" t="s">
        <v>6819</v>
      </c>
      <c r="C453" s="138" t="s">
        <v>21</v>
      </c>
      <c r="D453" s="138" t="s">
        <v>6820</v>
      </c>
      <c r="E453" s="138" t="s">
        <v>6821</v>
      </c>
      <c r="F453" s="138" t="s">
        <v>40</v>
      </c>
      <c r="G453" s="180" t="s">
        <v>6822</v>
      </c>
      <c r="H453" s="180" t="s">
        <v>6823</v>
      </c>
      <c r="I453" s="4" t="s">
        <v>1052</v>
      </c>
      <c r="J453" s="5" t="s">
        <v>94</v>
      </c>
      <c r="K453" s="5"/>
      <c r="L453" s="181"/>
    </row>
    <row r="454" spans="1:12">
      <c r="A454" s="138" t="s">
        <v>20</v>
      </c>
      <c r="B454" s="179" t="s">
        <v>6824</v>
      </c>
      <c r="C454" s="138" t="s">
        <v>21</v>
      </c>
      <c r="D454" s="138" t="s">
        <v>6825</v>
      </c>
      <c r="E454" s="138" t="s">
        <v>6826</v>
      </c>
      <c r="F454" s="138" t="s">
        <v>40</v>
      </c>
      <c r="G454" s="180" t="s">
        <v>6827</v>
      </c>
      <c r="H454" s="180" t="s">
        <v>6828</v>
      </c>
      <c r="I454" s="4" t="s">
        <v>6829</v>
      </c>
      <c r="J454" s="5" t="s">
        <v>94</v>
      </c>
      <c r="K454" s="5"/>
      <c r="L454" s="181"/>
    </row>
    <row r="455" spans="1:12">
      <c r="A455" s="138" t="s">
        <v>20</v>
      </c>
      <c r="B455" s="179" t="s">
        <v>6830</v>
      </c>
      <c r="C455" s="138" t="s">
        <v>21</v>
      </c>
      <c r="D455" s="138" t="s">
        <v>6831</v>
      </c>
      <c r="E455" s="138" t="s">
        <v>6832</v>
      </c>
      <c r="F455" s="138" t="s">
        <v>40</v>
      </c>
      <c r="G455" s="180" t="s">
        <v>6833</v>
      </c>
      <c r="H455" s="180" t="s">
        <v>6834</v>
      </c>
      <c r="I455" s="4" t="s">
        <v>5749</v>
      </c>
      <c r="J455" s="5" t="s">
        <v>94</v>
      </c>
      <c r="K455" s="5"/>
      <c r="L455" s="181"/>
    </row>
    <row r="456" spans="1:12">
      <c r="A456" s="138" t="s">
        <v>20</v>
      </c>
      <c r="B456" s="179" t="s">
        <v>6835</v>
      </c>
      <c r="C456" s="138" t="s">
        <v>49</v>
      </c>
      <c r="D456" s="138" t="s">
        <v>6836</v>
      </c>
      <c r="E456" s="138" t="s">
        <v>6837</v>
      </c>
      <c r="F456" s="138" t="s">
        <v>40</v>
      </c>
      <c r="G456" s="180" t="s">
        <v>6838</v>
      </c>
      <c r="H456" s="180" t="s">
        <v>6839</v>
      </c>
      <c r="I456" s="4" t="s">
        <v>3617</v>
      </c>
      <c r="J456" s="5" t="s">
        <v>94</v>
      </c>
      <c r="K456" s="5"/>
      <c r="L456" s="181"/>
    </row>
    <row r="457" spans="1:12">
      <c r="A457" s="138" t="s">
        <v>20</v>
      </c>
      <c r="B457" s="179" t="s">
        <v>6840</v>
      </c>
      <c r="C457" s="138" t="s">
        <v>21</v>
      </c>
      <c r="D457" s="138" t="s">
        <v>6841</v>
      </c>
      <c r="E457" s="138" t="s">
        <v>6842</v>
      </c>
      <c r="F457" s="138" t="s">
        <v>40</v>
      </c>
      <c r="G457" s="180" t="s">
        <v>6843</v>
      </c>
      <c r="H457" s="180" t="s">
        <v>6844</v>
      </c>
      <c r="I457" s="4" t="s">
        <v>5749</v>
      </c>
      <c r="J457" s="5" t="s">
        <v>94</v>
      </c>
      <c r="K457" s="5"/>
      <c r="L457" s="181"/>
    </row>
    <row r="458" spans="1:12">
      <c r="A458" s="138" t="s">
        <v>20</v>
      </c>
      <c r="B458" s="179" t="s">
        <v>6845</v>
      </c>
      <c r="C458" s="138" t="s">
        <v>13</v>
      </c>
      <c r="D458" s="138" t="s">
        <v>6846</v>
      </c>
      <c r="E458" s="138" t="s">
        <v>6847</v>
      </c>
      <c r="F458" s="138" t="s">
        <v>40</v>
      </c>
      <c r="G458" s="180" t="s">
        <v>6848</v>
      </c>
      <c r="H458" s="180" t="s">
        <v>6849</v>
      </c>
      <c r="I458" s="4" t="s">
        <v>17</v>
      </c>
      <c r="J458" s="5" t="s">
        <v>61</v>
      </c>
      <c r="K458" s="5"/>
      <c r="L458" s="181"/>
    </row>
    <row r="459" spans="1:12">
      <c r="A459" s="138" t="s">
        <v>95</v>
      </c>
      <c r="B459" s="179" t="s">
        <v>6850</v>
      </c>
      <c r="C459" s="138" t="s">
        <v>97</v>
      </c>
      <c r="D459" s="138" t="s">
        <v>6851</v>
      </c>
      <c r="E459" s="138" t="s">
        <v>6852</v>
      </c>
      <c r="F459" s="138" t="s">
        <v>40</v>
      </c>
      <c r="G459" s="180" t="s">
        <v>6853</v>
      </c>
      <c r="H459" s="180" t="s">
        <v>6854</v>
      </c>
      <c r="I459" s="4" t="s">
        <v>6855</v>
      </c>
      <c r="J459" s="5" t="s">
        <v>61</v>
      </c>
      <c r="K459" s="5"/>
      <c r="L459" s="181"/>
    </row>
    <row r="460" spans="1:12">
      <c r="A460" s="138" t="s">
        <v>20</v>
      </c>
      <c r="B460" s="179" t="s">
        <v>6856</v>
      </c>
      <c r="C460" s="138" t="s">
        <v>21</v>
      </c>
      <c r="D460" s="138" t="s">
        <v>6857</v>
      </c>
      <c r="E460" s="138" t="s">
        <v>6858</v>
      </c>
      <c r="F460" s="138" t="s">
        <v>40</v>
      </c>
      <c r="G460" s="180" t="s">
        <v>6859</v>
      </c>
      <c r="H460" s="180" t="s">
        <v>6860</v>
      </c>
      <c r="I460" s="4" t="s">
        <v>6861</v>
      </c>
      <c r="J460" s="5" t="s">
        <v>61</v>
      </c>
      <c r="K460" s="5"/>
      <c r="L460" s="181"/>
    </row>
    <row r="461" spans="1:12">
      <c r="A461" s="138" t="s">
        <v>20</v>
      </c>
      <c r="B461" s="179" t="s">
        <v>6862</v>
      </c>
      <c r="C461" s="138" t="s">
        <v>13</v>
      </c>
      <c r="D461" s="138" t="s">
        <v>6863</v>
      </c>
      <c r="E461" s="138" t="s">
        <v>6864</v>
      </c>
      <c r="F461" s="138" t="s">
        <v>40</v>
      </c>
      <c r="G461" s="180" t="s">
        <v>6865</v>
      </c>
      <c r="H461" s="180" t="s">
        <v>6866</v>
      </c>
      <c r="I461" s="4" t="s">
        <v>17</v>
      </c>
      <c r="J461" s="5" t="s">
        <v>61</v>
      </c>
      <c r="K461" s="5"/>
      <c r="L461" s="181"/>
    </row>
    <row r="462" spans="1:12">
      <c r="A462" s="138" t="s">
        <v>106</v>
      </c>
      <c r="B462" s="179" t="s">
        <v>6867</v>
      </c>
      <c r="C462" s="138" t="s">
        <v>313</v>
      </c>
      <c r="D462" s="138" t="s">
        <v>6868</v>
      </c>
      <c r="E462" s="138" t="s">
        <v>6869</v>
      </c>
      <c r="F462" s="138" t="s">
        <v>40</v>
      </c>
      <c r="G462" s="180" t="s">
        <v>6870</v>
      </c>
      <c r="H462" s="180" t="s">
        <v>6871</v>
      </c>
      <c r="I462" s="4" t="s">
        <v>1020</v>
      </c>
      <c r="J462" s="5" t="s">
        <v>61</v>
      </c>
      <c r="K462" s="5"/>
      <c r="L462" s="181"/>
    </row>
    <row r="463" spans="1:12">
      <c r="A463" s="138" t="s">
        <v>20</v>
      </c>
      <c r="B463" s="179" t="s">
        <v>6872</v>
      </c>
      <c r="C463" s="138" t="s">
        <v>21</v>
      </c>
      <c r="D463" s="138" t="s">
        <v>6873</v>
      </c>
      <c r="E463" s="138" t="s">
        <v>6874</v>
      </c>
      <c r="F463" s="138" t="s">
        <v>40</v>
      </c>
      <c r="G463" s="180" t="s">
        <v>6860</v>
      </c>
      <c r="H463" s="180" t="s">
        <v>6875</v>
      </c>
      <c r="I463" s="4" t="s">
        <v>6876</v>
      </c>
      <c r="J463" s="5" t="s">
        <v>61</v>
      </c>
      <c r="K463" s="5"/>
      <c r="L463" s="181"/>
    </row>
    <row r="464" spans="1:12">
      <c r="A464" s="138" t="s">
        <v>20</v>
      </c>
      <c r="B464" s="179" t="s">
        <v>6877</v>
      </c>
      <c r="C464" s="138" t="s">
        <v>21</v>
      </c>
      <c r="D464" s="138" t="s">
        <v>6878</v>
      </c>
      <c r="E464" s="138" t="s">
        <v>6879</v>
      </c>
      <c r="F464" s="138" t="s">
        <v>40</v>
      </c>
      <c r="G464" s="180" t="s">
        <v>6880</v>
      </c>
      <c r="H464" s="180" t="s">
        <v>6881</v>
      </c>
      <c r="I464" s="4" t="s">
        <v>52</v>
      </c>
      <c r="J464" s="5" t="s">
        <v>72</v>
      </c>
      <c r="K464" s="5"/>
      <c r="L464" s="181"/>
    </row>
    <row r="465" spans="1:12">
      <c r="A465" s="138" t="s">
        <v>20</v>
      </c>
      <c r="B465" s="179" t="s">
        <v>6882</v>
      </c>
      <c r="C465" s="138" t="s">
        <v>21</v>
      </c>
      <c r="D465" s="138" t="s">
        <v>6883</v>
      </c>
      <c r="E465" s="138" t="s">
        <v>6884</v>
      </c>
      <c r="F465" s="138" t="s">
        <v>40</v>
      </c>
      <c r="G465" s="180">
        <v>45294.951388888891</v>
      </c>
      <c r="H465" s="180">
        <v>45294.981249999997</v>
      </c>
      <c r="I465" s="4" t="s">
        <v>3813</v>
      </c>
      <c r="J465" s="5" t="s">
        <v>88</v>
      </c>
      <c r="K465" s="5"/>
      <c r="L465" s="181"/>
    </row>
    <row r="466" spans="1:12">
      <c r="A466" s="138" t="s">
        <v>106</v>
      </c>
      <c r="B466" s="179" t="s">
        <v>6885</v>
      </c>
      <c r="C466" s="138" t="s">
        <v>108</v>
      </c>
      <c r="D466" s="138" t="s">
        <v>6886</v>
      </c>
      <c r="E466" s="138" t="s">
        <v>6887</v>
      </c>
      <c r="F466" s="138" t="s">
        <v>40</v>
      </c>
      <c r="G466" s="180" t="s">
        <v>6888</v>
      </c>
      <c r="H466" s="180" t="s">
        <v>6889</v>
      </c>
      <c r="I466" s="4" t="s">
        <v>1470</v>
      </c>
      <c r="J466" s="5" t="s">
        <v>61</v>
      </c>
      <c r="K466" s="5"/>
      <c r="L466" s="181"/>
    </row>
    <row r="467" spans="1:12">
      <c r="A467" s="138" t="s">
        <v>20</v>
      </c>
      <c r="B467" s="179" t="s">
        <v>6890</v>
      </c>
      <c r="C467" s="138" t="s">
        <v>21</v>
      </c>
      <c r="D467" s="138" t="s">
        <v>6891</v>
      </c>
      <c r="E467" s="138" t="s">
        <v>6892</v>
      </c>
      <c r="F467" s="138" t="s">
        <v>40</v>
      </c>
      <c r="G467" s="180" t="s">
        <v>6893</v>
      </c>
      <c r="H467" s="180" t="s">
        <v>6894</v>
      </c>
      <c r="I467" s="4" t="s">
        <v>52</v>
      </c>
      <c r="J467" s="5" t="s">
        <v>72</v>
      </c>
      <c r="K467" s="5"/>
      <c r="L467" s="181"/>
    </row>
    <row r="468" spans="1:12">
      <c r="A468" s="138" t="s">
        <v>20</v>
      </c>
      <c r="B468" s="179" t="s">
        <v>6895</v>
      </c>
      <c r="C468" s="138" t="s">
        <v>21</v>
      </c>
      <c r="D468" s="138" t="s">
        <v>6896</v>
      </c>
      <c r="E468" s="138" t="s">
        <v>6897</v>
      </c>
      <c r="F468" s="138" t="s">
        <v>40</v>
      </c>
      <c r="G468" s="180" t="s">
        <v>6898</v>
      </c>
      <c r="H468" s="180" t="s">
        <v>6899</v>
      </c>
      <c r="I468" s="4" t="s">
        <v>52</v>
      </c>
      <c r="J468" s="5" t="s">
        <v>72</v>
      </c>
      <c r="K468" s="5"/>
      <c r="L468" s="181"/>
    </row>
    <row r="469" spans="1:12">
      <c r="A469" s="138" t="s">
        <v>106</v>
      </c>
      <c r="B469" s="179" t="s">
        <v>6900</v>
      </c>
      <c r="C469" s="138" t="s">
        <v>108</v>
      </c>
      <c r="D469" s="138" t="s">
        <v>6901</v>
      </c>
      <c r="E469" s="138" t="s">
        <v>6902</v>
      </c>
      <c r="F469" s="138" t="s">
        <v>40</v>
      </c>
      <c r="G469" s="180" t="s">
        <v>6903</v>
      </c>
      <c r="H469" s="180" t="s">
        <v>6904</v>
      </c>
      <c r="I469" s="4" t="s">
        <v>616</v>
      </c>
      <c r="J469" s="5" t="s">
        <v>72</v>
      </c>
      <c r="K469" s="5"/>
      <c r="L469" s="181"/>
    </row>
    <row r="470" spans="1:12">
      <c r="A470" s="138" t="s">
        <v>20</v>
      </c>
      <c r="B470" s="179" t="s">
        <v>6905</v>
      </c>
      <c r="C470" s="138" t="s">
        <v>21</v>
      </c>
      <c r="D470" s="138" t="s">
        <v>6906</v>
      </c>
      <c r="E470" s="138" t="s">
        <v>6907</v>
      </c>
      <c r="F470" s="138" t="s">
        <v>40</v>
      </c>
      <c r="G470" s="180" t="s">
        <v>6908</v>
      </c>
      <c r="H470" s="180" t="s">
        <v>6909</v>
      </c>
      <c r="I470" s="4" t="s">
        <v>52</v>
      </c>
      <c r="J470" s="5" t="s">
        <v>72</v>
      </c>
      <c r="K470" s="5"/>
      <c r="L470" s="181"/>
    </row>
    <row r="471" spans="1:12">
      <c r="A471" s="138" t="s">
        <v>95</v>
      </c>
      <c r="B471" s="179" t="s">
        <v>6910</v>
      </c>
      <c r="C471" s="138" t="s">
        <v>97</v>
      </c>
      <c r="D471" s="138" t="s">
        <v>6346</v>
      </c>
      <c r="E471" s="138" t="s">
        <v>6911</v>
      </c>
      <c r="F471" s="138" t="s">
        <v>40</v>
      </c>
      <c r="G471" s="180" t="s">
        <v>6912</v>
      </c>
      <c r="H471" s="180" t="s">
        <v>6913</v>
      </c>
      <c r="I471" s="4" t="s">
        <v>32</v>
      </c>
      <c r="J471" s="5" t="s">
        <v>72</v>
      </c>
      <c r="K471" s="5"/>
      <c r="L471" s="181"/>
    </row>
    <row r="472" spans="1:12">
      <c r="A472" s="138" t="s">
        <v>95</v>
      </c>
      <c r="B472" s="179" t="s">
        <v>6914</v>
      </c>
      <c r="C472" s="138" t="s">
        <v>118</v>
      </c>
      <c r="D472" s="138" t="s">
        <v>6915</v>
      </c>
      <c r="E472" s="138" t="s">
        <v>6916</v>
      </c>
      <c r="F472" s="138" t="s">
        <v>40</v>
      </c>
      <c r="G472" s="180" t="s">
        <v>6917</v>
      </c>
      <c r="H472" s="180" t="s">
        <v>6918</v>
      </c>
      <c r="I472" s="4" t="s">
        <v>1102</v>
      </c>
      <c r="J472" s="5" t="s">
        <v>72</v>
      </c>
      <c r="K472" s="5"/>
      <c r="L472" s="181"/>
    </row>
    <row r="473" spans="1:12" ht="29">
      <c r="A473" s="138" t="s">
        <v>20</v>
      </c>
      <c r="B473" s="179" t="s">
        <v>6919</v>
      </c>
      <c r="C473" s="138" t="s">
        <v>13</v>
      </c>
      <c r="D473" s="138" t="s">
        <v>6920</v>
      </c>
      <c r="E473" s="139" t="s">
        <v>6921</v>
      </c>
      <c r="F473" s="138" t="s">
        <v>40</v>
      </c>
      <c r="G473" s="180" t="s">
        <v>6922</v>
      </c>
      <c r="H473" s="180" t="s">
        <v>6923</v>
      </c>
      <c r="I473" s="4" t="s">
        <v>6924</v>
      </c>
      <c r="J473" s="5" t="s">
        <v>72</v>
      </c>
      <c r="K473" s="5"/>
      <c r="L473" s="181"/>
    </row>
    <row r="474" spans="1:12">
      <c r="A474" s="138" t="s">
        <v>106</v>
      </c>
      <c r="B474" s="179" t="s">
        <v>6925</v>
      </c>
      <c r="C474" s="138" t="s">
        <v>108</v>
      </c>
      <c r="D474" s="138" t="s">
        <v>6926</v>
      </c>
      <c r="E474" s="138" t="s">
        <v>6927</v>
      </c>
      <c r="F474" s="138" t="s">
        <v>40</v>
      </c>
      <c r="G474" s="180" t="s">
        <v>6928</v>
      </c>
      <c r="H474" s="180" t="s">
        <v>6929</v>
      </c>
      <c r="I474" s="4" t="s">
        <v>3359</v>
      </c>
      <c r="J474" s="5" t="s">
        <v>61</v>
      </c>
      <c r="K474" s="5"/>
      <c r="L474" s="181"/>
    </row>
    <row r="475" spans="1:12" hidden="1">
      <c r="A475" s="138" t="s">
        <v>20</v>
      </c>
      <c r="B475" s="179" t="s">
        <v>6930</v>
      </c>
      <c r="C475" s="138" t="s">
        <v>13</v>
      </c>
      <c r="D475" s="138" t="s">
        <v>6931</v>
      </c>
      <c r="E475" s="138" t="s">
        <v>6932</v>
      </c>
      <c r="F475" s="138" t="s">
        <v>308</v>
      </c>
      <c r="G475" s="180" t="s">
        <v>6933</v>
      </c>
      <c r="H475" s="180"/>
      <c r="I475" s="4" t="s">
        <v>149</v>
      </c>
      <c r="J475" s="5" t="s">
        <v>61</v>
      </c>
      <c r="K475" s="5"/>
      <c r="L475" s="181"/>
    </row>
    <row r="476" spans="1:12" hidden="1">
      <c r="A476" s="138" t="s">
        <v>20</v>
      </c>
      <c r="B476" s="179" t="s">
        <v>6934</v>
      </c>
      <c r="C476" s="138" t="s">
        <v>13</v>
      </c>
      <c r="D476" s="138" t="s">
        <v>6935</v>
      </c>
      <c r="E476" s="138"/>
      <c r="F476" s="138" t="s">
        <v>214</v>
      </c>
      <c r="G476" s="180" t="s">
        <v>6936</v>
      </c>
      <c r="H476" s="180"/>
      <c r="I476" s="4" t="s">
        <v>17</v>
      </c>
      <c r="J476" s="5" t="s">
        <v>61</v>
      </c>
      <c r="K476" s="5"/>
      <c r="L476" s="181"/>
    </row>
    <row r="477" spans="1:12">
      <c r="A477" s="138" t="s">
        <v>106</v>
      </c>
      <c r="B477" s="179" t="s">
        <v>6937</v>
      </c>
      <c r="C477" s="138" t="s">
        <v>108</v>
      </c>
      <c r="D477" s="138" t="s">
        <v>6938</v>
      </c>
      <c r="E477" s="138" t="s">
        <v>6939</v>
      </c>
      <c r="F477" s="138" t="s">
        <v>40</v>
      </c>
      <c r="G477" s="180" t="s">
        <v>6940</v>
      </c>
      <c r="H477" s="180" t="s">
        <v>6941</v>
      </c>
      <c r="I477" s="4" t="s">
        <v>6942</v>
      </c>
      <c r="J477" s="5" t="s">
        <v>61</v>
      </c>
      <c r="K477" s="5"/>
      <c r="L477" s="181"/>
    </row>
    <row r="478" spans="1:12">
      <c r="A478" s="138" t="s">
        <v>106</v>
      </c>
      <c r="B478" s="179" t="s">
        <v>6937</v>
      </c>
      <c r="C478" s="138" t="s">
        <v>13</v>
      </c>
      <c r="D478" s="138" t="s">
        <v>6938</v>
      </c>
      <c r="E478" s="138" t="s">
        <v>6939</v>
      </c>
      <c r="F478" s="138" t="s">
        <v>40</v>
      </c>
      <c r="G478" s="180" t="s">
        <v>6943</v>
      </c>
      <c r="H478" s="180" t="s">
        <v>6944</v>
      </c>
      <c r="I478" s="4" t="s">
        <v>1470</v>
      </c>
      <c r="J478" s="5" t="s">
        <v>61</v>
      </c>
      <c r="K478" s="5"/>
      <c r="L478" s="181"/>
    </row>
    <row r="479" spans="1:12">
      <c r="A479" s="138" t="s">
        <v>20</v>
      </c>
      <c r="B479" s="179" t="s">
        <v>6945</v>
      </c>
      <c r="C479" s="138" t="s">
        <v>21</v>
      </c>
      <c r="D479" s="138" t="s">
        <v>6946</v>
      </c>
      <c r="E479" s="138" t="s">
        <v>6947</v>
      </c>
      <c r="F479" s="138" t="s">
        <v>40</v>
      </c>
      <c r="G479" s="180" t="s">
        <v>6948</v>
      </c>
      <c r="H479" s="180" t="s">
        <v>6949</v>
      </c>
      <c r="I479" s="4" t="s">
        <v>52</v>
      </c>
      <c r="J479" s="5" t="s">
        <v>72</v>
      </c>
      <c r="K479" s="5"/>
      <c r="L479" s="181"/>
    </row>
    <row r="480" spans="1:12">
      <c r="A480" s="138" t="s">
        <v>20</v>
      </c>
      <c r="B480" s="179" t="s">
        <v>6950</v>
      </c>
      <c r="C480" s="138" t="s">
        <v>21</v>
      </c>
      <c r="D480" s="138" t="s">
        <v>6951</v>
      </c>
      <c r="E480" s="138" t="s">
        <v>6952</v>
      </c>
      <c r="F480" s="138" t="s">
        <v>40</v>
      </c>
      <c r="G480" s="180" t="s">
        <v>6953</v>
      </c>
      <c r="H480" s="180" t="s">
        <v>6954</v>
      </c>
      <c r="I480" s="4" t="s">
        <v>1052</v>
      </c>
      <c r="J480" s="5" t="s">
        <v>72</v>
      </c>
      <c r="K480" s="5"/>
      <c r="L480" s="181"/>
    </row>
    <row r="481" spans="1:12">
      <c r="A481" s="138" t="s">
        <v>20</v>
      </c>
      <c r="B481" s="179" t="s">
        <v>6955</v>
      </c>
      <c r="C481" s="138" t="s">
        <v>21</v>
      </c>
      <c r="D481" s="138" t="s">
        <v>6956</v>
      </c>
      <c r="E481" s="138" t="s">
        <v>6957</v>
      </c>
      <c r="F481" s="138" t="s">
        <v>40</v>
      </c>
      <c r="G481" s="180" t="s">
        <v>6958</v>
      </c>
      <c r="H481" s="180" t="s">
        <v>6959</v>
      </c>
      <c r="I481" s="4" t="s">
        <v>52</v>
      </c>
      <c r="J481" s="5" t="s">
        <v>72</v>
      </c>
      <c r="K481" s="5"/>
      <c r="L481" s="181"/>
    </row>
    <row r="482" spans="1:12">
      <c r="A482" s="138" t="s">
        <v>20</v>
      </c>
      <c r="B482" s="179" t="s">
        <v>6960</v>
      </c>
      <c r="C482" s="138" t="s">
        <v>13</v>
      </c>
      <c r="D482" s="138" t="s">
        <v>6961</v>
      </c>
      <c r="E482" s="138" t="s">
        <v>4585</v>
      </c>
      <c r="F482" s="138" t="s">
        <v>40</v>
      </c>
      <c r="G482" s="180" t="s">
        <v>6962</v>
      </c>
      <c r="H482" s="180" t="s">
        <v>6963</v>
      </c>
      <c r="I482" s="4" t="s">
        <v>74</v>
      </c>
      <c r="J482" s="5" t="s">
        <v>72</v>
      </c>
      <c r="K482" s="5"/>
      <c r="L482" s="181"/>
    </row>
    <row r="483" spans="1:12">
      <c r="A483" s="138" t="s">
        <v>20</v>
      </c>
      <c r="B483" s="179" t="s">
        <v>6964</v>
      </c>
      <c r="C483" s="138" t="s">
        <v>49</v>
      </c>
      <c r="D483" s="138" t="s">
        <v>6965</v>
      </c>
      <c r="E483" s="138" t="s">
        <v>6966</v>
      </c>
      <c r="F483" s="138" t="s">
        <v>40</v>
      </c>
      <c r="G483" s="180" t="s">
        <v>6967</v>
      </c>
      <c r="H483" s="180" t="s">
        <v>6968</v>
      </c>
      <c r="I483" s="4" t="s">
        <v>4563</v>
      </c>
      <c r="J483" s="5" t="s">
        <v>61</v>
      </c>
      <c r="K483" s="5"/>
      <c r="L483" s="181"/>
    </row>
    <row r="484" spans="1:12">
      <c r="A484" s="138" t="s">
        <v>95</v>
      </c>
      <c r="B484" s="179" t="s">
        <v>6969</v>
      </c>
      <c r="C484" s="138" t="s">
        <v>6047</v>
      </c>
      <c r="D484" s="138" t="s">
        <v>6970</v>
      </c>
      <c r="E484" s="138" t="s">
        <v>6971</v>
      </c>
      <c r="F484" s="138" t="s">
        <v>40</v>
      </c>
      <c r="G484" s="180" t="s">
        <v>6972</v>
      </c>
      <c r="H484" s="180" t="s">
        <v>6973</v>
      </c>
      <c r="I484" s="4" t="s">
        <v>6974</v>
      </c>
      <c r="J484" s="5" t="s">
        <v>61</v>
      </c>
      <c r="K484" s="5"/>
      <c r="L484" s="181"/>
    </row>
    <row r="485" spans="1:12">
      <c r="A485" s="138" t="s">
        <v>106</v>
      </c>
      <c r="B485" s="179" t="s">
        <v>6975</v>
      </c>
      <c r="C485" s="138" t="s">
        <v>108</v>
      </c>
      <c r="D485" s="138" t="s">
        <v>6976</v>
      </c>
      <c r="E485" s="138" t="s">
        <v>6977</v>
      </c>
      <c r="F485" s="138" t="s">
        <v>40</v>
      </c>
      <c r="G485" s="180" t="s">
        <v>6978</v>
      </c>
      <c r="H485" s="180" t="s">
        <v>6979</v>
      </c>
      <c r="I485" s="4" t="s">
        <v>6980</v>
      </c>
      <c r="J485" s="5" t="s">
        <v>61</v>
      </c>
      <c r="K485" s="5"/>
      <c r="L485" s="181"/>
    </row>
    <row r="486" spans="1:12">
      <c r="A486" s="138" t="s">
        <v>20</v>
      </c>
      <c r="B486" s="179" t="s">
        <v>6981</v>
      </c>
      <c r="C486" s="138" t="s">
        <v>21</v>
      </c>
      <c r="D486" s="138" t="s">
        <v>6982</v>
      </c>
      <c r="E486" s="138" t="s">
        <v>6983</v>
      </c>
      <c r="F486" s="138" t="s">
        <v>40</v>
      </c>
      <c r="G486" s="180" t="s">
        <v>6984</v>
      </c>
      <c r="H486" s="180" t="s">
        <v>6985</v>
      </c>
      <c r="I486" s="4" t="s">
        <v>52</v>
      </c>
      <c r="J486" s="5" t="s">
        <v>72</v>
      </c>
      <c r="K486" s="5"/>
      <c r="L486" s="181"/>
    </row>
    <row r="487" spans="1:12">
      <c r="A487" s="138" t="s">
        <v>106</v>
      </c>
      <c r="B487" s="179" t="s">
        <v>6986</v>
      </c>
      <c r="C487" s="138" t="s">
        <v>108</v>
      </c>
      <c r="D487" s="138" t="s">
        <v>6987</v>
      </c>
      <c r="E487" s="138" t="s">
        <v>6988</v>
      </c>
      <c r="F487" s="138" t="s">
        <v>40</v>
      </c>
      <c r="G487" s="180" t="s">
        <v>6989</v>
      </c>
      <c r="H487" s="180" t="s">
        <v>6990</v>
      </c>
      <c r="I487" s="4" t="s">
        <v>946</v>
      </c>
      <c r="J487" s="5" t="s">
        <v>72</v>
      </c>
      <c r="K487" s="5"/>
      <c r="L487" s="181"/>
    </row>
    <row r="488" spans="1:12">
      <c r="A488" s="138" t="s">
        <v>95</v>
      </c>
      <c r="B488" s="179" t="s">
        <v>6991</v>
      </c>
      <c r="C488" s="138" t="s">
        <v>118</v>
      </c>
      <c r="D488" s="138" t="s">
        <v>6992</v>
      </c>
      <c r="E488" s="138" t="s">
        <v>6993</v>
      </c>
      <c r="F488" s="138" t="s">
        <v>40</v>
      </c>
      <c r="G488" s="180" t="s">
        <v>6994</v>
      </c>
      <c r="H488" s="180" t="s">
        <v>6995</v>
      </c>
      <c r="I488" s="4" t="s">
        <v>502</v>
      </c>
      <c r="J488" s="5" t="s">
        <v>72</v>
      </c>
      <c r="K488" s="5"/>
      <c r="L488" s="181"/>
    </row>
    <row r="489" spans="1:12">
      <c r="A489" s="138" t="s">
        <v>95</v>
      </c>
      <c r="B489" s="179" t="s">
        <v>6996</v>
      </c>
      <c r="C489" s="138" t="s">
        <v>97</v>
      </c>
      <c r="D489" s="138" t="s">
        <v>6346</v>
      </c>
      <c r="E489" s="138" t="s">
        <v>6911</v>
      </c>
      <c r="F489" s="138" t="s">
        <v>40</v>
      </c>
      <c r="G489" s="180" t="s">
        <v>6997</v>
      </c>
      <c r="H489" s="180" t="s">
        <v>6998</v>
      </c>
      <c r="I489" s="4" t="s">
        <v>32</v>
      </c>
      <c r="J489" s="5" t="s">
        <v>72</v>
      </c>
      <c r="K489" s="5"/>
      <c r="L489" s="181"/>
    </row>
    <row r="490" spans="1:12">
      <c r="A490" s="138" t="s">
        <v>106</v>
      </c>
      <c r="B490" s="179" t="s">
        <v>6999</v>
      </c>
      <c r="C490" s="138" t="s">
        <v>108</v>
      </c>
      <c r="D490" s="138" t="s">
        <v>7000</v>
      </c>
      <c r="E490" s="138" t="s">
        <v>7001</v>
      </c>
      <c r="F490" s="138" t="s">
        <v>40</v>
      </c>
      <c r="G490" s="180" t="s">
        <v>7002</v>
      </c>
      <c r="H490" s="180" t="s">
        <v>7003</v>
      </c>
      <c r="I490" s="4" t="s">
        <v>1470</v>
      </c>
      <c r="J490" s="5" t="s">
        <v>61</v>
      </c>
      <c r="K490" s="5"/>
      <c r="L490" s="181"/>
    </row>
    <row r="491" spans="1:12">
      <c r="A491" s="138" t="s">
        <v>95</v>
      </c>
      <c r="B491" s="179" t="s">
        <v>7004</v>
      </c>
      <c r="C491" s="138" t="s">
        <v>118</v>
      </c>
      <c r="D491" s="138" t="s">
        <v>7005</v>
      </c>
      <c r="E491" s="138" t="s">
        <v>7006</v>
      </c>
      <c r="F491" s="138" t="s">
        <v>40</v>
      </c>
      <c r="G491" s="180" t="s">
        <v>7007</v>
      </c>
      <c r="H491" s="180" t="s">
        <v>7008</v>
      </c>
      <c r="I491" s="4" t="s">
        <v>1999</v>
      </c>
      <c r="J491" s="5" t="s">
        <v>61</v>
      </c>
      <c r="K491" s="5"/>
      <c r="L491" s="181"/>
    </row>
    <row r="492" spans="1:12">
      <c r="A492" s="138" t="s">
        <v>106</v>
      </c>
      <c r="B492" s="179" t="s">
        <v>7009</v>
      </c>
      <c r="C492" s="138" t="s">
        <v>108</v>
      </c>
      <c r="D492" s="138" t="s">
        <v>7010</v>
      </c>
      <c r="E492" s="138" t="s">
        <v>7011</v>
      </c>
      <c r="F492" s="138" t="s">
        <v>40</v>
      </c>
      <c r="G492" s="180" t="s">
        <v>7012</v>
      </c>
      <c r="H492" s="180" t="s">
        <v>7013</v>
      </c>
      <c r="I492" s="4" t="s">
        <v>6980</v>
      </c>
      <c r="J492" s="5" t="s">
        <v>61</v>
      </c>
      <c r="K492" s="5"/>
      <c r="L492" s="181"/>
    </row>
    <row r="493" spans="1:12" hidden="1">
      <c r="A493" s="138" t="s">
        <v>106</v>
      </c>
      <c r="B493" s="179" t="s">
        <v>7014</v>
      </c>
      <c r="C493" s="138" t="s">
        <v>333</v>
      </c>
      <c r="D493" s="138" t="s">
        <v>7015</v>
      </c>
      <c r="E493" s="138" t="s">
        <v>7016</v>
      </c>
      <c r="F493" s="138" t="s">
        <v>308</v>
      </c>
      <c r="G493" s="180" t="s">
        <v>7017</v>
      </c>
      <c r="H493" s="180" t="s">
        <v>7017</v>
      </c>
      <c r="I493" s="4" t="s">
        <v>7018</v>
      </c>
      <c r="J493" s="5" t="s">
        <v>61</v>
      </c>
      <c r="K493" s="5"/>
      <c r="L493" s="181"/>
    </row>
    <row r="494" spans="1:12">
      <c r="A494" s="138" t="s">
        <v>20</v>
      </c>
      <c r="B494" s="179" t="s">
        <v>7019</v>
      </c>
      <c r="C494" s="138" t="s">
        <v>13</v>
      </c>
      <c r="D494" s="138" t="s">
        <v>7020</v>
      </c>
      <c r="E494" s="138" t="s">
        <v>5115</v>
      </c>
      <c r="F494" s="138" t="s">
        <v>40</v>
      </c>
      <c r="G494" s="180" t="s">
        <v>7021</v>
      </c>
      <c r="H494" s="180" t="s">
        <v>7022</v>
      </c>
      <c r="I494" s="4" t="s">
        <v>149</v>
      </c>
      <c r="J494" s="5" t="s">
        <v>61</v>
      </c>
      <c r="K494" s="5"/>
      <c r="L494" s="181"/>
    </row>
    <row r="495" spans="1:12">
      <c r="A495" s="138" t="s">
        <v>106</v>
      </c>
      <c r="B495" s="179" t="s">
        <v>7023</v>
      </c>
      <c r="C495" s="138" t="s">
        <v>108</v>
      </c>
      <c r="D495" s="138" t="s">
        <v>7024</v>
      </c>
      <c r="E495" s="138" t="s">
        <v>7025</v>
      </c>
      <c r="F495" s="138" t="s">
        <v>40</v>
      </c>
      <c r="G495" s="180" t="s">
        <v>7026</v>
      </c>
      <c r="H495" s="180" t="s">
        <v>7026</v>
      </c>
      <c r="I495" s="4" t="s">
        <v>3359</v>
      </c>
      <c r="J495" s="5" t="s">
        <v>61</v>
      </c>
      <c r="K495" s="5"/>
      <c r="L495" s="181"/>
    </row>
    <row r="496" spans="1:12">
      <c r="A496" s="138" t="s">
        <v>106</v>
      </c>
      <c r="B496" s="179" t="s">
        <v>7027</v>
      </c>
      <c r="C496" s="138" t="s">
        <v>108</v>
      </c>
      <c r="D496" s="138" t="s">
        <v>7028</v>
      </c>
      <c r="E496" s="138" t="s">
        <v>7029</v>
      </c>
      <c r="F496" s="138" t="s">
        <v>40</v>
      </c>
      <c r="G496" s="180" t="s">
        <v>7030</v>
      </c>
      <c r="H496" s="180" t="s">
        <v>7031</v>
      </c>
      <c r="I496" s="4" t="s">
        <v>1470</v>
      </c>
      <c r="J496" s="5" t="s">
        <v>61</v>
      </c>
      <c r="K496" s="5"/>
      <c r="L496" s="181"/>
    </row>
    <row r="497" spans="1:12">
      <c r="A497" s="138" t="s">
        <v>106</v>
      </c>
      <c r="B497" s="179" t="s">
        <v>7032</v>
      </c>
      <c r="C497" s="138" t="s">
        <v>333</v>
      </c>
      <c r="D497" s="138" t="s">
        <v>7033</v>
      </c>
      <c r="E497" s="138" t="s">
        <v>5115</v>
      </c>
      <c r="F497" s="138" t="s">
        <v>40</v>
      </c>
      <c r="G497" s="180" t="s">
        <v>7034</v>
      </c>
      <c r="H497" s="180" t="s">
        <v>7035</v>
      </c>
      <c r="I497" s="4" t="s">
        <v>1964</v>
      </c>
      <c r="J497" s="5" t="s">
        <v>61</v>
      </c>
      <c r="K497" s="5"/>
      <c r="L497" s="181"/>
    </row>
    <row r="498" spans="1:12" hidden="1">
      <c r="A498" s="138" t="s">
        <v>106</v>
      </c>
      <c r="B498" s="179" t="s">
        <v>7036</v>
      </c>
      <c r="C498" s="138" t="s">
        <v>108</v>
      </c>
      <c r="D498" s="138" t="s">
        <v>7037</v>
      </c>
      <c r="E498" s="138"/>
      <c r="F498" s="138" t="s">
        <v>214</v>
      </c>
      <c r="G498" s="180"/>
      <c r="H498" s="180"/>
      <c r="I498" s="4" t="s">
        <v>1470</v>
      </c>
      <c r="J498" s="5" t="s">
        <v>61</v>
      </c>
      <c r="K498" s="5"/>
      <c r="L498" s="181"/>
    </row>
    <row r="499" spans="1:12" hidden="1">
      <c r="A499" s="138" t="s">
        <v>106</v>
      </c>
      <c r="B499" s="179" t="s">
        <v>7038</v>
      </c>
      <c r="C499" s="138" t="s">
        <v>78</v>
      </c>
      <c r="D499" s="138" t="s">
        <v>7039</v>
      </c>
      <c r="E499" s="138"/>
      <c r="F499" s="138" t="s">
        <v>214</v>
      </c>
      <c r="G499" s="180" t="s">
        <v>7040</v>
      </c>
      <c r="H499" s="180"/>
      <c r="I499" s="4" t="s">
        <v>258</v>
      </c>
      <c r="J499" s="5" t="s">
        <v>61</v>
      </c>
      <c r="K499" s="5"/>
      <c r="L499" s="181"/>
    </row>
    <row r="500" spans="1:12" hidden="1">
      <c r="A500" s="138" t="s">
        <v>95</v>
      </c>
      <c r="B500" s="179" t="s">
        <v>7041</v>
      </c>
      <c r="C500" s="138" t="s">
        <v>97</v>
      </c>
      <c r="D500" s="138" t="s">
        <v>7042</v>
      </c>
      <c r="E500" s="138"/>
      <c r="F500" s="138" t="s">
        <v>214</v>
      </c>
      <c r="G500" s="180" t="s">
        <v>7043</v>
      </c>
      <c r="H500" s="180"/>
      <c r="I500" s="4" t="s">
        <v>7044</v>
      </c>
      <c r="J500" s="5" t="s">
        <v>61</v>
      </c>
      <c r="K500" s="5"/>
      <c r="L500" s="181"/>
    </row>
    <row r="501" spans="1:12">
      <c r="A501" s="138" t="s">
        <v>20</v>
      </c>
      <c r="B501" s="179" t="s">
        <v>7045</v>
      </c>
      <c r="C501" s="138" t="s">
        <v>49</v>
      </c>
      <c r="D501" s="138" t="s">
        <v>7046</v>
      </c>
      <c r="E501" s="138" t="s">
        <v>7047</v>
      </c>
      <c r="F501" s="138" t="s">
        <v>40</v>
      </c>
      <c r="G501" s="180" t="s">
        <v>7048</v>
      </c>
      <c r="H501" s="180" t="s">
        <v>7049</v>
      </c>
      <c r="I501" s="4" t="s">
        <v>32</v>
      </c>
      <c r="J501" s="5" t="s">
        <v>72</v>
      </c>
      <c r="K501" s="5"/>
      <c r="L501" s="181"/>
    </row>
    <row r="502" spans="1:12">
      <c r="A502" s="154" t="s">
        <v>95</v>
      </c>
      <c r="B502" s="159" t="s">
        <v>7050</v>
      </c>
      <c r="C502" s="134" t="s">
        <v>118</v>
      </c>
      <c r="D502" s="134" t="s">
        <v>7051</v>
      </c>
      <c r="E502" s="134" t="s">
        <v>1157</v>
      </c>
      <c r="F502" s="138" t="s">
        <v>40</v>
      </c>
      <c r="G502" s="180" t="s">
        <v>7052</v>
      </c>
      <c r="H502" s="180" t="s">
        <v>7053</v>
      </c>
      <c r="I502" s="166" t="s">
        <v>1102</v>
      </c>
      <c r="J502" s="5" t="s">
        <v>72</v>
      </c>
      <c r="K502" s="160"/>
      <c r="L502" s="161"/>
    </row>
    <row r="503" spans="1:12">
      <c r="A503" s="138" t="s">
        <v>106</v>
      </c>
      <c r="B503" s="155" t="s">
        <v>7054</v>
      </c>
      <c r="C503" s="133" t="s">
        <v>108</v>
      </c>
      <c r="D503" s="133" t="s">
        <v>2304</v>
      </c>
      <c r="E503" s="138" t="s">
        <v>276</v>
      </c>
      <c r="F503" s="138" t="s">
        <v>40</v>
      </c>
      <c r="G503" s="180" t="s">
        <v>7055</v>
      </c>
      <c r="H503" s="180" t="s">
        <v>7056</v>
      </c>
      <c r="I503" s="4" t="s">
        <v>946</v>
      </c>
      <c r="J503" s="5" t="s">
        <v>72</v>
      </c>
      <c r="K503" s="157"/>
      <c r="L503" s="158"/>
    </row>
    <row r="504" spans="1:12">
      <c r="A504" s="154" t="s">
        <v>95</v>
      </c>
      <c r="B504" s="155" t="s">
        <v>7057</v>
      </c>
      <c r="C504" s="133" t="s">
        <v>97</v>
      </c>
      <c r="D504" s="133" t="s">
        <v>6346</v>
      </c>
      <c r="E504" s="133" t="s">
        <v>7047</v>
      </c>
      <c r="F504" s="138" t="s">
        <v>40</v>
      </c>
      <c r="G504" s="180" t="s">
        <v>7058</v>
      </c>
      <c r="H504" s="180" t="s">
        <v>7059</v>
      </c>
      <c r="I504" s="165" t="s">
        <v>32</v>
      </c>
      <c r="J504" s="5" t="s">
        <v>72</v>
      </c>
      <c r="K504" s="157"/>
      <c r="L504" s="158"/>
    </row>
    <row r="505" spans="1:12">
      <c r="A505" s="154" t="s">
        <v>20</v>
      </c>
      <c r="B505" s="155" t="s">
        <v>7060</v>
      </c>
      <c r="C505" s="133" t="s">
        <v>21</v>
      </c>
      <c r="D505" s="133" t="s">
        <v>7061</v>
      </c>
      <c r="E505" s="133" t="s">
        <v>7062</v>
      </c>
      <c r="F505" s="138" t="s">
        <v>40</v>
      </c>
      <c r="G505" s="180" t="s">
        <v>7063</v>
      </c>
      <c r="H505" s="180" t="s">
        <v>7064</v>
      </c>
      <c r="I505" s="165" t="s">
        <v>7065</v>
      </c>
      <c r="J505" s="5" t="s">
        <v>72</v>
      </c>
      <c r="K505" s="157"/>
      <c r="L505" s="158"/>
    </row>
    <row r="506" spans="1:12">
      <c r="A506" s="154" t="s">
        <v>20</v>
      </c>
      <c r="B506" s="155" t="s">
        <v>7066</v>
      </c>
      <c r="C506" s="133" t="s">
        <v>21</v>
      </c>
      <c r="D506" s="133" t="s">
        <v>7067</v>
      </c>
      <c r="E506" s="133" t="s">
        <v>7068</v>
      </c>
      <c r="F506" s="138" t="s">
        <v>40</v>
      </c>
      <c r="G506" s="180" t="s">
        <v>7069</v>
      </c>
      <c r="H506" s="180" t="s">
        <v>7070</v>
      </c>
      <c r="I506" s="165" t="s">
        <v>52</v>
      </c>
      <c r="J506" s="5" t="s">
        <v>72</v>
      </c>
      <c r="K506" s="157"/>
      <c r="L506" s="158"/>
    </row>
    <row r="507" spans="1:12" ht="87">
      <c r="A507" s="154" t="s">
        <v>95</v>
      </c>
      <c r="B507" s="155" t="s">
        <v>7071</v>
      </c>
      <c r="C507" s="133" t="s">
        <v>118</v>
      </c>
      <c r="D507" s="133" t="s">
        <v>7072</v>
      </c>
      <c r="E507" s="135" t="s">
        <v>7073</v>
      </c>
      <c r="F507" s="133" t="s">
        <v>40</v>
      </c>
      <c r="G507" s="180" t="s">
        <v>7074</v>
      </c>
      <c r="H507" s="180" t="s">
        <v>7075</v>
      </c>
      <c r="I507" s="165" t="s">
        <v>1102</v>
      </c>
      <c r="J507" s="5" t="s">
        <v>72</v>
      </c>
      <c r="K507" s="157"/>
      <c r="L507" s="158"/>
    </row>
    <row r="508" spans="1:12">
      <c r="A508" s="154" t="s">
        <v>20</v>
      </c>
      <c r="B508" s="182" t="s">
        <v>7076</v>
      </c>
      <c r="C508" s="133" t="s">
        <v>49</v>
      </c>
      <c r="D508" s="133" t="s">
        <v>7077</v>
      </c>
      <c r="E508" s="133" t="s">
        <v>7078</v>
      </c>
      <c r="F508" s="133" t="s">
        <v>40</v>
      </c>
      <c r="G508" s="180" t="s">
        <v>7079</v>
      </c>
      <c r="H508" s="180" t="s">
        <v>7080</v>
      </c>
      <c r="I508" s="165" t="s">
        <v>7081</v>
      </c>
      <c r="J508" s="5" t="s">
        <v>72</v>
      </c>
      <c r="K508" s="157"/>
      <c r="L508" s="158"/>
    </row>
    <row r="509" spans="1:12">
      <c r="A509" s="154" t="s">
        <v>20</v>
      </c>
      <c r="B509" s="155" t="s">
        <v>7082</v>
      </c>
      <c r="C509" s="133" t="s">
        <v>13</v>
      </c>
      <c r="D509" s="133" t="s">
        <v>7083</v>
      </c>
      <c r="E509" s="133" t="s">
        <v>7084</v>
      </c>
      <c r="F509" s="133" t="s">
        <v>40</v>
      </c>
      <c r="G509" s="180" t="s">
        <v>7085</v>
      </c>
      <c r="H509" s="180" t="s">
        <v>7086</v>
      </c>
      <c r="I509" s="165" t="s">
        <v>5454</v>
      </c>
      <c r="J509" s="5" t="s">
        <v>61</v>
      </c>
      <c r="K509" s="157" t="s">
        <v>94</v>
      </c>
      <c r="L509" s="158"/>
    </row>
    <row r="510" spans="1:12">
      <c r="A510" s="154" t="s">
        <v>106</v>
      </c>
      <c r="B510" s="155" t="s">
        <v>7087</v>
      </c>
      <c r="C510" s="133" t="s">
        <v>108</v>
      </c>
      <c r="D510" s="133" t="s">
        <v>7088</v>
      </c>
      <c r="E510" s="133" t="s">
        <v>7089</v>
      </c>
      <c r="F510" s="133" t="s">
        <v>40</v>
      </c>
      <c r="G510" s="180" t="s">
        <v>7090</v>
      </c>
      <c r="H510" s="180">
        <v>45352.506944444445</v>
      </c>
      <c r="I510" s="165" t="s">
        <v>111</v>
      </c>
      <c r="J510" s="5" t="s">
        <v>61</v>
      </c>
      <c r="K510" s="157" t="s">
        <v>94</v>
      </c>
      <c r="L510" s="158"/>
    </row>
    <row r="511" spans="1:12">
      <c r="A511" s="154" t="s">
        <v>20</v>
      </c>
      <c r="B511" s="155" t="s">
        <v>7091</v>
      </c>
      <c r="C511" s="133" t="s">
        <v>13</v>
      </c>
      <c r="D511" s="133" t="s">
        <v>7092</v>
      </c>
      <c r="E511" s="133" t="s">
        <v>7093</v>
      </c>
      <c r="F511" s="133" t="s">
        <v>40</v>
      </c>
      <c r="G511" s="180" t="s">
        <v>7094</v>
      </c>
      <c r="H511" s="180" t="s">
        <v>7095</v>
      </c>
      <c r="I511" s="165" t="s">
        <v>17</v>
      </c>
      <c r="J511" s="5" t="s">
        <v>72</v>
      </c>
      <c r="K511" s="157"/>
      <c r="L511" s="158"/>
    </row>
    <row r="512" spans="1:12">
      <c r="A512" s="154" t="s">
        <v>20</v>
      </c>
      <c r="B512" s="155" t="s">
        <v>7096</v>
      </c>
      <c r="C512" s="133" t="s">
        <v>21</v>
      </c>
      <c r="D512" s="133" t="s">
        <v>7097</v>
      </c>
      <c r="E512" s="133" t="s">
        <v>7098</v>
      </c>
      <c r="F512" s="133" t="s">
        <v>40</v>
      </c>
      <c r="G512" s="180" t="s">
        <v>7099</v>
      </c>
      <c r="H512" s="180" t="s">
        <v>7100</v>
      </c>
      <c r="I512" s="165" t="s">
        <v>7101</v>
      </c>
      <c r="J512" s="5" t="s">
        <v>72</v>
      </c>
      <c r="K512" s="157"/>
      <c r="L512" s="158"/>
    </row>
    <row r="513" spans="1:12">
      <c r="A513" s="154" t="s">
        <v>95</v>
      </c>
      <c r="B513" s="155" t="s">
        <v>7102</v>
      </c>
      <c r="C513" s="133" t="s">
        <v>97</v>
      </c>
      <c r="D513" s="133" t="s">
        <v>6346</v>
      </c>
      <c r="E513" s="133" t="s">
        <v>6553</v>
      </c>
      <c r="F513" s="133" t="s">
        <v>40</v>
      </c>
      <c r="G513" s="180" t="s">
        <v>7095</v>
      </c>
      <c r="H513" s="180" t="s">
        <v>7103</v>
      </c>
      <c r="I513" s="165" t="s">
        <v>32</v>
      </c>
      <c r="J513" s="5" t="s">
        <v>72</v>
      </c>
      <c r="K513" s="157"/>
      <c r="L513" s="158"/>
    </row>
    <row r="514" spans="1:12">
      <c r="A514" s="154" t="s">
        <v>20</v>
      </c>
      <c r="B514" s="155" t="s">
        <v>7104</v>
      </c>
      <c r="C514" s="133" t="s">
        <v>21</v>
      </c>
      <c r="D514" s="133" t="s">
        <v>1821</v>
      </c>
      <c r="E514" s="133" t="s">
        <v>7105</v>
      </c>
      <c r="F514" s="133" t="s">
        <v>40</v>
      </c>
      <c r="G514" s="180" t="s">
        <v>7106</v>
      </c>
      <c r="H514" s="180" t="s">
        <v>7107</v>
      </c>
      <c r="I514" s="165" t="s">
        <v>52</v>
      </c>
      <c r="J514" s="5" t="s">
        <v>72</v>
      </c>
      <c r="K514" s="157"/>
      <c r="L514" s="158"/>
    </row>
    <row r="515" spans="1:12">
      <c r="A515" s="154" t="s">
        <v>20</v>
      </c>
      <c r="B515" s="155" t="s">
        <v>7108</v>
      </c>
      <c r="C515" s="133" t="s">
        <v>13</v>
      </c>
      <c r="D515" s="133" t="s">
        <v>7109</v>
      </c>
      <c r="E515" s="133" t="s">
        <v>276</v>
      </c>
      <c r="F515" s="133" t="s">
        <v>40</v>
      </c>
      <c r="G515" s="156" t="s">
        <v>7110</v>
      </c>
      <c r="H515" s="156" t="s">
        <v>7111</v>
      </c>
      <c r="I515" s="165" t="s">
        <v>17</v>
      </c>
      <c r="J515" s="157" t="s">
        <v>72</v>
      </c>
      <c r="K515" s="157"/>
      <c r="L515" s="158"/>
    </row>
    <row r="516" spans="1:12">
      <c r="A516" s="154" t="s">
        <v>95</v>
      </c>
      <c r="B516" s="155" t="s">
        <v>7112</v>
      </c>
      <c r="C516" s="133" t="s">
        <v>97</v>
      </c>
      <c r="D516" s="133" t="s">
        <v>7113</v>
      </c>
      <c r="E516" s="133" t="s">
        <v>7114</v>
      </c>
      <c r="F516" s="133" t="s">
        <v>40</v>
      </c>
      <c r="G516" s="156" t="s">
        <v>7115</v>
      </c>
      <c r="H516" s="156" t="s">
        <v>7116</v>
      </c>
      <c r="I516" s="165" t="s">
        <v>7117</v>
      </c>
      <c r="J516" s="157" t="s">
        <v>72</v>
      </c>
      <c r="K516" s="157"/>
      <c r="L516" s="158"/>
    </row>
    <row r="517" spans="1:12">
      <c r="A517" s="154" t="s">
        <v>20</v>
      </c>
      <c r="B517" s="155" t="s">
        <v>7118</v>
      </c>
      <c r="C517" s="133" t="s">
        <v>21</v>
      </c>
      <c r="D517" s="133" t="s">
        <v>7119</v>
      </c>
      <c r="E517" s="133" t="s">
        <v>7120</v>
      </c>
      <c r="F517" s="133" t="s">
        <v>40</v>
      </c>
      <c r="G517" s="156" t="s">
        <v>7121</v>
      </c>
      <c r="H517" s="156" t="s">
        <v>7111</v>
      </c>
      <c r="I517" s="165" t="s">
        <v>52</v>
      </c>
      <c r="J517" s="157" t="s">
        <v>72</v>
      </c>
      <c r="K517" s="157"/>
      <c r="L517" s="158"/>
    </row>
    <row r="518" spans="1:12" ht="29">
      <c r="A518" s="154" t="s">
        <v>106</v>
      </c>
      <c r="B518" s="155" t="s">
        <v>7122</v>
      </c>
      <c r="C518" s="133" t="s">
        <v>78</v>
      </c>
      <c r="D518" s="133" t="s">
        <v>7123</v>
      </c>
      <c r="E518" s="135" t="s">
        <v>7124</v>
      </c>
      <c r="F518" s="133" t="s">
        <v>40</v>
      </c>
      <c r="G518" s="156" t="s">
        <v>7125</v>
      </c>
      <c r="H518" s="156" t="s">
        <v>7126</v>
      </c>
      <c r="I518" s="165" t="s">
        <v>7127</v>
      </c>
      <c r="J518" s="157" t="s">
        <v>94</v>
      </c>
      <c r="K518" s="157"/>
      <c r="L518" s="158"/>
    </row>
    <row r="519" spans="1:12">
      <c r="A519" s="154" t="s">
        <v>20</v>
      </c>
      <c r="B519" s="155" t="s">
        <v>7128</v>
      </c>
      <c r="C519" s="133" t="s">
        <v>13</v>
      </c>
      <c r="D519" s="133" t="s">
        <v>7129</v>
      </c>
      <c r="E519" s="133" t="s">
        <v>7130</v>
      </c>
      <c r="F519" s="133" t="s">
        <v>40</v>
      </c>
      <c r="G519" s="156" t="s">
        <v>7131</v>
      </c>
      <c r="H519" s="156" t="s">
        <v>7132</v>
      </c>
      <c r="I519" s="165" t="s">
        <v>17</v>
      </c>
      <c r="J519" s="157" t="s">
        <v>94</v>
      </c>
      <c r="K519" s="157" t="s">
        <v>88</v>
      </c>
      <c r="L519" s="158"/>
    </row>
    <row r="520" spans="1:12">
      <c r="A520" s="154" t="s">
        <v>20</v>
      </c>
      <c r="B520" s="155" t="s">
        <v>7133</v>
      </c>
      <c r="C520" s="133" t="s">
        <v>21</v>
      </c>
      <c r="D520" s="133" t="s">
        <v>6103</v>
      </c>
      <c r="E520" s="133" t="s">
        <v>7134</v>
      </c>
      <c r="F520" s="133" t="s">
        <v>40</v>
      </c>
      <c r="G520" s="156" t="s">
        <v>7135</v>
      </c>
      <c r="H520" s="156" t="s">
        <v>7136</v>
      </c>
      <c r="I520" s="165" t="s">
        <v>3813</v>
      </c>
      <c r="J520" s="157" t="s">
        <v>88</v>
      </c>
      <c r="K520" s="157"/>
      <c r="L520" s="158"/>
    </row>
    <row r="521" spans="1:12">
      <c r="A521" s="154" t="s">
        <v>20</v>
      </c>
      <c r="B521" s="155" t="s">
        <v>7137</v>
      </c>
      <c r="C521" s="133" t="s">
        <v>21</v>
      </c>
      <c r="D521" s="133" t="s">
        <v>7138</v>
      </c>
      <c r="E521" s="133" t="s">
        <v>7139</v>
      </c>
      <c r="F521" s="133" t="s">
        <v>40</v>
      </c>
      <c r="G521" s="156" t="s">
        <v>7140</v>
      </c>
      <c r="H521" s="156" t="s">
        <v>7141</v>
      </c>
      <c r="I521" s="165" t="s">
        <v>3813</v>
      </c>
      <c r="J521" s="157" t="s">
        <v>88</v>
      </c>
      <c r="K521" s="157"/>
      <c r="L521" s="158"/>
    </row>
    <row r="522" spans="1:12">
      <c r="A522" s="154" t="s">
        <v>20</v>
      </c>
      <c r="B522" s="155" t="s">
        <v>7142</v>
      </c>
      <c r="C522" s="133" t="s">
        <v>13</v>
      </c>
      <c r="D522" s="133" t="s">
        <v>7143</v>
      </c>
      <c r="E522" s="134" t="s">
        <v>7144</v>
      </c>
      <c r="F522" s="133" t="s">
        <v>40</v>
      </c>
      <c r="G522" s="156" t="s">
        <v>7145</v>
      </c>
      <c r="H522" s="156">
        <v>45415.675000000003</v>
      </c>
      <c r="I522" s="165" t="s">
        <v>409</v>
      </c>
      <c r="J522" s="157" t="s">
        <v>94</v>
      </c>
      <c r="K522" s="157"/>
      <c r="L522" s="158"/>
    </row>
    <row r="523" spans="1:12">
      <c r="A523" s="154" t="s">
        <v>95</v>
      </c>
      <c r="B523" s="155" t="s">
        <v>7146</v>
      </c>
      <c r="C523" s="133" t="s">
        <v>113</v>
      </c>
      <c r="D523" s="133" t="s">
        <v>7147</v>
      </c>
      <c r="E523" s="133" t="s">
        <v>7148</v>
      </c>
      <c r="F523" s="133" t="s">
        <v>40</v>
      </c>
      <c r="G523" s="156" t="s">
        <v>7149</v>
      </c>
      <c r="H523" s="156" t="s">
        <v>7150</v>
      </c>
      <c r="I523" s="165" t="s">
        <v>7151</v>
      </c>
      <c r="J523" s="157" t="s">
        <v>94</v>
      </c>
      <c r="K523" s="157"/>
      <c r="L523" s="158"/>
    </row>
    <row r="524" spans="1:12">
      <c r="A524" s="154" t="s">
        <v>20</v>
      </c>
      <c r="B524" s="155" t="s">
        <v>7152</v>
      </c>
      <c r="C524" s="133" t="s">
        <v>49</v>
      </c>
      <c r="D524" s="133" t="s">
        <v>7153</v>
      </c>
      <c r="E524" s="134" t="s">
        <v>7154</v>
      </c>
      <c r="F524" s="133" t="s">
        <v>40</v>
      </c>
      <c r="G524" s="156" t="s">
        <v>7155</v>
      </c>
      <c r="H524" s="156" t="s">
        <v>7156</v>
      </c>
      <c r="I524" s="165" t="s">
        <v>7157</v>
      </c>
      <c r="J524" s="157" t="s">
        <v>94</v>
      </c>
      <c r="K524" s="157"/>
      <c r="L524" s="158"/>
    </row>
    <row r="525" spans="1:12">
      <c r="A525" s="154" t="s">
        <v>20</v>
      </c>
      <c r="B525" s="155" t="s">
        <v>7158</v>
      </c>
      <c r="C525" s="133" t="s">
        <v>13</v>
      </c>
      <c r="D525" s="133" t="s">
        <v>7159</v>
      </c>
      <c r="E525" s="133" t="s">
        <v>7160</v>
      </c>
      <c r="F525" s="133" t="s">
        <v>40</v>
      </c>
      <c r="G525" s="156" t="s">
        <v>7161</v>
      </c>
      <c r="H525" s="156">
        <v>45294.018750000003</v>
      </c>
      <c r="I525" s="165" t="s">
        <v>6690</v>
      </c>
      <c r="J525" s="157" t="s">
        <v>88</v>
      </c>
      <c r="K525" s="157"/>
      <c r="L525" s="158"/>
    </row>
    <row r="526" spans="1:12">
      <c r="A526" s="154" t="s">
        <v>20</v>
      </c>
      <c r="B526" s="155" t="s">
        <v>7162</v>
      </c>
      <c r="C526" s="133" t="s">
        <v>49</v>
      </c>
      <c r="D526" s="133" t="s">
        <v>7163</v>
      </c>
      <c r="E526" s="133" t="s">
        <v>7164</v>
      </c>
      <c r="F526" s="133" t="s">
        <v>40</v>
      </c>
      <c r="G526" s="156" t="s">
        <v>7165</v>
      </c>
      <c r="H526" s="156" t="s">
        <v>7166</v>
      </c>
      <c r="I526" s="165" t="s">
        <v>7157</v>
      </c>
      <c r="J526" s="157" t="s">
        <v>94</v>
      </c>
      <c r="K526" s="157"/>
      <c r="L526" s="158"/>
    </row>
    <row r="527" spans="1:12">
      <c r="A527" s="154" t="s">
        <v>20</v>
      </c>
      <c r="B527" s="155" t="s">
        <v>7167</v>
      </c>
      <c r="C527" s="133" t="s">
        <v>21</v>
      </c>
      <c r="D527" s="133" t="s">
        <v>7168</v>
      </c>
      <c r="E527" s="133" t="s">
        <v>7169</v>
      </c>
      <c r="F527" s="133" t="s">
        <v>40</v>
      </c>
      <c r="G527" s="156" t="s">
        <v>7170</v>
      </c>
      <c r="H527" s="156" t="s">
        <v>7171</v>
      </c>
      <c r="I527" s="165" t="s">
        <v>4359</v>
      </c>
      <c r="J527" s="157" t="s">
        <v>88</v>
      </c>
      <c r="K527" s="157"/>
      <c r="L527" s="158"/>
    </row>
    <row r="528" spans="1:12">
      <c r="A528" s="154" t="s">
        <v>95</v>
      </c>
      <c r="B528" s="155" t="s">
        <v>7172</v>
      </c>
      <c r="C528" s="133" t="s">
        <v>97</v>
      </c>
      <c r="D528" s="133" t="s">
        <v>2684</v>
      </c>
      <c r="E528" s="133" t="s">
        <v>7173</v>
      </c>
      <c r="F528" s="133" t="s">
        <v>40</v>
      </c>
      <c r="G528" s="156" t="s">
        <v>7174</v>
      </c>
      <c r="H528" s="156" t="s">
        <v>7175</v>
      </c>
      <c r="I528" s="165" t="s">
        <v>2585</v>
      </c>
      <c r="J528" s="157" t="s">
        <v>88</v>
      </c>
      <c r="K528" s="157"/>
      <c r="L528" s="158"/>
    </row>
    <row r="529" spans="1:12">
      <c r="A529" s="154" t="s">
        <v>20</v>
      </c>
      <c r="B529" s="155" t="s">
        <v>7176</v>
      </c>
      <c r="C529" s="133" t="s">
        <v>21</v>
      </c>
      <c r="D529" s="133" t="s">
        <v>7177</v>
      </c>
      <c r="E529" s="133" t="s">
        <v>7178</v>
      </c>
      <c r="F529" s="133" t="s">
        <v>40</v>
      </c>
      <c r="G529" s="156" t="s">
        <v>7179</v>
      </c>
      <c r="H529" s="156" t="s">
        <v>7180</v>
      </c>
      <c r="I529" s="165" t="s">
        <v>3813</v>
      </c>
      <c r="J529" s="157" t="s">
        <v>88</v>
      </c>
      <c r="K529" s="157"/>
      <c r="L529" s="158"/>
    </row>
    <row r="530" spans="1:12">
      <c r="A530" s="154" t="s">
        <v>20</v>
      </c>
      <c r="B530" s="155" t="s">
        <v>7181</v>
      </c>
      <c r="C530" s="133" t="s">
        <v>21</v>
      </c>
      <c r="D530" s="133" t="s">
        <v>7182</v>
      </c>
      <c r="E530" s="133" t="s">
        <v>7183</v>
      </c>
      <c r="F530" s="133" t="s">
        <v>40</v>
      </c>
      <c r="G530" s="156" t="s">
        <v>7184</v>
      </c>
      <c r="H530" s="156" t="s">
        <v>7185</v>
      </c>
      <c r="I530" s="165" t="s">
        <v>3813</v>
      </c>
      <c r="J530" s="157" t="s">
        <v>88</v>
      </c>
      <c r="K530" s="157"/>
      <c r="L530" s="158"/>
    </row>
    <row r="531" spans="1:12">
      <c r="A531" s="154" t="s">
        <v>20</v>
      </c>
      <c r="B531" s="155" t="s">
        <v>7186</v>
      </c>
      <c r="C531" s="133" t="s">
        <v>21</v>
      </c>
      <c r="D531" s="133" t="s">
        <v>7187</v>
      </c>
      <c r="E531" s="133" t="s">
        <v>7188</v>
      </c>
      <c r="F531" s="133" t="s">
        <v>40</v>
      </c>
      <c r="G531" s="156" t="s">
        <v>7189</v>
      </c>
      <c r="H531" s="156" t="s">
        <v>7190</v>
      </c>
      <c r="I531" s="165" t="s">
        <v>3813</v>
      </c>
      <c r="J531" s="157" t="s">
        <v>88</v>
      </c>
      <c r="K531" s="157"/>
      <c r="L531" s="158"/>
    </row>
    <row r="532" spans="1:12">
      <c r="A532" s="154" t="s">
        <v>20</v>
      </c>
      <c r="B532" s="155" t="s">
        <v>7191</v>
      </c>
      <c r="C532" s="133" t="s">
        <v>21</v>
      </c>
      <c r="D532" s="133" t="s">
        <v>3866</v>
      </c>
      <c r="E532" s="133" t="s">
        <v>7192</v>
      </c>
      <c r="F532" s="133" t="s">
        <v>40</v>
      </c>
      <c r="G532" s="156" t="s">
        <v>7193</v>
      </c>
      <c r="H532" s="156" t="s">
        <v>7194</v>
      </c>
      <c r="I532" s="165" t="s">
        <v>3813</v>
      </c>
      <c r="J532" s="157" t="s">
        <v>88</v>
      </c>
      <c r="K532" s="157"/>
      <c r="L532" s="158"/>
    </row>
    <row r="533" spans="1:12">
      <c r="A533" s="154" t="s">
        <v>20</v>
      </c>
      <c r="B533" s="155" t="s">
        <v>7195</v>
      </c>
      <c r="C533" s="133" t="s">
        <v>21</v>
      </c>
      <c r="D533" s="133" t="s">
        <v>7196</v>
      </c>
      <c r="E533" s="133" t="s">
        <v>7197</v>
      </c>
      <c r="F533" s="133" t="s">
        <v>40</v>
      </c>
      <c r="G533" s="156" t="s">
        <v>7198</v>
      </c>
      <c r="H533" s="156" t="s">
        <v>7199</v>
      </c>
      <c r="I533" s="165" t="s">
        <v>3813</v>
      </c>
      <c r="J533" s="157" t="s">
        <v>88</v>
      </c>
      <c r="K533" s="157"/>
      <c r="L533" s="158"/>
    </row>
    <row r="534" spans="1:12">
      <c r="A534" s="154" t="s">
        <v>20</v>
      </c>
      <c r="B534" s="155" t="s">
        <v>7200</v>
      </c>
      <c r="C534" s="133" t="s">
        <v>13</v>
      </c>
      <c r="D534" s="133" t="s">
        <v>7201</v>
      </c>
      <c r="E534" s="133" t="s">
        <v>7202</v>
      </c>
      <c r="F534" s="133" t="s">
        <v>40</v>
      </c>
      <c r="G534" s="156" t="s">
        <v>7203</v>
      </c>
      <c r="H534" s="156">
        <v>45294.590277777781</v>
      </c>
      <c r="I534" s="165" t="s">
        <v>7204</v>
      </c>
      <c r="J534" s="157" t="s">
        <v>88</v>
      </c>
      <c r="K534" s="157" t="s">
        <v>94</v>
      </c>
      <c r="L534" s="158"/>
    </row>
    <row r="535" spans="1:12">
      <c r="A535" s="154" t="s">
        <v>20</v>
      </c>
      <c r="B535" s="155" t="s">
        <v>7205</v>
      </c>
      <c r="C535" s="133" t="s">
        <v>21</v>
      </c>
      <c r="D535" s="133" t="s">
        <v>7206</v>
      </c>
      <c r="E535" s="133" t="s">
        <v>7207</v>
      </c>
      <c r="F535" s="133" t="s">
        <v>40</v>
      </c>
      <c r="G535" s="156" t="s">
        <v>7208</v>
      </c>
      <c r="H535" s="156" t="s">
        <v>7209</v>
      </c>
      <c r="I535" s="165" t="s">
        <v>3813</v>
      </c>
      <c r="J535" s="157" t="s">
        <v>88</v>
      </c>
      <c r="K535" s="157"/>
      <c r="L535" s="158"/>
    </row>
    <row r="536" spans="1:12">
      <c r="A536" s="154" t="s">
        <v>106</v>
      </c>
      <c r="B536" s="155" t="s">
        <v>7210</v>
      </c>
      <c r="C536" s="133" t="s">
        <v>108</v>
      </c>
      <c r="D536" s="133" t="s">
        <v>1767</v>
      </c>
      <c r="E536" s="133" t="s">
        <v>7211</v>
      </c>
      <c r="F536" s="133" t="s">
        <v>40</v>
      </c>
      <c r="G536" s="156">
        <v>45294.073611111111</v>
      </c>
      <c r="H536" s="156">
        <v>45294.087500000001</v>
      </c>
      <c r="I536" s="165" t="s">
        <v>7212</v>
      </c>
      <c r="J536" s="157" t="s">
        <v>88</v>
      </c>
      <c r="K536" s="157"/>
      <c r="L536" s="158"/>
    </row>
    <row r="537" spans="1:12">
      <c r="A537" s="154" t="s">
        <v>106</v>
      </c>
      <c r="B537" s="155" t="s">
        <v>7213</v>
      </c>
      <c r="C537" s="133" t="s">
        <v>108</v>
      </c>
      <c r="D537" s="133" t="s">
        <v>7214</v>
      </c>
      <c r="E537" s="133" t="s">
        <v>7215</v>
      </c>
      <c r="F537" s="133" t="s">
        <v>40</v>
      </c>
      <c r="G537" s="156">
        <v>45294.074999999997</v>
      </c>
      <c r="H537" s="156">
        <v>45294.087500000001</v>
      </c>
      <c r="I537" s="165" t="s">
        <v>960</v>
      </c>
      <c r="J537" s="157" t="s">
        <v>88</v>
      </c>
      <c r="K537" s="157"/>
      <c r="L537" s="158"/>
    </row>
    <row r="538" spans="1:12">
      <c r="A538" s="154" t="s">
        <v>106</v>
      </c>
      <c r="B538" s="155" t="s">
        <v>7216</v>
      </c>
      <c r="C538" s="133" t="s">
        <v>333</v>
      </c>
      <c r="D538" s="133" t="s">
        <v>7217</v>
      </c>
      <c r="E538" s="133" t="s">
        <v>7218</v>
      </c>
      <c r="F538" s="133" t="s">
        <v>40</v>
      </c>
      <c r="G538" s="156">
        <v>45294.185416666667</v>
      </c>
      <c r="H538" s="156">
        <v>45294.463194444441</v>
      </c>
      <c r="I538" s="165" t="s">
        <v>7219</v>
      </c>
      <c r="J538" s="157" t="s">
        <v>94</v>
      </c>
      <c r="K538" s="157"/>
      <c r="L538" s="158"/>
    </row>
    <row r="539" spans="1:12">
      <c r="A539" s="154" t="s">
        <v>20</v>
      </c>
      <c r="B539" s="155" t="s">
        <v>7220</v>
      </c>
      <c r="C539" s="133" t="s">
        <v>49</v>
      </c>
      <c r="D539" s="133" t="s">
        <v>7221</v>
      </c>
      <c r="E539" s="133" t="s">
        <v>7222</v>
      </c>
      <c r="F539" s="133" t="s">
        <v>40</v>
      </c>
      <c r="G539" s="156">
        <v>45294.37222222222</v>
      </c>
      <c r="H539" s="156">
        <v>45294.456944444442</v>
      </c>
      <c r="I539" s="165" t="s">
        <v>7223</v>
      </c>
      <c r="J539" s="157" t="s">
        <v>94</v>
      </c>
      <c r="K539" s="157"/>
      <c r="L539" s="158"/>
    </row>
    <row r="540" spans="1:12">
      <c r="A540" s="154" t="s">
        <v>20</v>
      </c>
      <c r="B540" s="155" t="s">
        <v>7224</v>
      </c>
      <c r="C540" s="133" t="s">
        <v>13</v>
      </c>
      <c r="D540" s="133" t="s">
        <v>7225</v>
      </c>
      <c r="E540" s="133" t="s">
        <v>7226</v>
      </c>
      <c r="F540" s="133" t="s">
        <v>40</v>
      </c>
      <c r="G540" s="156">
        <v>45294.374305555553</v>
      </c>
      <c r="H540" s="156">
        <v>45294.490277777775</v>
      </c>
      <c r="I540" s="165" t="s">
        <v>17</v>
      </c>
      <c r="J540" s="157" t="s">
        <v>94</v>
      </c>
      <c r="K540" s="157"/>
      <c r="L540" s="158"/>
    </row>
    <row r="541" spans="1:12">
      <c r="A541" s="154" t="s">
        <v>106</v>
      </c>
      <c r="B541" s="155" t="s">
        <v>7227</v>
      </c>
      <c r="C541" s="133" t="s">
        <v>108</v>
      </c>
      <c r="D541" s="133" t="s">
        <v>7214</v>
      </c>
      <c r="E541" s="133" t="s">
        <v>7228</v>
      </c>
      <c r="F541" s="133" t="s">
        <v>40</v>
      </c>
      <c r="G541" s="156">
        <v>45294.69027777778</v>
      </c>
      <c r="H541" s="156">
        <v>45294.711805555555</v>
      </c>
      <c r="I541" s="165" t="s">
        <v>960</v>
      </c>
      <c r="J541" s="157" t="s">
        <v>88</v>
      </c>
      <c r="K541" s="157"/>
      <c r="L541" s="158"/>
    </row>
    <row r="542" spans="1:12">
      <c r="A542" s="154" t="s">
        <v>20</v>
      </c>
      <c r="B542" s="155" t="s">
        <v>7229</v>
      </c>
      <c r="C542" s="133" t="s">
        <v>21</v>
      </c>
      <c r="D542" s="133" t="s">
        <v>7230</v>
      </c>
      <c r="E542" s="133" t="s">
        <v>7231</v>
      </c>
      <c r="F542" s="133" t="s">
        <v>40</v>
      </c>
      <c r="G542" s="156">
        <v>45294.742361111108</v>
      </c>
      <c r="H542" s="156">
        <v>45294.831250000003</v>
      </c>
      <c r="I542" s="165" t="s">
        <v>3813</v>
      </c>
      <c r="J542" s="157" t="s">
        <v>88</v>
      </c>
      <c r="K542" s="157"/>
      <c r="L542" s="158"/>
    </row>
    <row r="543" spans="1:12">
      <c r="A543" s="154" t="s">
        <v>20</v>
      </c>
      <c r="B543" s="155" t="s">
        <v>7232</v>
      </c>
      <c r="C543" s="133" t="s">
        <v>21</v>
      </c>
      <c r="D543" s="133" t="s">
        <v>7233</v>
      </c>
      <c r="E543" s="133" t="s">
        <v>7234</v>
      </c>
      <c r="F543" s="133" t="s">
        <v>40</v>
      </c>
      <c r="G543" s="156">
        <v>45294.769444444442</v>
      </c>
      <c r="H543" s="156">
        <v>45294.824999999997</v>
      </c>
      <c r="I543" s="165" t="s">
        <v>3813</v>
      </c>
      <c r="J543" s="157" t="s">
        <v>88</v>
      </c>
      <c r="K543" s="157"/>
      <c r="L543" s="158"/>
    </row>
    <row r="544" spans="1:12">
      <c r="A544" s="154" t="s">
        <v>20</v>
      </c>
      <c r="B544" s="155" t="s">
        <v>7235</v>
      </c>
      <c r="C544" s="133" t="s">
        <v>21</v>
      </c>
      <c r="D544" s="133" t="s">
        <v>6156</v>
      </c>
      <c r="E544" s="133" t="s">
        <v>7236</v>
      </c>
      <c r="F544" s="133" t="s">
        <v>40</v>
      </c>
      <c r="G544" s="156">
        <v>45294.797222222223</v>
      </c>
      <c r="H544" s="156">
        <v>45294.826388888891</v>
      </c>
      <c r="I544" s="165" t="s">
        <v>3813</v>
      </c>
      <c r="J544" s="157" t="s">
        <v>88</v>
      </c>
      <c r="K544" s="157"/>
      <c r="L544" s="158"/>
    </row>
    <row r="545" spans="1:12">
      <c r="A545" s="154" t="s">
        <v>106</v>
      </c>
      <c r="B545" s="155" t="s">
        <v>7237</v>
      </c>
      <c r="C545" s="133" t="s">
        <v>108</v>
      </c>
      <c r="D545" s="133" t="s">
        <v>7238</v>
      </c>
      <c r="E545" s="133" t="s">
        <v>7239</v>
      </c>
      <c r="F545" s="133" t="s">
        <v>40</v>
      </c>
      <c r="G545" s="156">
        <v>45294.801388888889</v>
      </c>
      <c r="H545" s="156">
        <v>45294.828472222223</v>
      </c>
      <c r="I545" s="165" t="s">
        <v>7240</v>
      </c>
      <c r="J545" s="157" t="s">
        <v>88</v>
      </c>
      <c r="K545" s="157"/>
      <c r="L545" s="158"/>
    </row>
    <row r="546" spans="1:12">
      <c r="A546" s="154" t="s">
        <v>20</v>
      </c>
      <c r="B546" s="155" t="s">
        <v>7241</v>
      </c>
      <c r="C546" s="133" t="s">
        <v>21</v>
      </c>
      <c r="D546" s="133" t="s">
        <v>7242</v>
      </c>
      <c r="E546" s="133" t="s">
        <v>7243</v>
      </c>
      <c r="F546" s="133" t="s">
        <v>40</v>
      </c>
      <c r="G546" s="156">
        <v>45294.831250000003</v>
      </c>
      <c r="H546" s="156">
        <v>45294.901388888888</v>
      </c>
      <c r="I546" s="165" t="s">
        <v>3813</v>
      </c>
      <c r="J546" s="157" t="s">
        <v>88</v>
      </c>
      <c r="K546" s="157"/>
      <c r="L546" s="158"/>
    </row>
    <row r="547" spans="1:12">
      <c r="A547" s="154" t="s">
        <v>20</v>
      </c>
      <c r="B547" s="155" t="s">
        <v>7244</v>
      </c>
      <c r="C547" s="133" t="s">
        <v>21</v>
      </c>
      <c r="D547" s="133" t="s">
        <v>7245</v>
      </c>
      <c r="E547" s="133" t="s">
        <v>7243</v>
      </c>
      <c r="F547" s="133" t="s">
        <v>40</v>
      </c>
      <c r="G547" s="156">
        <v>45294.834027777775</v>
      </c>
      <c r="H547" s="156">
        <v>45294.902083333334</v>
      </c>
      <c r="I547" s="165" t="s">
        <v>3813</v>
      </c>
      <c r="J547" s="157" t="s">
        <v>88</v>
      </c>
      <c r="K547" s="157"/>
      <c r="L547" s="158"/>
    </row>
    <row r="548" spans="1:12">
      <c r="A548" s="154" t="s">
        <v>106</v>
      </c>
      <c r="B548" s="155" t="s">
        <v>7246</v>
      </c>
      <c r="C548" s="133" t="s">
        <v>108</v>
      </c>
      <c r="D548" s="133" t="s">
        <v>7247</v>
      </c>
      <c r="E548" s="133" t="s">
        <v>7248</v>
      </c>
      <c r="F548" s="133" t="s">
        <v>40</v>
      </c>
      <c r="G548" s="156">
        <v>45294.902777777781</v>
      </c>
      <c r="H548" s="156">
        <v>45294.939583333333</v>
      </c>
      <c r="I548" s="165" t="s">
        <v>7249</v>
      </c>
      <c r="J548" s="157" t="s">
        <v>88</v>
      </c>
      <c r="K548" s="157"/>
      <c r="L548" s="158"/>
    </row>
    <row r="549" spans="1:12">
      <c r="A549" s="154" t="s">
        <v>20</v>
      </c>
      <c r="B549" s="155" t="s">
        <v>7250</v>
      </c>
      <c r="C549" s="133" t="s">
        <v>13</v>
      </c>
      <c r="D549" s="133" t="s">
        <v>7251</v>
      </c>
      <c r="E549" s="133" t="s">
        <v>7252</v>
      </c>
      <c r="F549" s="133" t="s">
        <v>40</v>
      </c>
      <c r="G549" s="156">
        <v>45325.291666666664</v>
      </c>
      <c r="H549" s="156">
        <v>45325.486111111109</v>
      </c>
      <c r="I549" s="165" t="s">
        <v>7253</v>
      </c>
      <c r="J549" s="157" t="s">
        <v>94</v>
      </c>
      <c r="K549" s="157"/>
      <c r="L549" s="158"/>
    </row>
    <row r="550" spans="1:12">
      <c r="A550" s="154" t="s">
        <v>20</v>
      </c>
      <c r="B550" s="155" t="s">
        <v>7254</v>
      </c>
      <c r="C550" s="133" t="s">
        <v>13</v>
      </c>
      <c r="D550" s="133" t="s">
        <v>7255</v>
      </c>
      <c r="E550" s="133" t="s">
        <v>7256</v>
      </c>
      <c r="F550" s="133" t="s">
        <v>40</v>
      </c>
      <c r="G550" s="156">
        <v>45325.463888888888</v>
      </c>
      <c r="H550" s="156">
        <v>45325.636111111111</v>
      </c>
      <c r="I550" s="165" t="s">
        <v>7257</v>
      </c>
      <c r="J550" s="157" t="s">
        <v>94</v>
      </c>
      <c r="K550" s="157"/>
      <c r="L550" s="158"/>
    </row>
    <row r="551" spans="1:12">
      <c r="A551" s="154" t="s">
        <v>106</v>
      </c>
      <c r="B551" s="155" t="s">
        <v>7258</v>
      </c>
      <c r="C551" s="133" t="s">
        <v>333</v>
      </c>
      <c r="D551" s="133" t="s">
        <v>7259</v>
      </c>
      <c r="E551" s="133" t="s">
        <v>7260</v>
      </c>
      <c r="F551" s="133" t="s">
        <v>40</v>
      </c>
      <c r="G551" s="156">
        <v>45325.630555555559</v>
      </c>
      <c r="H551" s="156">
        <v>45325.642361111109</v>
      </c>
      <c r="I551" s="165" t="s">
        <v>4604</v>
      </c>
      <c r="J551" s="157" t="s">
        <v>94</v>
      </c>
      <c r="K551" s="157"/>
      <c r="L551" s="158"/>
    </row>
    <row r="552" spans="1:12">
      <c r="A552" s="154" t="s">
        <v>20</v>
      </c>
      <c r="B552" s="155" t="s">
        <v>7261</v>
      </c>
      <c r="C552" s="133" t="s">
        <v>13</v>
      </c>
      <c r="D552" s="133" t="s">
        <v>2094</v>
      </c>
      <c r="E552" s="133" t="s">
        <v>7262</v>
      </c>
      <c r="F552" s="133" t="s">
        <v>40</v>
      </c>
      <c r="G552" s="156">
        <v>45325.713194444441</v>
      </c>
      <c r="H552" s="156">
        <v>45325.806944444441</v>
      </c>
      <c r="I552" s="165" t="s">
        <v>5009</v>
      </c>
      <c r="J552" s="157" t="s">
        <v>88</v>
      </c>
      <c r="K552" s="157"/>
      <c r="L552" s="158"/>
    </row>
    <row r="553" spans="1:12">
      <c r="A553" s="154" t="s">
        <v>20</v>
      </c>
      <c r="B553" s="155" t="s">
        <v>7263</v>
      </c>
      <c r="C553" s="133" t="s">
        <v>21</v>
      </c>
      <c r="D553" s="133" t="s">
        <v>7264</v>
      </c>
      <c r="E553" s="133" t="s">
        <v>7265</v>
      </c>
      <c r="F553" s="133" t="s">
        <v>40</v>
      </c>
      <c r="G553" s="156">
        <v>45325.714583333334</v>
      </c>
      <c r="H553" s="156">
        <v>45325.806250000001</v>
      </c>
      <c r="I553" s="165" t="s">
        <v>7266</v>
      </c>
      <c r="J553" s="157" t="s">
        <v>88</v>
      </c>
      <c r="K553" s="157"/>
      <c r="L553" s="158"/>
    </row>
    <row r="554" spans="1:12">
      <c r="A554" s="154" t="s">
        <v>95</v>
      </c>
      <c r="B554" s="155" t="s">
        <v>7267</v>
      </c>
      <c r="C554" s="133" t="s">
        <v>97</v>
      </c>
      <c r="D554" s="133" t="s">
        <v>7268</v>
      </c>
      <c r="E554" s="133" t="s">
        <v>7269</v>
      </c>
      <c r="F554" s="133" t="s">
        <v>40</v>
      </c>
      <c r="G554" s="156">
        <v>45325.807638888888</v>
      </c>
      <c r="H554" s="183">
        <v>45325.842361111114</v>
      </c>
      <c r="I554" s="165" t="s">
        <v>6713</v>
      </c>
      <c r="J554" s="157" t="s">
        <v>88</v>
      </c>
      <c r="K554" s="157"/>
      <c r="L554" s="158"/>
    </row>
    <row r="555" spans="1:12">
      <c r="A555" s="154" t="s">
        <v>20</v>
      </c>
      <c r="B555" s="155" t="s">
        <v>7270</v>
      </c>
      <c r="C555" s="133" t="s">
        <v>21</v>
      </c>
      <c r="D555" s="133" t="s">
        <v>7182</v>
      </c>
      <c r="E555" s="133" t="s">
        <v>7271</v>
      </c>
      <c r="F555" s="133" t="s">
        <v>40</v>
      </c>
      <c r="G555" s="156">
        <v>45325.843055555553</v>
      </c>
      <c r="H555" s="156">
        <v>45354.120138888888</v>
      </c>
      <c r="I555" s="165" t="s">
        <v>3813</v>
      </c>
      <c r="J555" s="157" t="s">
        <v>88</v>
      </c>
      <c r="K555" s="157"/>
      <c r="L555" s="158"/>
    </row>
    <row r="556" spans="1:12">
      <c r="A556" s="154" t="s">
        <v>106</v>
      </c>
      <c r="B556" s="155" t="s">
        <v>7272</v>
      </c>
      <c r="C556" s="133" t="s">
        <v>108</v>
      </c>
      <c r="D556" s="133" t="s">
        <v>7273</v>
      </c>
      <c r="E556" s="133" t="s">
        <v>7274</v>
      </c>
      <c r="F556" s="133" t="s">
        <v>40</v>
      </c>
      <c r="G556" s="156">
        <v>45354.120833333334</v>
      </c>
      <c r="H556" s="156">
        <v>45385.118750000001</v>
      </c>
      <c r="I556" s="165" t="s">
        <v>960</v>
      </c>
      <c r="J556" s="157" t="s">
        <v>88</v>
      </c>
      <c r="K556" s="157"/>
      <c r="L556" s="158"/>
    </row>
    <row r="557" spans="1:12">
      <c r="A557" s="164" t="s">
        <v>106</v>
      </c>
      <c r="B557" s="155" t="s">
        <v>7272</v>
      </c>
      <c r="C557" s="133" t="s">
        <v>108</v>
      </c>
      <c r="D557" s="133" t="s">
        <v>7273</v>
      </c>
      <c r="E557" s="133" t="s">
        <v>7274</v>
      </c>
      <c r="F557" s="133" t="s">
        <v>40</v>
      </c>
      <c r="G557" s="156">
        <v>45354.120833333334</v>
      </c>
      <c r="H557" s="156">
        <v>45385.118750000001</v>
      </c>
      <c r="I557" s="165" t="s">
        <v>960</v>
      </c>
      <c r="J557" s="157" t="s">
        <v>88</v>
      </c>
      <c r="K557" s="157"/>
      <c r="L557" s="133"/>
    </row>
    <row r="558" spans="1:12">
      <c r="A558" s="154" t="s">
        <v>95</v>
      </c>
      <c r="B558" s="159" t="s">
        <v>7275</v>
      </c>
      <c r="C558" s="134" t="s">
        <v>97</v>
      </c>
      <c r="D558" s="134" t="s">
        <v>7276</v>
      </c>
      <c r="E558" s="134" t="s">
        <v>7277</v>
      </c>
      <c r="F558" s="134" t="s">
        <v>40</v>
      </c>
      <c r="G558" s="156">
        <v>45354.219444444447</v>
      </c>
      <c r="H558" s="156">
        <v>45354.496527777781</v>
      </c>
      <c r="I558" s="166" t="s">
        <v>7278</v>
      </c>
      <c r="J558" s="160" t="s">
        <v>94</v>
      </c>
      <c r="K558" s="160"/>
      <c r="L558" s="170"/>
    </row>
    <row r="559" spans="1:12">
      <c r="A559" s="154" t="s">
        <v>95</v>
      </c>
      <c r="B559" s="155" t="s">
        <v>7279</v>
      </c>
      <c r="C559" s="133" t="s">
        <v>118</v>
      </c>
      <c r="D559" s="133" t="s">
        <v>7280</v>
      </c>
      <c r="E559" s="133" t="s">
        <v>7281</v>
      </c>
      <c r="F559" s="133" t="s">
        <v>40</v>
      </c>
      <c r="G559" s="156">
        <v>45354.649305555555</v>
      </c>
      <c r="H559" s="156">
        <v>45385.136111111111</v>
      </c>
      <c r="I559" s="165" t="s">
        <v>1241</v>
      </c>
      <c r="J559" s="157" t="s">
        <v>88</v>
      </c>
      <c r="K559" s="157"/>
    </row>
    <row r="560" spans="1:12">
      <c r="A560" s="154" t="s">
        <v>20</v>
      </c>
      <c r="B560" s="155" t="s">
        <v>7282</v>
      </c>
      <c r="C560" s="133" t="s">
        <v>21</v>
      </c>
      <c r="D560" s="133" t="s">
        <v>7283</v>
      </c>
      <c r="E560" s="133" t="s">
        <v>7284</v>
      </c>
      <c r="F560" s="133" t="s">
        <v>40</v>
      </c>
      <c r="G560" s="156">
        <v>45354.79791666667</v>
      </c>
      <c r="H560" s="156">
        <v>45354.82916666667</v>
      </c>
      <c r="I560" s="165" t="s">
        <v>3813</v>
      </c>
      <c r="J560" s="157" t="s">
        <v>88</v>
      </c>
      <c r="K560" s="157"/>
    </row>
    <row r="561" spans="1:11">
      <c r="A561" s="154" t="s">
        <v>95</v>
      </c>
      <c r="B561" s="155" t="s">
        <v>7285</v>
      </c>
      <c r="C561" s="133" t="s">
        <v>97</v>
      </c>
      <c r="D561" s="133" t="s">
        <v>2684</v>
      </c>
      <c r="E561" s="133" t="s">
        <v>7286</v>
      </c>
      <c r="F561" s="133" t="s">
        <v>40</v>
      </c>
      <c r="G561" s="156">
        <v>45385.122916666667</v>
      </c>
      <c r="H561" s="156">
        <v>45385.137499999997</v>
      </c>
      <c r="I561" s="165" t="s">
        <v>2585</v>
      </c>
      <c r="J561" s="157" t="s">
        <v>88</v>
      </c>
      <c r="K561" s="157"/>
    </row>
    <row r="562" spans="1:11">
      <c r="A562" s="154" t="s">
        <v>20</v>
      </c>
      <c r="B562" s="155" t="s">
        <v>7287</v>
      </c>
      <c r="C562" s="133" t="s">
        <v>21</v>
      </c>
      <c r="D562" s="133" t="s">
        <v>7288</v>
      </c>
      <c r="E562" s="133" t="s">
        <v>7289</v>
      </c>
      <c r="F562" s="133" t="s">
        <v>40</v>
      </c>
      <c r="G562" s="156">
        <v>45385.123611111114</v>
      </c>
      <c r="H562" s="156">
        <v>45385.131944444445</v>
      </c>
      <c r="I562" s="165" t="s">
        <v>3813</v>
      </c>
      <c r="J562" s="157" t="s">
        <v>88</v>
      </c>
      <c r="K562" s="157"/>
    </row>
    <row r="563" spans="1:11">
      <c r="A563" s="154" t="s">
        <v>20</v>
      </c>
      <c r="B563" s="155" t="s">
        <v>7290</v>
      </c>
      <c r="C563" s="133" t="s">
        <v>13</v>
      </c>
      <c r="D563" s="133" t="s">
        <v>7291</v>
      </c>
      <c r="E563" s="133" t="s">
        <v>7292</v>
      </c>
      <c r="F563" s="133" t="s">
        <v>40</v>
      </c>
      <c r="G563" s="156">
        <v>45385.427083333336</v>
      </c>
      <c r="H563" s="156">
        <v>45385.581250000003</v>
      </c>
      <c r="I563" s="165" t="s">
        <v>5454</v>
      </c>
      <c r="J563" s="157" t="s">
        <v>94</v>
      </c>
      <c r="K563" s="157"/>
    </row>
    <row r="564" spans="1:11">
      <c r="A564" s="154" t="s">
        <v>95</v>
      </c>
      <c r="B564" s="155" t="s">
        <v>7293</v>
      </c>
      <c r="C564" s="133" t="s">
        <v>118</v>
      </c>
      <c r="D564" s="133" t="s">
        <v>7294</v>
      </c>
      <c r="E564" s="133" t="s">
        <v>7295</v>
      </c>
      <c r="F564" s="133" t="s">
        <v>40</v>
      </c>
      <c r="G564" s="156">
        <v>45385.594444444447</v>
      </c>
      <c r="H564" s="156">
        <v>45385.670138888891</v>
      </c>
      <c r="I564" s="165" t="s">
        <v>7296</v>
      </c>
      <c r="J564" s="157" t="s">
        <v>94</v>
      </c>
      <c r="K564" s="157"/>
    </row>
    <row r="565" spans="1:11" ht="43.5">
      <c r="A565" s="154" t="s">
        <v>106</v>
      </c>
      <c r="B565" s="155" t="s">
        <v>7297</v>
      </c>
      <c r="C565" s="133" t="s">
        <v>108</v>
      </c>
      <c r="D565" s="133" t="s">
        <v>7298</v>
      </c>
      <c r="E565" s="135" t="s">
        <v>7299</v>
      </c>
      <c r="F565" s="133" t="s">
        <v>40</v>
      </c>
      <c r="G565" s="156">
        <v>45385.604166666664</v>
      </c>
      <c r="H565" s="156">
        <v>45415.395833333336</v>
      </c>
      <c r="I565" s="165" t="s">
        <v>2951</v>
      </c>
      <c r="J565" s="157" t="s">
        <v>94</v>
      </c>
      <c r="K565" s="157"/>
    </row>
    <row r="566" spans="1:11">
      <c r="A566" s="154" t="s">
        <v>20</v>
      </c>
      <c r="B566" s="155" t="s">
        <v>7300</v>
      </c>
      <c r="C566" s="133" t="s">
        <v>21</v>
      </c>
      <c r="D566" s="133" t="s">
        <v>2127</v>
      </c>
      <c r="E566" s="133" t="s">
        <v>7301</v>
      </c>
      <c r="F566" s="133" t="s">
        <v>40</v>
      </c>
      <c r="G566" s="156">
        <v>45385.724999999999</v>
      </c>
      <c r="H566" s="156">
        <v>45385.832638888889</v>
      </c>
      <c r="I566" s="165" t="s">
        <v>3813</v>
      </c>
      <c r="J566" s="157" t="s">
        <v>88</v>
      </c>
      <c r="K566" s="157"/>
    </row>
    <row r="567" spans="1:11">
      <c r="A567" s="154" t="s">
        <v>20</v>
      </c>
      <c r="B567" s="155" t="s">
        <v>7302</v>
      </c>
      <c r="C567" s="133" t="s">
        <v>13</v>
      </c>
      <c r="D567" s="133" t="s">
        <v>7303</v>
      </c>
      <c r="E567" s="133" t="s">
        <v>7304</v>
      </c>
      <c r="F567" s="133" t="s">
        <v>40</v>
      </c>
      <c r="G567" s="156">
        <v>45385.745833333334</v>
      </c>
      <c r="H567" s="156">
        <v>45385.843055555553</v>
      </c>
      <c r="I567" s="165" t="s">
        <v>7305</v>
      </c>
      <c r="J567" s="157" t="s">
        <v>88</v>
      </c>
      <c r="K567" s="157"/>
    </row>
    <row r="568" spans="1:11">
      <c r="A568" s="154" t="s">
        <v>20</v>
      </c>
      <c r="B568" s="155" t="s">
        <v>7306</v>
      </c>
      <c r="C568" s="133" t="s">
        <v>21</v>
      </c>
      <c r="D568" s="133" t="s">
        <v>7307</v>
      </c>
      <c r="E568" s="133" t="s">
        <v>7308</v>
      </c>
      <c r="F568" s="133" t="s">
        <v>40</v>
      </c>
      <c r="G568" s="156">
        <v>45385.837500000001</v>
      </c>
      <c r="H568" s="156">
        <v>45415.043055555558</v>
      </c>
      <c r="I568" s="165" t="s">
        <v>3813</v>
      </c>
      <c r="J568" s="157" t="s">
        <v>88</v>
      </c>
      <c r="K568" s="157"/>
    </row>
    <row r="569" spans="1:11">
      <c r="A569" s="154" t="s">
        <v>106</v>
      </c>
      <c r="B569" s="155" t="s">
        <v>7309</v>
      </c>
      <c r="C569" s="133" t="s">
        <v>78</v>
      </c>
      <c r="D569" s="133" t="s">
        <v>7310</v>
      </c>
      <c r="E569" s="133" t="s">
        <v>7311</v>
      </c>
      <c r="F569" s="133" t="s">
        <v>40</v>
      </c>
      <c r="G569" s="156">
        <v>45415.243055555555</v>
      </c>
      <c r="H569" s="156">
        <v>45415.272222222222</v>
      </c>
      <c r="I569" s="165" t="s">
        <v>258</v>
      </c>
      <c r="J569" s="157" t="s">
        <v>94</v>
      </c>
      <c r="K569" s="157"/>
    </row>
    <row r="570" spans="1:11">
      <c r="A570" s="154" t="s">
        <v>106</v>
      </c>
      <c r="B570" s="155" t="s">
        <v>7312</v>
      </c>
      <c r="C570" s="133" t="s">
        <v>78</v>
      </c>
      <c r="D570" s="133" t="s">
        <v>7313</v>
      </c>
      <c r="E570" s="133" t="s">
        <v>7314</v>
      </c>
      <c r="F570" s="133" t="s">
        <v>40</v>
      </c>
      <c r="G570" s="156">
        <v>45415.393055555556</v>
      </c>
      <c r="H570" s="156">
        <v>45415.415972222225</v>
      </c>
      <c r="I570" s="165" t="s">
        <v>258</v>
      </c>
      <c r="J570" s="157" t="s">
        <v>94</v>
      </c>
      <c r="K570" s="157"/>
    </row>
    <row r="571" spans="1:11">
      <c r="A571" s="154" t="s">
        <v>106</v>
      </c>
      <c r="B571" s="155" t="s">
        <v>7315</v>
      </c>
      <c r="C571" s="133" t="s">
        <v>108</v>
      </c>
      <c r="D571" s="133" t="s">
        <v>7316</v>
      </c>
      <c r="E571" s="133" t="s">
        <v>7317</v>
      </c>
      <c r="F571" s="133" t="s">
        <v>40</v>
      </c>
      <c r="G571" s="156">
        <v>45415.399305555555</v>
      </c>
      <c r="H571" s="156">
        <v>45415.525694444441</v>
      </c>
      <c r="I571" s="165" t="s">
        <v>7318</v>
      </c>
      <c r="J571" s="157" t="s">
        <v>94</v>
      </c>
      <c r="K571" s="157"/>
    </row>
    <row r="572" spans="1:11">
      <c r="A572" s="154" t="s">
        <v>106</v>
      </c>
      <c r="B572" s="155" t="s">
        <v>7319</v>
      </c>
      <c r="C572" s="133" t="s">
        <v>78</v>
      </c>
      <c r="D572" s="133" t="s">
        <v>7320</v>
      </c>
      <c r="E572" s="133" t="s">
        <v>7321</v>
      </c>
      <c r="F572" s="133" t="s">
        <v>40</v>
      </c>
      <c r="G572" s="156">
        <v>45415.526388888888</v>
      </c>
      <c r="H572" s="156">
        <v>45415.679166666669</v>
      </c>
      <c r="I572" s="165" t="s">
        <v>258</v>
      </c>
      <c r="J572" s="157" t="s">
        <v>94</v>
      </c>
      <c r="K572" s="157"/>
    </row>
    <row r="573" spans="1:11">
      <c r="A573" s="154" t="s">
        <v>20</v>
      </c>
      <c r="B573" s="155" t="s">
        <v>7322</v>
      </c>
      <c r="C573" s="133" t="s">
        <v>21</v>
      </c>
      <c r="D573" s="133" t="s">
        <v>7323</v>
      </c>
      <c r="E573" s="133" t="s">
        <v>7324</v>
      </c>
      <c r="F573" s="133" t="s">
        <v>40</v>
      </c>
      <c r="G573" s="156">
        <v>45415.713888888888</v>
      </c>
      <c r="H573" s="156">
        <v>45415.772916666669</v>
      </c>
      <c r="I573" s="165" t="s">
        <v>7266</v>
      </c>
      <c r="J573" s="157" t="s">
        <v>88</v>
      </c>
      <c r="K573" s="157"/>
    </row>
    <row r="574" spans="1:11">
      <c r="A574" s="154" t="s">
        <v>20</v>
      </c>
      <c r="B574" s="155" t="s">
        <v>7325</v>
      </c>
      <c r="C574" s="133" t="s">
        <v>13</v>
      </c>
      <c r="D574" s="133" t="s">
        <v>7326</v>
      </c>
      <c r="E574" s="133" t="s">
        <v>7327</v>
      </c>
      <c r="F574" s="133" t="s">
        <v>40</v>
      </c>
      <c r="G574" s="156">
        <v>45415.773611111108</v>
      </c>
      <c r="H574" s="156">
        <v>45415.854861111111</v>
      </c>
      <c r="I574" s="165" t="s">
        <v>7328</v>
      </c>
      <c r="J574" s="157" t="s">
        <v>88</v>
      </c>
      <c r="K574" s="157"/>
    </row>
    <row r="575" spans="1:11">
      <c r="A575" s="154" t="s">
        <v>106</v>
      </c>
      <c r="B575" s="155" t="s">
        <v>7329</v>
      </c>
      <c r="C575" s="133" t="s">
        <v>108</v>
      </c>
      <c r="D575" s="133" t="s">
        <v>7238</v>
      </c>
      <c r="E575" s="133" t="s">
        <v>7330</v>
      </c>
      <c r="F575" s="133" t="s">
        <v>40</v>
      </c>
      <c r="G575" s="156">
        <v>45415.820138888892</v>
      </c>
      <c r="H575" s="156">
        <v>45415.856249999997</v>
      </c>
      <c r="I575" s="165" t="s">
        <v>7249</v>
      </c>
      <c r="J575" s="157" t="s">
        <v>88</v>
      </c>
      <c r="K575" s="157"/>
    </row>
    <row r="576" spans="1:11">
      <c r="A576" s="154" t="s">
        <v>20</v>
      </c>
      <c r="B576" s="155" t="s">
        <v>7331</v>
      </c>
      <c r="C576" s="133" t="s">
        <v>21</v>
      </c>
      <c r="D576" s="133" t="s">
        <v>7332</v>
      </c>
      <c r="E576" s="133" t="s">
        <v>7333</v>
      </c>
      <c r="F576" s="133" t="s">
        <v>40</v>
      </c>
      <c r="G576" s="156">
        <v>45415.852083333331</v>
      </c>
      <c r="H576" s="156">
        <v>45415.964583333334</v>
      </c>
      <c r="I576" s="165" t="s">
        <v>3813</v>
      </c>
      <c r="J576" s="157" t="s">
        <v>88</v>
      </c>
      <c r="K576" s="157"/>
    </row>
    <row r="577" spans="1:11">
      <c r="A577" s="154" t="s">
        <v>106</v>
      </c>
      <c r="B577" s="155" t="s">
        <v>7334</v>
      </c>
      <c r="C577" s="133" t="s">
        <v>108</v>
      </c>
      <c r="D577" s="133" t="s">
        <v>7335</v>
      </c>
      <c r="E577" s="133" t="s">
        <v>7336</v>
      </c>
      <c r="F577" s="133" t="s">
        <v>40</v>
      </c>
      <c r="G577" s="156">
        <v>45446.004861111112</v>
      </c>
      <c r="H577" s="156">
        <v>45446.111805555556</v>
      </c>
      <c r="I577" s="165" t="s">
        <v>960</v>
      </c>
      <c r="J577" s="157" t="s">
        <v>88</v>
      </c>
      <c r="K577" s="157"/>
    </row>
    <row r="578" spans="1:11" hidden="1">
      <c r="A578" s="154" t="s">
        <v>20</v>
      </c>
      <c r="B578" s="155" t="s">
        <v>7337</v>
      </c>
      <c r="C578" s="133" t="s">
        <v>13</v>
      </c>
      <c r="D578" s="133" t="s">
        <v>7338</v>
      </c>
      <c r="E578" s="133"/>
      <c r="F578" s="133" t="s">
        <v>214</v>
      </c>
      <c r="G578" s="156">
        <v>45446.964583333334</v>
      </c>
      <c r="I578" s="165" t="s">
        <v>17</v>
      </c>
      <c r="J578" s="157" t="s">
        <v>61</v>
      </c>
      <c r="K578" s="157"/>
    </row>
    <row r="579" spans="1:11">
      <c r="A579" s="154" t="s">
        <v>95</v>
      </c>
      <c r="B579" s="155" t="s">
        <v>7339</v>
      </c>
      <c r="C579" s="133" t="s">
        <v>6047</v>
      </c>
      <c r="D579" s="132" t="s">
        <v>7340</v>
      </c>
      <c r="E579" s="132" t="s">
        <v>7341</v>
      </c>
      <c r="F579" s="133" t="s">
        <v>40</v>
      </c>
      <c r="G579" s="156">
        <v>45446.901828703703</v>
      </c>
      <c r="H579" s="156">
        <v>45446.943495370368</v>
      </c>
      <c r="I579" s="165" t="s">
        <v>6974</v>
      </c>
      <c r="J579" s="157" t="s">
        <v>61</v>
      </c>
      <c r="K579" s="157"/>
    </row>
    <row r="580" spans="1:11">
      <c r="A580" s="154" t="s">
        <v>20</v>
      </c>
      <c r="B580" s="155" t="s">
        <v>7342</v>
      </c>
      <c r="C580" s="133" t="s">
        <v>13</v>
      </c>
      <c r="D580" s="132" t="s">
        <v>7343</v>
      </c>
      <c r="E580" s="132" t="s">
        <v>7344</v>
      </c>
      <c r="F580" s="133" t="s">
        <v>40</v>
      </c>
      <c r="G580" s="156">
        <v>45446.938634259262</v>
      </c>
      <c r="H580" s="156">
        <v>45446.980300925927</v>
      </c>
      <c r="I580" s="165" t="s">
        <v>2902</v>
      </c>
      <c r="J580" s="157" t="s">
        <v>61</v>
      </c>
      <c r="K580" s="157"/>
    </row>
    <row r="581" spans="1:11" hidden="1">
      <c r="A581" s="154" t="s">
        <v>20</v>
      </c>
      <c r="B581" s="155" t="s">
        <v>7345</v>
      </c>
      <c r="C581" s="133" t="s">
        <v>13</v>
      </c>
      <c r="D581" s="132" t="s">
        <v>7346</v>
      </c>
      <c r="E581" s="132" t="s">
        <v>7347</v>
      </c>
      <c r="F581" s="133" t="s">
        <v>214</v>
      </c>
      <c r="G581" s="156">
        <v>45446.970138888886</v>
      </c>
      <c r="I581" s="165" t="s">
        <v>17</v>
      </c>
      <c r="J581" s="157" t="s">
        <v>61</v>
      </c>
      <c r="K581" s="157"/>
    </row>
    <row r="582" spans="1:11">
      <c r="A582" s="154" t="s">
        <v>20</v>
      </c>
      <c r="B582" s="155" t="s">
        <v>7348</v>
      </c>
      <c r="C582" s="133" t="s">
        <v>21</v>
      </c>
      <c r="D582" s="132" t="s">
        <v>7349</v>
      </c>
      <c r="E582" s="132" t="s">
        <v>7350</v>
      </c>
      <c r="F582" s="133" t="s">
        <v>40</v>
      </c>
      <c r="G582" s="156">
        <v>45476.011805555558</v>
      </c>
      <c r="H582" s="156">
        <v>45476.027777777781</v>
      </c>
      <c r="I582" s="165" t="s">
        <v>1947</v>
      </c>
      <c r="J582" s="157" t="s">
        <v>61</v>
      </c>
      <c r="K582" s="157"/>
    </row>
    <row r="583" spans="1:11">
      <c r="A583" s="154" t="s">
        <v>106</v>
      </c>
      <c r="B583" s="155" t="s">
        <v>7351</v>
      </c>
      <c r="C583" s="133" t="s">
        <v>78</v>
      </c>
      <c r="D583" s="132" t="s">
        <v>7352</v>
      </c>
      <c r="E583" s="132" t="s">
        <v>7353</v>
      </c>
      <c r="F583" s="133" t="s">
        <v>40</v>
      </c>
      <c r="G583" s="156">
        <v>45476.013888888891</v>
      </c>
      <c r="H583" s="156">
        <v>45476.055555555555</v>
      </c>
      <c r="I583" s="165" t="s">
        <v>7354</v>
      </c>
      <c r="J583" s="157" t="s">
        <v>61</v>
      </c>
      <c r="K583" s="157"/>
    </row>
    <row r="584" spans="1:11">
      <c r="A584" s="154" t="s">
        <v>20</v>
      </c>
      <c r="B584" s="155" t="s">
        <v>7355</v>
      </c>
      <c r="C584" s="133" t="s">
        <v>21</v>
      </c>
      <c r="D584" s="132" t="s">
        <v>7356</v>
      </c>
      <c r="E584" s="132" t="s">
        <v>7357</v>
      </c>
      <c r="F584" s="133" t="s">
        <v>40</v>
      </c>
      <c r="G584" s="156">
        <v>45476.129861111112</v>
      </c>
      <c r="H584" s="156">
        <v>45476.152777777781</v>
      </c>
      <c r="I584" s="165" t="s">
        <v>1947</v>
      </c>
      <c r="J584" s="157" t="s">
        <v>61</v>
      </c>
      <c r="K584" s="157"/>
    </row>
    <row r="585" spans="1:11">
      <c r="A585" s="154" t="s">
        <v>106</v>
      </c>
      <c r="B585" s="155" t="s">
        <v>7358</v>
      </c>
      <c r="C585" s="133" t="s">
        <v>108</v>
      </c>
      <c r="D585" s="132" t="s">
        <v>7359</v>
      </c>
      <c r="E585" s="132" t="s">
        <v>7360</v>
      </c>
      <c r="F585" s="133" t="s">
        <v>40</v>
      </c>
      <c r="G585" s="156">
        <v>45476.157638888886</v>
      </c>
      <c r="H585" s="156">
        <v>45476.199305555558</v>
      </c>
      <c r="I585" s="165" t="s">
        <v>1470</v>
      </c>
      <c r="J585" s="157" t="s">
        <v>61</v>
      </c>
      <c r="K585" s="157"/>
    </row>
    <row r="586" spans="1:11">
      <c r="A586" s="154" t="s">
        <v>95</v>
      </c>
      <c r="B586" s="155" t="s">
        <v>7361</v>
      </c>
      <c r="C586" s="133" t="s">
        <v>118</v>
      </c>
      <c r="D586" s="132" t="s">
        <v>7362</v>
      </c>
      <c r="E586" s="132" t="s">
        <v>7363</v>
      </c>
      <c r="F586" s="133" t="s">
        <v>40</v>
      </c>
      <c r="G586" s="156">
        <v>45476.840277777781</v>
      </c>
      <c r="H586" s="156">
        <v>45476.847222222219</v>
      </c>
      <c r="I586" s="165" t="s">
        <v>7364</v>
      </c>
      <c r="J586" s="157" t="s">
        <v>61</v>
      </c>
      <c r="K586" s="157"/>
    </row>
    <row r="587" spans="1:11">
      <c r="A587" s="154" t="s">
        <v>95</v>
      </c>
      <c r="B587" s="155" t="s">
        <v>7365</v>
      </c>
      <c r="C587" s="133" t="s">
        <v>113</v>
      </c>
      <c r="D587" s="132" t="s">
        <v>7366</v>
      </c>
      <c r="E587" s="132" t="s">
        <v>7367</v>
      </c>
      <c r="F587" s="133" t="s">
        <v>40</v>
      </c>
      <c r="G587" s="156">
        <v>45476.965277777781</v>
      </c>
      <c r="H587" s="156">
        <v>45507.006944444445</v>
      </c>
      <c r="I587" s="165" t="s">
        <v>866</v>
      </c>
      <c r="J587" s="157" t="s">
        <v>61</v>
      </c>
      <c r="K587" s="157"/>
    </row>
    <row r="588" spans="1:11">
      <c r="A588" s="154" t="s">
        <v>20</v>
      </c>
      <c r="B588" s="155" t="s">
        <v>7368</v>
      </c>
      <c r="C588" s="133" t="s">
        <v>21</v>
      </c>
      <c r="D588" s="132" t="s">
        <v>7369</v>
      </c>
      <c r="E588" s="132" t="s">
        <v>7357</v>
      </c>
      <c r="F588" s="133" t="s">
        <v>40</v>
      </c>
      <c r="G588" s="156">
        <v>45476.947916666664</v>
      </c>
      <c r="H588" s="156">
        <v>45476.986111111109</v>
      </c>
      <c r="I588" s="165" t="s">
        <v>1947</v>
      </c>
      <c r="J588" s="157" t="s">
        <v>61</v>
      </c>
      <c r="K588" s="157"/>
    </row>
    <row r="589" spans="1:11">
      <c r="A589" s="154" t="s">
        <v>20</v>
      </c>
      <c r="B589" s="155" t="s">
        <v>7370</v>
      </c>
      <c r="C589" s="133" t="s">
        <v>21</v>
      </c>
      <c r="D589" s="132" t="s">
        <v>7371</v>
      </c>
      <c r="E589" s="133" t="s">
        <v>7372</v>
      </c>
      <c r="F589" s="133" t="s">
        <v>40</v>
      </c>
      <c r="G589" s="156">
        <v>45476.972222222219</v>
      </c>
      <c r="H589" s="156">
        <v>45507.013888888891</v>
      </c>
      <c r="I589" s="165" t="s">
        <v>2071</v>
      </c>
      <c r="J589" s="157" t="s">
        <v>61</v>
      </c>
      <c r="K589" s="157"/>
    </row>
    <row r="590" spans="1:11">
      <c r="A590" s="154" t="s">
        <v>106</v>
      </c>
      <c r="B590" s="155" t="s">
        <v>7373</v>
      </c>
      <c r="C590" s="133" t="s">
        <v>333</v>
      </c>
      <c r="D590" s="132" t="s">
        <v>7374</v>
      </c>
      <c r="E590" s="133" t="s">
        <v>7375</v>
      </c>
      <c r="F590" s="133" t="s">
        <v>40</v>
      </c>
      <c r="G590" s="156">
        <v>45507.180555555555</v>
      </c>
      <c r="H590" s="156">
        <v>45507.222222222219</v>
      </c>
      <c r="I590" s="165" t="s">
        <v>3296</v>
      </c>
      <c r="J590" s="157" t="s">
        <v>61</v>
      </c>
      <c r="K590" s="157"/>
    </row>
    <row r="591" spans="1:11" hidden="1">
      <c r="A591" s="154" t="s">
        <v>106</v>
      </c>
      <c r="B591" s="155" t="s">
        <v>7376</v>
      </c>
      <c r="C591" s="133" t="s">
        <v>333</v>
      </c>
      <c r="D591" s="140" t="s">
        <v>5917</v>
      </c>
      <c r="E591" s="135"/>
      <c r="F591" s="135" t="s">
        <v>7377</v>
      </c>
      <c r="G591" s="184">
        <v>45359.409722222219</v>
      </c>
      <c r="H591" s="184">
        <v>45359.830555555556</v>
      </c>
      <c r="I591" s="137" t="s">
        <v>346</v>
      </c>
      <c r="J591" s="137" t="s">
        <v>41</v>
      </c>
      <c r="K591" s="157"/>
    </row>
    <row r="592" spans="1:11">
      <c r="A592" s="154" t="s">
        <v>95</v>
      </c>
      <c r="B592" s="155" t="s">
        <v>7378</v>
      </c>
      <c r="C592" s="133" t="s">
        <v>97</v>
      </c>
      <c r="D592" s="137" t="s">
        <v>7379</v>
      </c>
      <c r="E592" s="137" t="s">
        <v>7380</v>
      </c>
      <c r="F592" s="135" t="s">
        <v>40</v>
      </c>
      <c r="G592" s="184">
        <v>45359.509722222225</v>
      </c>
      <c r="H592" s="184">
        <v>45359.521527777775</v>
      </c>
      <c r="I592" s="137" t="s">
        <v>2086</v>
      </c>
      <c r="J592" s="137" t="s">
        <v>41</v>
      </c>
      <c r="K592" s="157"/>
    </row>
    <row r="593" spans="1:11" ht="43.5">
      <c r="A593" s="154" t="s">
        <v>95</v>
      </c>
      <c r="B593" s="155" t="s">
        <v>7381</v>
      </c>
      <c r="C593" s="133" t="s">
        <v>97</v>
      </c>
      <c r="D593" s="137" t="s">
        <v>7382</v>
      </c>
      <c r="E593" s="137" t="s">
        <v>7383</v>
      </c>
      <c r="F593" s="137" t="s">
        <v>40</v>
      </c>
      <c r="G593" s="184">
        <v>45359.512499999997</v>
      </c>
      <c r="H593" s="184">
        <v>45359.513888888891</v>
      </c>
      <c r="I593" s="137" t="s">
        <v>2086</v>
      </c>
      <c r="J593" s="137" t="s">
        <v>41</v>
      </c>
      <c r="K593" s="157"/>
    </row>
    <row r="594" spans="1:11" hidden="1">
      <c r="A594" s="164" t="s">
        <v>95</v>
      </c>
      <c r="B594" s="155" t="s">
        <v>7384</v>
      </c>
      <c r="C594" s="133" t="s">
        <v>6047</v>
      </c>
      <c r="D594" s="137" t="s">
        <v>7385</v>
      </c>
      <c r="E594" s="137"/>
      <c r="F594" s="137" t="s">
        <v>7386</v>
      </c>
      <c r="G594" s="184">
        <v>45359.515277777777</v>
      </c>
      <c r="H594" s="184">
        <v>45359.830555555556</v>
      </c>
      <c r="I594" s="137" t="s">
        <v>378</v>
      </c>
      <c r="J594" s="137" t="s">
        <v>41</v>
      </c>
      <c r="K594" s="157"/>
    </row>
    <row r="595" spans="1:11" ht="29">
      <c r="A595" s="154" t="s">
        <v>95</v>
      </c>
      <c r="B595" s="159" t="s">
        <v>7387</v>
      </c>
      <c r="C595" s="134" t="s">
        <v>6047</v>
      </c>
      <c r="D595" s="137" t="s">
        <v>7388</v>
      </c>
      <c r="E595" s="137" t="s">
        <v>7389</v>
      </c>
      <c r="F595" s="137" t="s">
        <v>40</v>
      </c>
      <c r="G595" s="184">
        <v>45359.518055555556</v>
      </c>
      <c r="H595" s="184">
        <v>45359.518750000003</v>
      </c>
      <c r="I595" s="137" t="s">
        <v>378</v>
      </c>
      <c r="J595" s="137" t="s">
        <v>41</v>
      </c>
      <c r="K595" s="160"/>
    </row>
    <row r="596" spans="1:11" ht="29">
      <c r="A596" s="164" t="s">
        <v>106</v>
      </c>
      <c r="B596" s="155" t="s">
        <v>7390</v>
      </c>
      <c r="C596" s="133" t="s">
        <v>313</v>
      </c>
      <c r="D596" s="137" t="s">
        <v>7391</v>
      </c>
      <c r="E596" s="137" t="s">
        <v>7392</v>
      </c>
      <c r="F596" s="132" t="s">
        <v>40</v>
      </c>
      <c r="G596" s="184">
        <v>45359.520833333336</v>
      </c>
      <c r="H596" s="184">
        <v>45359.521527777775</v>
      </c>
      <c r="I596" s="137" t="s">
        <v>7393</v>
      </c>
      <c r="J596" s="137" t="s">
        <v>41</v>
      </c>
      <c r="K596" s="157"/>
    </row>
    <row r="597" spans="1:11">
      <c r="A597" s="154" t="s">
        <v>95</v>
      </c>
      <c r="B597" s="159" t="s">
        <v>7394</v>
      </c>
      <c r="C597" s="134" t="s">
        <v>118</v>
      </c>
      <c r="D597" s="132" t="s">
        <v>7395</v>
      </c>
      <c r="E597" s="132" t="s">
        <v>7396</v>
      </c>
      <c r="F597" s="132" t="s">
        <v>40</v>
      </c>
      <c r="G597" s="184">
        <v>45359.681944444441</v>
      </c>
      <c r="H597" s="184">
        <v>45359.688194444447</v>
      </c>
      <c r="I597" s="137" t="s">
        <v>1557</v>
      </c>
      <c r="J597" s="137" t="s">
        <v>41</v>
      </c>
    </row>
    <row r="598" spans="1:11">
      <c r="A598" s="154" t="s">
        <v>20</v>
      </c>
      <c r="B598" s="155" t="s">
        <v>7397</v>
      </c>
      <c r="C598" s="133" t="s">
        <v>21</v>
      </c>
      <c r="D598" s="132" t="s">
        <v>7369</v>
      </c>
      <c r="E598" s="133" t="s">
        <v>7398</v>
      </c>
      <c r="F598" s="133" t="s">
        <v>40</v>
      </c>
      <c r="G598" s="156">
        <v>45507.974305555559</v>
      </c>
      <c r="H598" s="156">
        <v>45538.015972222223</v>
      </c>
      <c r="I598" s="165" t="s">
        <v>1947</v>
      </c>
      <c r="J598" s="157" t="s">
        <v>61</v>
      </c>
    </row>
    <row r="599" spans="1:11">
      <c r="A599" s="154" t="s">
        <v>20</v>
      </c>
      <c r="B599" s="155" t="s">
        <v>7399</v>
      </c>
      <c r="C599" s="133" t="s">
        <v>21</v>
      </c>
      <c r="D599" s="132" t="s">
        <v>7400</v>
      </c>
      <c r="E599" s="133" t="s">
        <v>7398</v>
      </c>
      <c r="F599" s="133" t="s">
        <v>40</v>
      </c>
      <c r="G599" s="156">
        <v>45507.975694444445</v>
      </c>
      <c r="H599" s="156">
        <v>45538.017361111109</v>
      </c>
      <c r="I599" s="165" t="s">
        <v>1947</v>
      </c>
      <c r="J599" s="157" t="s">
        <v>61</v>
      </c>
    </row>
    <row r="600" spans="1:11">
      <c r="A600" s="154" t="s">
        <v>20</v>
      </c>
      <c r="B600" s="155" t="s">
        <v>7401</v>
      </c>
      <c r="C600" s="133" t="s">
        <v>21</v>
      </c>
      <c r="D600" s="132" t="s">
        <v>7402</v>
      </c>
      <c r="E600" s="133" t="s">
        <v>5630</v>
      </c>
      <c r="F600" s="133" t="s">
        <v>40</v>
      </c>
      <c r="G600" s="156">
        <v>45538.121527777781</v>
      </c>
      <c r="H600" s="156">
        <v>45538.163194444445</v>
      </c>
      <c r="I600" s="165" t="s">
        <v>1947</v>
      </c>
      <c r="J600" s="157" t="s">
        <v>61</v>
      </c>
    </row>
    <row r="601" spans="1:11">
      <c r="A601" s="154" t="s">
        <v>106</v>
      </c>
      <c r="B601" s="155" t="s">
        <v>7403</v>
      </c>
      <c r="C601" s="133" t="s">
        <v>108</v>
      </c>
      <c r="D601" s="132" t="s">
        <v>7359</v>
      </c>
      <c r="E601" s="132" t="s">
        <v>7360</v>
      </c>
      <c r="F601" s="133" t="s">
        <v>40</v>
      </c>
      <c r="G601" s="156">
        <v>45538.842361111114</v>
      </c>
      <c r="H601" s="156">
        <v>45538.884027777778</v>
      </c>
      <c r="I601" s="165" t="s">
        <v>3359</v>
      </c>
      <c r="J601" s="157" t="s">
        <v>61</v>
      </c>
    </row>
    <row r="602" spans="1:11">
      <c r="A602" s="154" t="s">
        <v>95</v>
      </c>
      <c r="B602" s="155" t="s">
        <v>7404</v>
      </c>
      <c r="C602" s="133" t="s">
        <v>113</v>
      </c>
      <c r="D602" s="132" t="s">
        <v>7405</v>
      </c>
      <c r="E602" s="132" t="s">
        <v>5520</v>
      </c>
      <c r="F602" s="133" t="s">
        <v>40</v>
      </c>
      <c r="G602" s="156">
        <v>45538.925694444442</v>
      </c>
      <c r="H602" s="156">
        <v>45538.967361111114</v>
      </c>
      <c r="I602" s="165" t="s">
        <v>866</v>
      </c>
      <c r="J602" s="157" t="s">
        <v>61</v>
      </c>
    </row>
    <row r="603" spans="1:11">
      <c r="A603" s="154" t="s">
        <v>20</v>
      </c>
      <c r="B603" s="155" t="s">
        <v>7406</v>
      </c>
      <c r="C603" s="133" t="s">
        <v>21</v>
      </c>
      <c r="D603" s="132" t="s">
        <v>7407</v>
      </c>
      <c r="E603" s="132" t="s">
        <v>7408</v>
      </c>
      <c r="F603" s="133" t="s">
        <v>40</v>
      </c>
      <c r="G603" s="156">
        <v>45538.902777777781</v>
      </c>
      <c r="H603" s="156">
        <v>45538.944444444445</v>
      </c>
      <c r="I603" s="165" t="s">
        <v>2071</v>
      </c>
      <c r="J603" s="157" t="s">
        <v>61</v>
      </c>
    </row>
    <row r="604" spans="1:11">
      <c r="A604" s="154" t="s">
        <v>20</v>
      </c>
      <c r="B604" s="155" t="s">
        <v>7409</v>
      </c>
      <c r="C604" s="133" t="s">
        <v>21</v>
      </c>
      <c r="D604" s="132" t="s">
        <v>7369</v>
      </c>
      <c r="E604" s="132" t="s">
        <v>7410</v>
      </c>
      <c r="F604" s="133" t="s">
        <v>40</v>
      </c>
      <c r="G604" s="156">
        <v>45538.965277777781</v>
      </c>
      <c r="H604" s="156">
        <v>45568.006944444445</v>
      </c>
      <c r="I604" s="165" t="s">
        <v>2071</v>
      </c>
      <c r="J604" s="157" t="s">
        <v>61</v>
      </c>
    </row>
    <row r="605" spans="1:11">
      <c r="A605" s="154" t="s">
        <v>95</v>
      </c>
      <c r="B605" s="155" t="s">
        <v>7411</v>
      </c>
      <c r="C605" s="133" t="s">
        <v>6047</v>
      </c>
      <c r="D605" s="132" t="s">
        <v>7412</v>
      </c>
      <c r="E605" s="132" t="s">
        <v>7413</v>
      </c>
      <c r="F605" s="133" t="s">
        <v>40</v>
      </c>
      <c r="G605" s="156">
        <v>45538.994444444441</v>
      </c>
      <c r="H605" s="156">
        <v>45568.036111111112</v>
      </c>
      <c r="I605" s="165" t="s">
        <v>6974</v>
      </c>
      <c r="J605" s="157" t="s">
        <v>61</v>
      </c>
    </row>
    <row r="606" spans="1:11">
      <c r="A606" s="154" t="s">
        <v>20</v>
      </c>
      <c r="B606" s="155" t="s">
        <v>7414</v>
      </c>
      <c r="C606" s="133" t="s">
        <v>21</v>
      </c>
      <c r="D606" s="132" t="s">
        <v>7415</v>
      </c>
      <c r="E606" s="132" t="s">
        <v>5520</v>
      </c>
      <c r="F606" s="133" t="s">
        <v>40</v>
      </c>
      <c r="G606" s="156">
        <v>45568.202777777777</v>
      </c>
      <c r="H606" s="156">
        <v>45568.244444444441</v>
      </c>
      <c r="I606" s="165" t="s">
        <v>64</v>
      </c>
      <c r="J606" s="157" t="s">
        <v>61</v>
      </c>
    </row>
    <row r="607" spans="1:11">
      <c r="A607" s="154" t="s">
        <v>95</v>
      </c>
      <c r="B607" s="155" t="s">
        <v>7416</v>
      </c>
      <c r="C607" s="133" t="s">
        <v>113</v>
      </c>
      <c r="D607" s="132" t="s">
        <v>7417</v>
      </c>
      <c r="E607" s="132" t="s">
        <v>7418</v>
      </c>
      <c r="F607" s="133" t="s">
        <v>40</v>
      </c>
      <c r="G607" s="156">
        <v>45568.994444444441</v>
      </c>
      <c r="H607" s="156">
        <v>45568.036111111112</v>
      </c>
      <c r="I607" s="165" t="s">
        <v>866</v>
      </c>
      <c r="J607" s="157" t="s">
        <v>61</v>
      </c>
    </row>
    <row r="608" spans="1:11">
      <c r="A608" s="154" t="s">
        <v>20</v>
      </c>
      <c r="B608" s="155" t="s">
        <v>7419</v>
      </c>
      <c r="C608" s="133" t="s">
        <v>21</v>
      </c>
      <c r="D608" s="133" t="s">
        <v>7420</v>
      </c>
      <c r="E608" s="132" t="s">
        <v>5630</v>
      </c>
      <c r="F608" s="133" t="s">
        <v>40</v>
      </c>
      <c r="G608" s="156">
        <v>45568.998611111114</v>
      </c>
      <c r="H608" s="156">
        <v>45568.040277777778</v>
      </c>
      <c r="I608" s="165" t="s">
        <v>64</v>
      </c>
      <c r="J608" s="157" t="s">
        <v>61</v>
      </c>
    </row>
    <row r="609" spans="1:10">
      <c r="A609" s="154" t="s">
        <v>20</v>
      </c>
      <c r="B609" s="155" t="s">
        <v>7421</v>
      </c>
      <c r="C609" s="133" t="s">
        <v>13</v>
      </c>
      <c r="D609" s="132" t="s">
        <v>7422</v>
      </c>
      <c r="E609" s="132" t="s">
        <v>7423</v>
      </c>
      <c r="F609" s="133" t="s">
        <v>40</v>
      </c>
      <c r="G609" s="156">
        <v>45568.97152777778</v>
      </c>
      <c r="H609" s="156">
        <v>45568.081944444442</v>
      </c>
      <c r="I609" s="165" t="s">
        <v>7424</v>
      </c>
      <c r="J609" s="157" t="s">
        <v>61</v>
      </c>
    </row>
    <row r="610" spans="1:10">
      <c r="A610" s="164" t="s">
        <v>20</v>
      </c>
      <c r="B610" s="155" t="s">
        <v>7425</v>
      </c>
      <c r="C610" s="133" t="s">
        <v>13</v>
      </c>
      <c r="D610" s="132" t="s">
        <v>7426</v>
      </c>
      <c r="E610" s="132" t="s">
        <v>7427</v>
      </c>
      <c r="F610" s="133" t="s">
        <v>40</v>
      </c>
      <c r="G610" s="156">
        <v>45599.856249999997</v>
      </c>
      <c r="H610" s="156">
        <v>45599.897916666669</v>
      </c>
      <c r="I610" s="165" t="s">
        <v>7428</v>
      </c>
      <c r="J610" s="157" t="s">
        <v>61</v>
      </c>
    </row>
    <row r="611" spans="1:10">
      <c r="A611" s="154" t="s">
        <v>106</v>
      </c>
      <c r="B611" s="159" t="s">
        <v>7429</v>
      </c>
      <c r="C611" s="134" t="s">
        <v>108</v>
      </c>
      <c r="D611" s="132" t="s">
        <v>7430</v>
      </c>
      <c r="E611" s="132" t="s">
        <v>7431</v>
      </c>
      <c r="F611" s="134" t="s">
        <v>40</v>
      </c>
      <c r="G611" s="156">
        <v>45599.861111111109</v>
      </c>
      <c r="H611" s="156">
        <v>45599.986111111109</v>
      </c>
      <c r="I611" s="168" t="s">
        <v>1470</v>
      </c>
      <c r="J611" s="169" t="s">
        <v>61</v>
      </c>
    </row>
    <row r="612" spans="1:10">
      <c r="A612" s="154" t="s">
        <v>106</v>
      </c>
      <c r="B612" s="155" t="s">
        <v>7432</v>
      </c>
      <c r="C612" s="133" t="s">
        <v>333</v>
      </c>
      <c r="D612" s="132" t="s">
        <v>7433</v>
      </c>
      <c r="E612" s="132" t="s">
        <v>7434</v>
      </c>
      <c r="F612" s="133" t="s">
        <v>40</v>
      </c>
      <c r="G612" s="156">
        <v>45599.946527777778</v>
      </c>
      <c r="H612" s="156">
        <v>45599.988194444442</v>
      </c>
      <c r="I612" s="168" t="s">
        <v>3296</v>
      </c>
      <c r="J612" s="169" t="s">
        <v>61</v>
      </c>
    </row>
    <row r="613" spans="1:10">
      <c r="A613" s="154" t="s">
        <v>20</v>
      </c>
      <c r="B613" s="155" t="s">
        <v>7435</v>
      </c>
      <c r="C613" s="133" t="s">
        <v>21</v>
      </c>
      <c r="D613" s="132" t="s">
        <v>7369</v>
      </c>
      <c r="E613" s="132" t="s">
        <v>7410</v>
      </c>
      <c r="F613" s="133" t="s">
        <v>40</v>
      </c>
      <c r="G613" s="156">
        <v>45599.899305555555</v>
      </c>
      <c r="H613" s="156">
        <v>45599.940972222219</v>
      </c>
      <c r="I613" s="165" t="s">
        <v>64</v>
      </c>
      <c r="J613" s="157" t="s">
        <v>61</v>
      </c>
    </row>
    <row r="614" spans="1:10">
      <c r="A614" s="154" t="s">
        <v>20</v>
      </c>
      <c r="B614" s="155" t="s">
        <v>7435</v>
      </c>
      <c r="C614" s="133" t="s">
        <v>21</v>
      </c>
      <c r="D614" s="132" t="s">
        <v>7436</v>
      </c>
      <c r="E614" s="132" t="s">
        <v>7410</v>
      </c>
      <c r="F614" s="133" t="s">
        <v>40</v>
      </c>
      <c r="G614" s="156">
        <v>45599.922222222223</v>
      </c>
      <c r="H614" s="156">
        <v>45599.963888888888</v>
      </c>
      <c r="I614" s="165" t="s">
        <v>64</v>
      </c>
      <c r="J614" s="157" t="s">
        <v>61</v>
      </c>
    </row>
    <row r="615" spans="1:10">
      <c r="A615" s="154" t="s">
        <v>20</v>
      </c>
      <c r="B615" s="155" t="s">
        <v>7437</v>
      </c>
      <c r="C615" s="133" t="s">
        <v>21</v>
      </c>
      <c r="D615" s="132" t="s">
        <v>7438</v>
      </c>
      <c r="E615" s="132" t="s">
        <v>2521</v>
      </c>
      <c r="F615" s="133" t="s">
        <v>40</v>
      </c>
      <c r="G615" s="156">
        <v>45629.179861111108</v>
      </c>
      <c r="H615" s="156">
        <v>45629.22152777778</v>
      </c>
      <c r="I615" s="168" t="s">
        <v>64</v>
      </c>
      <c r="J615" s="169" t="s">
        <v>61</v>
      </c>
    </row>
    <row r="616" spans="1:10">
      <c r="A616" s="154" t="s">
        <v>106</v>
      </c>
      <c r="B616" s="155" t="s">
        <v>7439</v>
      </c>
      <c r="C616" s="133" t="s">
        <v>108</v>
      </c>
      <c r="D616" s="133" t="s">
        <v>7440</v>
      </c>
      <c r="E616" s="133" t="s">
        <v>7441</v>
      </c>
      <c r="F616" s="133" t="s">
        <v>40</v>
      </c>
      <c r="G616" s="156">
        <v>45629.97152777778</v>
      </c>
      <c r="H616" s="156" t="s">
        <v>7442</v>
      </c>
      <c r="I616" s="168" t="s">
        <v>7443</v>
      </c>
      <c r="J616" s="169" t="s">
        <v>88</v>
      </c>
    </row>
    <row r="617" spans="1:10">
      <c r="A617" s="164" t="s">
        <v>106</v>
      </c>
      <c r="B617" s="155" t="s">
        <v>7444</v>
      </c>
      <c r="C617" s="133" t="s">
        <v>108</v>
      </c>
      <c r="D617" s="133" t="s">
        <v>7445</v>
      </c>
      <c r="E617" s="133" t="s">
        <v>7446</v>
      </c>
      <c r="F617" s="133" t="s">
        <v>40</v>
      </c>
      <c r="G617" s="156" t="s">
        <v>7447</v>
      </c>
      <c r="H617" s="156" t="s">
        <v>7448</v>
      </c>
      <c r="I617" s="168" t="s">
        <v>7449</v>
      </c>
      <c r="J617" s="169" t="s">
        <v>88</v>
      </c>
    </row>
    <row r="618" spans="1:10">
      <c r="A618" s="164" t="s">
        <v>95</v>
      </c>
      <c r="B618" s="159" t="s">
        <v>7450</v>
      </c>
      <c r="C618" s="134" t="s">
        <v>6047</v>
      </c>
      <c r="D618" s="134" t="s">
        <v>7451</v>
      </c>
      <c r="E618" s="134" t="s">
        <v>7452</v>
      </c>
      <c r="F618" s="134" t="s">
        <v>40</v>
      </c>
      <c r="G618" s="156" t="s">
        <v>7453</v>
      </c>
      <c r="H618" s="156" t="s">
        <v>7454</v>
      </c>
      <c r="I618" s="168" t="s">
        <v>7455</v>
      </c>
      <c r="J618" s="169" t="s">
        <v>88</v>
      </c>
    </row>
    <row r="619" spans="1:10">
      <c r="A619" s="154" t="s">
        <v>95</v>
      </c>
      <c r="B619" s="159" t="s">
        <v>7456</v>
      </c>
      <c r="C619" s="134" t="s">
        <v>97</v>
      </c>
      <c r="D619" s="134" t="s">
        <v>2684</v>
      </c>
      <c r="E619" s="134" t="s">
        <v>7457</v>
      </c>
      <c r="F619" s="134" t="s">
        <v>40</v>
      </c>
      <c r="G619" s="156" t="s">
        <v>7458</v>
      </c>
      <c r="H619" s="156" t="s">
        <v>7454</v>
      </c>
      <c r="I619" s="168" t="s">
        <v>2585</v>
      </c>
      <c r="J619" s="169" t="s">
        <v>88</v>
      </c>
    </row>
    <row r="620" spans="1:10" hidden="1">
      <c r="A620" s="154" t="s">
        <v>20</v>
      </c>
      <c r="B620" s="155" t="s">
        <v>7459</v>
      </c>
      <c r="C620" s="133" t="s">
        <v>13</v>
      </c>
      <c r="D620" s="133" t="s">
        <v>7460</v>
      </c>
      <c r="E620" s="133"/>
      <c r="F620" s="133" t="s">
        <v>214</v>
      </c>
      <c r="G620" s="156" t="s">
        <v>7461</v>
      </c>
      <c r="I620" s="168" t="s">
        <v>17</v>
      </c>
      <c r="J620" s="169" t="s">
        <v>88</v>
      </c>
    </row>
    <row r="621" spans="1:10">
      <c r="A621" s="154" t="s">
        <v>95</v>
      </c>
      <c r="B621" s="155" t="s">
        <v>7462</v>
      </c>
      <c r="C621" s="133" t="s">
        <v>113</v>
      </c>
      <c r="D621" s="133" t="s">
        <v>7463</v>
      </c>
      <c r="E621" s="133" t="s">
        <v>7464</v>
      </c>
      <c r="F621" s="133" t="s">
        <v>40</v>
      </c>
      <c r="G621" s="156" t="s">
        <v>7465</v>
      </c>
      <c r="H621" s="156" t="s">
        <v>7466</v>
      </c>
      <c r="I621" s="168" t="s">
        <v>7467</v>
      </c>
      <c r="J621" s="169" t="s">
        <v>94</v>
      </c>
    </row>
    <row r="622" spans="1:10">
      <c r="A622" s="154" t="s">
        <v>20</v>
      </c>
      <c r="B622" s="155" t="s">
        <v>7468</v>
      </c>
      <c r="C622" s="133" t="s">
        <v>21</v>
      </c>
      <c r="D622" s="133" t="s">
        <v>7469</v>
      </c>
      <c r="E622" s="133" t="s">
        <v>7470</v>
      </c>
      <c r="F622" s="133" t="s">
        <v>40</v>
      </c>
      <c r="G622" s="156" t="s">
        <v>7471</v>
      </c>
      <c r="H622" s="156" t="s">
        <v>7472</v>
      </c>
      <c r="I622" s="168" t="s">
        <v>7473</v>
      </c>
      <c r="J622" s="169" t="s">
        <v>94</v>
      </c>
    </row>
    <row r="623" spans="1:10">
      <c r="A623" s="154" t="s">
        <v>20</v>
      </c>
      <c r="B623" s="155" t="s">
        <v>7474</v>
      </c>
      <c r="C623" s="133" t="s">
        <v>21</v>
      </c>
      <c r="D623" s="133" t="s">
        <v>7475</v>
      </c>
      <c r="E623" s="133" t="s">
        <v>7476</v>
      </c>
      <c r="F623" s="133" t="s">
        <v>40</v>
      </c>
      <c r="G623" s="156" t="s">
        <v>7477</v>
      </c>
      <c r="H623" s="156" t="s">
        <v>7478</v>
      </c>
      <c r="I623" s="168" t="s">
        <v>7473</v>
      </c>
      <c r="J623" s="169" t="s">
        <v>94</v>
      </c>
    </row>
    <row r="624" spans="1:10">
      <c r="A624" s="154" t="s">
        <v>20</v>
      </c>
      <c r="B624" s="155" t="s">
        <v>7479</v>
      </c>
      <c r="C624" s="133" t="s">
        <v>49</v>
      </c>
      <c r="D624" s="133" t="s">
        <v>7480</v>
      </c>
      <c r="E624" s="133" t="s">
        <v>7481</v>
      </c>
      <c r="F624" s="133" t="s">
        <v>40</v>
      </c>
      <c r="G624" s="156" t="s">
        <v>7482</v>
      </c>
      <c r="H624" s="156" t="s">
        <v>7483</v>
      </c>
      <c r="I624" s="168" t="s">
        <v>7484</v>
      </c>
      <c r="J624" s="169" t="s">
        <v>94</v>
      </c>
    </row>
    <row r="625" spans="1:11">
      <c r="A625" s="154" t="s">
        <v>20</v>
      </c>
      <c r="B625" s="155" t="s">
        <v>7485</v>
      </c>
      <c r="C625" s="133" t="s">
        <v>21</v>
      </c>
      <c r="D625" s="133" t="s">
        <v>7486</v>
      </c>
      <c r="E625" s="133" t="s">
        <v>7487</v>
      </c>
      <c r="F625" s="133" t="s">
        <v>40</v>
      </c>
      <c r="G625" s="156" t="s">
        <v>7488</v>
      </c>
      <c r="H625" s="156" t="s">
        <v>7489</v>
      </c>
      <c r="I625" s="168" t="s">
        <v>7473</v>
      </c>
      <c r="J625" s="169" t="s">
        <v>94</v>
      </c>
    </row>
    <row r="626" spans="1:11">
      <c r="A626" s="154" t="s">
        <v>106</v>
      </c>
      <c r="B626" s="155" t="s">
        <v>7490</v>
      </c>
      <c r="C626" s="133" t="s">
        <v>108</v>
      </c>
      <c r="D626" s="133" t="s">
        <v>7491</v>
      </c>
      <c r="E626" s="133" t="s">
        <v>7492</v>
      </c>
      <c r="F626" s="133" t="s">
        <v>40</v>
      </c>
      <c r="G626" s="156" t="s">
        <v>7493</v>
      </c>
      <c r="H626" s="156" t="s">
        <v>7494</v>
      </c>
      <c r="I626" s="168" t="s">
        <v>3825</v>
      </c>
      <c r="J626" s="169" t="s">
        <v>88</v>
      </c>
    </row>
    <row r="627" spans="1:11">
      <c r="A627" s="154" t="s">
        <v>106</v>
      </c>
      <c r="B627" s="155" t="s">
        <v>7495</v>
      </c>
      <c r="C627" s="133" t="s">
        <v>333</v>
      </c>
      <c r="D627" s="133" t="s">
        <v>7496</v>
      </c>
      <c r="E627" s="133" t="s">
        <v>7497</v>
      </c>
      <c r="F627" s="133" t="s">
        <v>40</v>
      </c>
      <c r="G627" s="156" t="s">
        <v>7498</v>
      </c>
      <c r="H627" s="156" t="s">
        <v>7499</v>
      </c>
      <c r="I627" s="168" t="s">
        <v>7500</v>
      </c>
      <c r="J627" s="169" t="s">
        <v>88</v>
      </c>
    </row>
    <row r="628" spans="1:11">
      <c r="A628" s="154" t="s">
        <v>20</v>
      </c>
      <c r="B628" s="155" t="s">
        <v>7501</v>
      </c>
      <c r="C628" s="133" t="s">
        <v>21</v>
      </c>
      <c r="D628" s="133" t="s">
        <v>7486</v>
      </c>
      <c r="E628" s="133" t="s">
        <v>7502</v>
      </c>
      <c r="F628" s="133" t="s">
        <v>40</v>
      </c>
      <c r="G628" s="156" t="s">
        <v>7503</v>
      </c>
      <c r="H628" s="156" t="s">
        <v>7504</v>
      </c>
      <c r="I628" s="168" t="s">
        <v>7473</v>
      </c>
      <c r="J628" s="169" t="s">
        <v>94</v>
      </c>
    </row>
    <row r="629" spans="1:11">
      <c r="A629" s="154" t="s">
        <v>20</v>
      </c>
      <c r="B629" s="155" t="s">
        <v>7505</v>
      </c>
      <c r="C629" s="133" t="s">
        <v>21</v>
      </c>
      <c r="D629" s="133" t="s">
        <v>7506</v>
      </c>
      <c r="E629" s="133" t="s">
        <v>7507</v>
      </c>
      <c r="F629" s="133" t="s">
        <v>40</v>
      </c>
      <c r="G629" s="156" t="s">
        <v>7508</v>
      </c>
      <c r="H629" s="156" t="s">
        <v>7509</v>
      </c>
      <c r="I629" s="168" t="s">
        <v>7473</v>
      </c>
      <c r="J629" s="169" t="s">
        <v>94</v>
      </c>
    </row>
    <row r="630" spans="1:11">
      <c r="A630" s="154" t="s">
        <v>95</v>
      </c>
      <c r="B630" s="155" t="s">
        <v>7510</v>
      </c>
      <c r="C630" s="133" t="s">
        <v>6047</v>
      </c>
      <c r="D630" s="133" t="s">
        <v>7511</v>
      </c>
      <c r="E630" s="133" t="s">
        <v>7512</v>
      </c>
      <c r="F630" s="133" t="s">
        <v>40</v>
      </c>
      <c r="G630" s="156" t="s">
        <v>7513</v>
      </c>
      <c r="H630" s="156" t="s">
        <v>7514</v>
      </c>
      <c r="I630" s="168" t="s">
        <v>7515</v>
      </c>
      <c r="J630" s="169" t="s">
        <v>94</v>
      </c>
    </row>
    <row r="631" spans="1:11" ht="87">
      <c r="A631" s="154" t="s">
        <v>106</v>
      </c>
      <c r="B631" s="155" t="s">
        <v>7516</v>
      </c>
      <c r="C631" s="133" t="s">
        <v>108</v>
      </c>
      <c r="D631" s="133" t="s">
        <v>7517</v>
      </c>
      <c r="E631" s="135" t="s">
        <v>7518</v>
      </c>
      <c r="F631" s="133" t="s">
        <v>40</v>
      </c>
      <c r="G631" s="156" t="s">
        <v>7519</v>
      </c>
      <c r="H631" s="156" t="s">
        <v>7520</v>
      </c>
      <c r="I631" s="168" t="s">
        <v>7521</v>
      </c>
      <c r="J631" s="169" t="s">
        <v>94</v>
      </c>
      <c r="K631" s="169" t="s">
        <v>88</v>
      </c>
    </row>
    <row r="632" spans="1:11">
      <c r="A632" s="154" t="s">
        <v>95</v>
      </c>
      <c r="B632" s="155" t="s">
        <v>7522</v>
      </c>
      <c r="C632" s="133" t="s">
        <v>6047</v>
      </c>
      <c r="D632" s="133" t="s">
        <v>7523</v>
      </c>
      <c r="E632" s="133" t="s">
        <v>7524</v>
      </c>
      <c r="F632" s="133" t="s">
        <v>40</v>
      </c>
      <c r="G632" s="156" t="s">
        <v>7525</v>
      </c>
      <c r="H632" s="156" t="s">
        <v>7526</v>
      </c>
      <c r="I632" s="168" t="s">
        <v>7455</v>
      </c>
      <c r="J632" s="169" t="s">
        <v>88</v>
      </c>
    </row>
    <row r="633" spans="1:11">
      <c r="A633" s="154" t="s">
        <v>20</v>
      </c>
      <c r="B633" s="155" t="s">
        <v>7527</v>
      </c>
      <c r="C633" s="133" t="s">
        <v>21</v>
      </c>
      <c r="D633" s="133" t="s">
        <v>7528</v>
      </c>
      <c r="E633" s="133" t="s">
        <v>7529</v>
      </c>
      <c r="F633" s="133" t="s">
        <v>40</v>
      </c>
      <c r="G633" s="156" t="s">
        <v>7530</v>
      </c>
      <c r="H633" s="156" t="s">
        <v>7531</v>
      </c>
      <c r="I633" s="168" t="s">
        <v>7532</v>
      </c>
      <c r="J633" s="169" t="s">
        <v>88</v>
      </c>
    </row>
    <row r="634" spans="1:11">
      <c r="A634" s="154" t="s">
        <v>106</v>
      </c>
      <c r="B634" s="155" t="s">
        <v>7533</v>
      </c>
      <c r="C634" s="133" t="s">
        <v>333</v>
      </c>
      <c r="D634" s="133" t="s">
        <v>7534</v>
      </c>
      <c r="E634" s="133" t="s">
        <v>7535</v>
      </c>
      <c r="F634" s="133" t="s">
        <v>40</v>
      </c>
      <c r="G634" s="156" t="s">
        <v>7536</v>
      </c>
      <c r="H634" s="156" t="s">
        <v>7537</v>
      </c>
      <c r="I634" s="168" t="s">
        <v>2351</v>
      </c>
      <c r="J634" s="169" t="s">
        <v>88</v>
      </c>
    </row>
    <row r="635" spans="1:11">
      <c r="A635" s="154" t="s">
        <v>95</v>
      </c>
      <c r="B635" s="155" t="s">
        <v>7538</v>
      </c>
      <c r="C635" s="133" t="s">
        <v>6047</v>
      </c>
      <c r="D635" s="133" t="s">
        <v>7539</v>
      </c>
      <c r="E635" s="133" t="s">
        <v>7540</v>
      </c>
      <c r="F635" s="133" t="s">
        <v>40</v>
      </c>
      <c r="G635" s="156" t="s">
        <v>7541</v>
      </c>
      <c r="H635" s="156" t="s">
        <v>7542</v>
      </c>
      <c r="I635" s="168" t="s">
        <v>7543</v>
      </c>
      <c r="J635" s="169" t="s">
        <v>88</v>
      </c>
    </row>
    <row r="636" spans="1:11" hidden="1">
      <c r="A636" s="154" t="s">
        <v>20</v>
      </c>
      <c r="B636" s="155" t="s">
        <v>7544</v>
      </c>
      <c r="C636" s="133" t="s">
        <v>49</v>
      </c>
      <c r="D636" s="133" t="s">
        <v>7545</v>
      </c>
      <c r="E636" s="133" t="s">
        <v>7546</v>
      </c>
      <c r="F636" s="133" t="s">
        <v>308</v>
      </c>
      <c r="G636" s="156" t="s">
        <v>7547</v>
      </c>
      <c r="I636" s="168" t="s">
        <v>1590</v>
      </c>
      <c r="J636" s="169" t="s">
        <v>88</v>
      </c>
    </row>
    <row r="637" spans="1:11" hidden="1">
      <c r="A637" s="154" t="s">
        <v>106</v>
      </c>
      <c r="B637" s="155" t="s">
        <v>7548</v>
      </c>
      <c r="C637" s="133" t="s">
        <v>78</v>
      </c>
      <c r="D637" s="133" t="s">
        <v>7549</v>
      </c>
      <c r="E637" s="133"/>
      <c r="F637" s="133" t="s">
        <v>214</v>
      </c>
      <c r="G637" s="156" t="s">
        <v>7550</v>
      </c>
      <c r="I637" s="168" t="s">
        <v>258</v>
      </c>
      <c r="J637" s="169" t="s">
        <v>88</v>
      </c>
    </row>
    <row r="638" spans="1:11">
      <c r="A638" s="154" t="s">
        <v>20</v>
      </c>
      <c r="B638" s="155" t="s">
        <v>7551</v>
      </c>
      <c r="C638" s="133" t="s">
        <v>21</v>
      </c>
      <c r="D638" s="133" t="s">
        <v>7552</v>
      </c>
      <c r="E638" s="133" t="s">
        <v>7553</v>
      </c>
      <c r="F638" s="133" t="s">
        <v>40</v>
      </c>
      <c r="G638" s="156" t="s">
        <v>7554</v>
      </c>
      <c r="H638" s="156" t="s">
        <v>7555</v>
      </c>
      <c r="I638" s="168" t="s">
        <v>7556</v>
      </c>
      <c r="J638" s="169" t="s">
        <v>94</v>
      </c>
    </row>
    <row r="639" spans="1:11">
      <c r="A639" s="154" t="s">
        <v>95</v>
      </c>
      <c r="B639" s="155" t="s">
        <v>7557</v>
      </c>
      <c r="C639" s="133" t="s">
        <v>113</v>
      </c>
      <c r="D639" s="133" t="s">
        <v>7558</v>
      </c>
      <c r="E639" s="133" t="s">
        <v>7559</v>
      </c>
      <c r="F639" s="133" t="s">
        <v>40</v>
      </c>
      <c r="G639" s="156" t="s">
        <v>7560</v>
      </c>
      <c r="H639" s="156" t="s">
        <v>7561</v>
      </c>
      <c r="I639" s="168" t="s">
        <v>7562</v>
      </c>
      <c r="J639" s="169" t="s">
        <v>94</v>
      </c>
    </row>
    <row r="640" spans="1:11">
      <c r="A640" s="154" t="s">
        <v>20</v>
      </c>
      <c r="B640" s="155" t="s">
        <v>7563</v>
      </c>
      <c r="C640" s="133" t="s">
        <v>21</v>
      </c>
      <c r="D640" s="133" t="s">
        <v>7564</v>
      </c>
      <c r="E640" s="133" t="s">
        <v>7565</v>
      </c>
      <c r="F640" s="133" t="s">
        <v>40</v>
      </c>
      <c r="G640" s="156" t="s">
        <v>7566</v>
      </c>
      <c r="H640" s="156" t="s">
        <v>7567</v>
      </c>
      <c r="I640" s="168" t="s">
        <v>7556</v>
      </c>
      <c r="J640" s="169" t="s">
        <v>94</v>
      </c>
    </row>
    <row r="641" spans="1:10">
      <c r="A641" s="154" t="s">
        <v>20</v>
      </c>
      <c r="B641" s="155" t="s">
        <v>7568</v>
      </c>
      <c r="C641" s="133" t="s">
        <v>21</v>
      </c>
      <c r="D641" s="133" t="s">
        <v>7569</v>
      </c>
      <c r="E641" s="133" t="s">
        <v>7570</v>
      </c>
      <c r="F641" s="133" t="s">
        <v>40</v>
      </c>
      <c r="G641" s="156" t="s">
        <v>7571</v>
      </c>
      <c r="H641" s="156" t="s">
        <v>7572</v>
      </c>
      <c r="I641" s="168" t="s">
        <v>7556</v>
      </c>
      <c r="J641" s="169" t="s">
        <v>94</v>
      </c>
    </row>
    <row r="642" spans="1:10">
      <c r="A642" s="154" t="s">
        <v>20</v>
      </c>
      <c r="B642" s="155" t="s">
        <v>7573</v>
      </c>
      <c r="C642" s="133" t="s">
        <v>21</v>
      </c>
      <c r="D642" s="133" t="s">
        <v>7574</v>
      </c>
      <c r="E642" s="133" t="s">
        <v>7575</v>
      </c>
      <c r="F642" s="133" t="s">
        <v>40</v>
      </c>
      <c r="G642" s="156" t="s">
        <v>7576</v>
      </c>
      <c r="H642" s="156" t="s">
        <v>7577</v>
      </c>
      <c r="I642" s="168" t="s">
        <v>7556</v>
      </c>
      <c r="J642" s="169" t="s">
        <v>94</v>
      </c>
    </row>
    <row r="643" spans="1:10">
      <c r="A643" s="154" t="s">
        <v>95</v>
      </c>
      <c r="B643" s="155" t="s">
        <v>7578</v>
      </c>
      <c r="C643" s="133" t="s">
        <v>97</v>
      </c>
      <c r="D643" s="133" t="s">
        <v>7579</v>
      </c>
      <c r="E643" s="133" t="s">
        <v>7580</v>
      </c>
      <c r="F643" s="133" t="s">
        <v>40</v>
      </c>
      <c r="G643" s="156" t="s">
        <v>7581</v>
      </c>
      <c r="H643" s="156" t="s">
        <v>7582</v>
      </c>
      <c r="I643" s="168" t="s">
        <v>4375</v>
      </c>
      <c r="J643" s="169" t="s">
        <v>94</v>
      </c>
    </row>
    <row r="644" spans="1:10">
      <c r="A644" s="154" t="s">
        <v>106</v>
      </c>
      <c r="B644" s="155" t="s">
        <v>7583</v>
      </c>
      <c r="C644" s="133" t="s">
        <v>78</v>
      </c>
      <c r="D644" s="133" t="s">
        <v>7584</v>
      </c>
      <c r="E644" s="133" t="s">
        <v>7585</v>
      </c>
      <c r="F644" s="133" t="s">
        <v>40</v>
      </c>
      <c r="G644" s="156" t="s">
        <v>7586</v>
      </c>
      <c r="H644" s="156" t="s">
        <v>7587</v>
      </c>
      <c r="I644" s="168" t="s">
        <v>7588</v>
      </c>
      <c r="J644" s="169" t="s">
        <v>88</v>
      </c>
    </row>
    <row r="645" spans="1:10">
      <c r="A645" s="154" t="s">
        <v>95</v>
      </c>
      <c r="B645" s="155" t="s">
        <v>7589</v>
      </c>
      <c r="C645" s="133" t="s">
        <v>97</v>
      </c>
      <c r="D645" s="133" t="s">
        <v>7590</v>
      </c>
      <c r="E645" s="133" t="s">
        <v>7591</v>
      </c>
      <c r="F645" s="133" t="s">
        <v>40</v>
      </c>
      <c r="G645" s="156" t="s">
        <v>7592</v>
      </c>
      <c r="H645" s="156" t="s">
        <v>7593</v>
      </c>
      <c r="I645" s="168" t="s">
        <v>991</v>
      </c>
      <c r="J645" s="169" t="s">
        <v>88</v>
      </c>
    </row>
    <row r="646" spans="1:10">
      <c r="A646" s="154" t="s">
        <v>95</v>
      </c>
      <c r="B646" s="155" t="s">
        <v>7594</v>
      </c>
      <c r="C646" s="133" t="s">
        <v>97</v>
      </c>
      <c r="D646" s="133" t="s">
        <v>2684</v>
      </c>
      <c r="E646" s="133" t="s">
        <v>7595</v>
      </c>
      <c r="F646" s="133" t="s">
        <v>40</v>
      </c>
      <c r="G646" s="156" t="s">
        <v>7596</v>
      </c>
      <c r="H646" s="156" t="s">
        <v>7597</v>
      </c>
      <c r="I646" s="168" t="s">
        <v>2585</v>
      </c>
      <c r="J646" s="169" t="s">
        <v>88</v>
      </c>
    </row>
    <row r="647" spans="1:10">
      <c r="A647" s="154" t="s">
        <v>20</v>
      </c>
      <c r="B647" s="155" t="s">
        <v>7598</v>
      </c>
      <c r="C647" s="133" t="s">
        <v>13</v>
      </c>
      <c r="D647" s="133" t="s">
        <v>7599</v>
      </c>
      <c r="E647" s="133" t="s">
        <v>7600</v>
      </c>
      <c r="F647" s="133" t="s">
        <v>40</v>
      </c>
      <c r="G647" s="156" t="s">
        <v>7601</v>
      </c>
      <c r="H647" s="156" t="s">
        <v>7602</v>
      </c>
      <c r="I647" s="168" t="s">
        <v>2605</v>
      </c>
      <c r="J647" s="169" t="s">
        <v>94</v>
      </c>
    </row>
    <row r="648" spans="1:10">
      <c r="A648" s="154" t="s">
        <v>20</v>
      </c>
      <c r="B648" s="155" t="s">
        <v>7603</v>
      </c>
      <c r="C648" s="133" t="s">
        <v>21</v>
      </c>
      <c r="D648" s="133" t="s">
        <v>7604</v>
      </c>
      <c r="E648" s="133" t="s">
        <v>7605</v>
      </c>
      <c r="F648" s="133" t="s">
        <v>40</v>
      </c>
      <c r="G648" s="156" t="s">
        <v>7606</v>
      </c>
      <c r="H648" s="156" t="s">
        <v>7607</v>
      </c>
      <c r="I648" s="168" t="s">
        <v>7608</v>
      </c>
      <c r="J648" s="169" t="s">
        <v>94</v>
      </c>
    </row>
    <row r="649" spans="1:10">
      <c r="A649" s="154" t="s">
        <v>20</v>
      </c>
      <c r="B649" s="155" t="s">
        <v>7609</v>
      </c>
      <c r="C649" s="133" t="s">
        <v>21</v>
      </c>
      <c r="D649" s="133" t="s">
        <v>7610</v>
      </c>
      <c r="E649" s="133" t="s">
        <v>7611</v>
      </c>
      <c r="F649" s="133" t="s">
        <v>40</v>
      </c>
      <c r="G649" s="156" t="s">
        <v>7612</v>
      </c>
      <c r="H649" s="156" t="s">
        <v>7613</v>
      </c>
      <c r="I649" s="168" t="s">
        <v>7473</v>
      </c>
      <c r="J649" s="169" t="s">
        <v>94</v>
      </c>
    </row>
    <row r="650" spans="1:10">
      <c r="A650" s="154" t="s">
        <v>95</v>
      </c>
      <c r="B650" s="155" t="s">
        <v>7614</v>
      </c>
      <c r="C650" s="133" t="s">
        <v>97</v>
      </c>
      <c r="D650" s="133" t="s">
        <v>1223</v>
      </c>
      <c r="E650" s="133" t="s">
        <v>7615</v>
      </c>
      <c r="F650" s="133" t="s">
        <v>40</v>
      </c>
      <c r="G650" s="156" t="s">
        <v>7616</v>
      </c>
      <c r="H650" s="156" t="s">
        <v>7617</v>
      </c>
      <c r="I650" s="168" t="s">
        <v>4747</v>
      </c>
      <c r="J650" s="169" t="s">
        <v>88</v>
      </c>
    </row>
    <row r="651" spans="1:10">
      <c r="A651" s="154" t="s">
        <v>95</v>
      </c>
      <c r="B651" s="155" t="s">
        <v>7618</v>
      </c>
      <c r="C651" s="133" t="s">
        <v>97</v>
      </c>
      <c r="D651" s="133" t="s">
        <v>7619</v>
      </c>
      <c r="E651" s="133" t="s">
        <v>7620</v>
      </c>
      <c r="F651" s="133" t="s">
        <v>40</v>
      </c>
      <c r="G651" s="156" t="s">
        <v>7621</v>
      </c>
      <c r="H651" s="156" t="s">
        <v>7622</v>
      </c>
      <c r="I651" s="168" t="s">
        <v>991</v>
      </c>
      <c r="J651" s="169" t="s">
        <v>88</v>
      </c>
    </row>
    <row r="652" spans="1:10">
      <c r="A652" s="154" t="s">
        <v>106</v>
      </c>
      <c r="B652" s="155" t="s">
        <v>7623</v>
      </c>
      <c r="C652" s="133" t="s">
        <v>333</v>
      </c>
      <c r="D652" s="133" t="s">
        <v>7624</v>
      </c>
      <c r="E652" s="133" t="s">
        <v>7625</v>
      </c>
      <c r="F652" s="133" t="s">
        <v>40</v>
      </c>
      <c r="G652" s="156" t="s">
        <v>7626</v>
      </c>
      <c r="H652" s="156" t="s">
        <v>7627</v>
      </c>
      <c r="I652" s="168" t="s">
        <v>4604</v>
      </c>
      <c r="J652" s="169" t="s">
        <v>88</v>
      </c>
    </row>
    <row r="653" spans="1:10">
      <c r="A653" s="154" t="s">
        <v>20</v>
      </c>
      <c r="B653" s="155" t="s">
        <v>7628</v>
      </c>
      <c r="C653" s="133" t="s">
        <v>21</v>
      </c>
      <c r="D653" s="133" t="s">
        <v>7629</v>
      </c>
      <c r="E653" s="133" t="s">
        <v>7630</v>
      </c>
      <c r="F653" s="133" t="s">
        <v>40</v>
      </c>
      <c r="G653" s="156" t="s">
        <v>7631</v>
      </c>
      <c r="H653" s="156" t="s">
        <v>7632</v>
      </c>
      <c r="I653" s="168" t="s">
        <v>7473</v>
      </c>
      <c r="J653" s="169" t="s">
        <v>94</v>
      </c>
    </row>
    <row r="654" spans="1:10">
      <c r="A654" s="154" t="s">
        <v>20</v>
      </c>
      <c r="B654" s="155" t="s">
        <v>7633</v>
      </c>
      <c r="C654" s="133" t="s">
        <v>21</v>
      </c>
      <c r="D654" s="133" t="s">
        <v>7634</v>
      </c>
      <c r="E654" s="133" t="s">
        <v>7635</v>
      </c>
      <c r="F654" s="133" t="s">
        <v>40</v>
      </c>
      <c r="G654" s="156" t="s">
        <v>7636</v>
      </c>
      <c r="H654" s="156" t="s">
        <v>7637</v>
      </c>
      <c r="I654" s="168" t="s">
        <v>7473</v>
      </c>
      <c r="J654" s="169" t="s">
        <v>94</v>
      </c>
    </row>
    <row r="655" spans="1:10">
      <c r="A655" s="154" t="s">
        <v>20</v>
      </c>
      <c r="B655" s="155" t="s">
        <v>7638</v>
      </c>
      <c r="C655" s="133" t="s">
        <v>21</v>
      </c>
      <c r="D655" s="133" t="s">
        <v>7564</v>
      </c>
      <c r="E655" s="133" t="s">
        <v>7639</v>
      </c>
      <c r="F655" s="133" t="s">
        <v>40</v>
      </c>
      <c r="G655" s="156" t="s">
        <v>7640</v>
      </c>
      <c r="H655" s="156" t="s">
        <v>7641</v>
      </c>
      <c r="I655" s="168" t="s">
        <v>7473</v>
      </c>
      <c r="J655" s="169" t="s">
        <v>94</v>
      </c>
    </row>
    <row r="656" spans="1:10">
      <c r="A656" s="154" t="s">
        <v>20</v>
      </c>
      <c r="B656" s="155" t="s">
        <v>7642</v>
      </c>
      <c r="C656" s="133" t="s">
        <v>21</v>
      </c>
      <c r="D656" s="133" t="s">
        <v>7643</v>
      </c>
      <c r="E656" s="133" t="s">
        <v>7644</v>
      </c>
      <c r="F656" s="133" t="s">
        <v>40</v>
      </c>
      <c r="G656" s="156" t="s">
        <v>7645</v>
      </c>
      <c r="H656" s="156" t="s">
        <v>7646</v>
      </c>
      <c r="I656" s="168" t="s">
        <v>7473</v>
      </c>
      <c r="J656" s="169" t="s">
        <v>94</v>
      </c>
    </row>
    <row r="657" spans="1:11">
      <c r="A657" s="154" t="s">
        <v>20</v>
      </c>
      <c r="B657" s="155" t="s">
        <v>7647</v>
      </c>
      <c r="C657" s="133" t="s">
        <v>21</v>
      </c>
      <c r="D657" s="133" t="s">
        <v>7648</v>
      </c>
      <c r="E657" s="133" t="s">
        <v>7649</v>
      </c>
      <c r="F657" s="133" t="s">
        <v>40</v>
      </c>
      <c r="G657" s="156" t="s">
        <v>7650</v>
      </c>
      <c r="H657" s="156" t="s">
        <v>7651</v>
      </c>
      <c r="I657" s="168" t="s">
        <v>7473</v>
      </c>
      <c r="J657" s="169" t="s">
        <v>94</v>
      </c>
    </row>
    <row r="658" spans="1:11">
      <c r="A658" s="154" t="s">
        <v>95</v>
      </c>
      <c r="B658" s="155" t="s">
        <v>7652</v>
      </c>
      <c r="C658" s="133" t="s">
        <v>118</v>
      </c>
      <c r="D658" s="133" t="s">
        <v>7653</v>
      </c>
      <c r="E658" s="133" t="s">
        <v>7654</v>
      </c>
      <c r="F658" s="133" t="s">
        <v>40</v>
      </c>
      <c r="G658" s="156" t="s">
        <v>7655</v>
      </c>
      <c r="H658" s="156" t="s">
        <v>7656</v>
      </c>
      <c r="I658" s="168" t="s">
        <v>4943</v>
      </c>
      <c r="J658" s="169" t="s">
        <v>94</v>
      </c>
    </row>
    <row r="659" spans="1:11">
      <c r="A659" s="154" t="s">
        <v>106</v>
      </c>
      <c r="B659" s="155" t="s">
        <v>7657</v>
      </c>
      <c r="C659" s="133" t="s">
        <v>333</v>
      </c>
      <c r="D659" s="133" t="s">
        <v>7658</v>
      </c>
      <c r="E659" s="133" t="s">
        <v>7659</v>
      </c>
      <c r="F659" s="133" t="s">
        <v>40</v>
      </c>
      <c r="G659" s="156" t="s">
        <v>7660</v>
      </c>
      <c r="H659" s="156" t="s">
        <v>7661</v>
      </c>
      <c r="I659" s="168" t="s">
        <v>4604</v>
      </c>
      <c r="J659" s="169" t="s">
        <v>88</v>
      </c>
    </row>
    <row r="660" spans="1:11">
      <c r="A660" s="154" t="s">
        <v>106</v>
      </c>
      <c r="B660" s="155" t="s">
        <v>7662</v>
      </c>
      <c r="C660" s="133" t="s">
        <v>108</v>
      </c>
      <c r="D660" s="133" t="s">
        <v>7663</v>
      </c>
      <c r="E660" s="133" t="s">
        <v>7664</v>
      </c>
      <c r="F660" s="133" t="s">
        <v>40</v>
      </c>
      <c r="G660" s="156" t="s">
        <v>7665</v>
      </c>
      <c r="H660" s="156" t="s">
        <v>7666</v>
      </c>
      <c r="I660" s="168" t="s">
        <v>3510</v>
      </c>
      <c r="J660" s="169" t="s">
        <v>94</v>
      </c>
      <c r="K660" s="169" t="s">
        <v>88</v>
      </c>
    </row>
    <row r="661" spans="1:11">
      <c r="A661" s="154" t="s">
        <v>20</v>
      </c>
      <c r="B661" s="155" t="s">
        <v>7667</v>
      </c>
      <c r="C661" s="133" t="s">
        <v>49</v>
      </c>
      <c r="D661" s="133" t="s">
        <v>7668</v>
      </c>
      <c r="E661" s="133" t="s">
        <v>7669</v>
      </c>
      <c r="F661" s="133" t="s">
        <v>40</v>
      </c>
      <c r="G661" s="156" t="s">
        <v>7670</v>
      </c>
      <c r="H661" s="156" t="s">
        <v>7671</v>
      </c>
      <c r="I661" s="168" t="s">
        <v>7672</v>
      </c>
      <c r="J661" s="169" t="s">
        <v>94</v>
      </c>
    </row>
    <row r="662" spans="1:11">
      <c r="A662" s="154" t="s">
        <v>20</v>
      </c>
      <c r="B662" s="155" t="s">
        <v>7673</v>
      </c>
      <c r="C662" s="133" t="s">
        <v>21</v>
      </c>
      <c r="D662" s="133" t="s">
        <v>7674</v>
      </c>
      <c r="E662" s="133" t="s">
        <v>7675</v>
      </c>
      <c r="F662" s="133" t="s">
        <v>40</v>
      </c>
      <c r="G662" s="156" t="s">
        <v>7676</v>
      </c>
      <c r="H662" s="156" t="s">
        <v>7677</v>
      </c>
      <c r="I662" s="168" t="s">
        <v>7473</v>
      </c>
      <c r="J662" s="169" t="s">
        <v>94</v>
      </c>
    </row>
    <row r="663" spans="1:11">
      <c r="A663" s="154" t="s">
        <v>106</v>
      </c>
      <c r="B663" s="155" t="s">
        <v>7678</v>
      </c>
      <c r="C663" s="133" t="s">
        <v>108</v>
      </c>
      <c r="D663" s="133" t="s">
        <v>7679</v>
      </c>
      <c r="E663" s="133" t="s">
        <v>7680</v>
      </c>
      <c r="F663" s="133" t="s">
        <v>40</v>
      </c>
      <c r="G663" s="156" t="s">
        <v>7681</v>
      </c>
      <c r="H663" s="156" t="s">
        <v>7682</v>
      </c>
      <c r="I663" s="168" t="s">
        <v>3932</v>
      </c>
      <c r="J663" s="169" t="s">
        <v>88</v>
      </c>
    </row>
    <row r="664" spans="1:11">
      <c r="A664" s="154" t="s">
        <v>106</v>
      </c>
      <c r="B664" s="155" t="s">
        <v>7683</v>
      </c>
      <c r="C664" s="133" t="s">
        <v>78</v>
      </c>
      <c r="D664" s="133" t="s">
        <v>7684</v>
      </c>
      <c r="E664" s="133" t="s">
        <v>7685</v>
      </c>
      <c r="F664" s="133" t="s">
        <v>40</v>
      </c>
      <c r="G664" s="156" t="s">
        <v>7686</v>
      </c>
      <c r="H664" s="156" t="s">
        <v>7687</v>
      </c>
      <c r="I664" s="168" t="s">
        <v>258</v>
      </c>
      <c r="J664" s="169" t="s">
        <v>88</v>
      </c>
    </row>
    <row r="665" spans="1:11">
      <c r="A665" s="154" t="s">
        <v>106</v>
      </c>
      <c r="B665" s="155" t="s">
        <v>7688</v>
      </c>
      <c r="C665" s="133" t="s">
        <v>108</v>
      </c>
      <c r="D665" s="133" t="s">
        <v>7689</v>
      </c>
      <c r="E665" s="133" t="s">
        <v>7690</v>
      </c>
      <c r="F665" s="133" t="s">
        <v>40</v>
      </c>
      <c r="G665" s="156" t="s">
        <v>7691</v>
      </c>
      <c r="H665" s="156" t="s">
        <v>7692</v>
      </c>
      <c r="I665" s="168" t="s">
        <v>7693</v>
      </c>
      <c r="J665" s="169" t="s">
        <v>88</v>
      </c>
    </row>
    <row r="666" spans="1:11">
      <c r="A666" s="154" t="s">
        <v>106</v>
      </c>
      <c r="B666" s="155" t="s">
        <v>7694</v>
      </c>
      <c r="C666" s="133" t="s">
        <v>333</v>
      </c>
      <c r="D666" s="133" t="s">
        <v>7695</v>
      </c>
      <c r="E666" s="133" t="s">
        <v>7696</v>
      </c>
      <c r="F666" s="133" t="s">
        <v>40</v>
      </c>
      <c r="G666" s="156" t="s">
        <v>7697</v>
      </c>
      <c r="H666" s="156" t="s">
        <v>7698</v>
      </c>
      <c r="I666" s="168" t="s">
        <v>7699</v>
      </c>
      <c r="J666" s="169" t="s">
        <v>88</v>
      </c>
    </row>
    <row r="667" spans="1:11">
      <c r="A667" s="154" t="s">
        <v>20</v>
      </c>
      <c r="B667" s="155" t="s">
        <v>7700</v>
      </c>
      <c r="C667" s="133" t="s">
        <v>13</v>
      </c>
      <c r="D667" s="133" t="s">
        <v>7701</v>
      </c>
      <c r="E667" s="133" t="s">
        <v>7702</v>
      </c>
      <c r="F667" s="133" t="s">
        <v>40</v>
      </c>
      <c r="G667" s="156" t="s">
        <v>7703</v>
      </c>
      <c r="H667" s="156" t="s">
        <v>7704</v>
      </c>
      <c r="I667" s="168" t="s">
        <v>149</v>
      </c>
      <c r="J667" s="169" t="s">
        <v>88</v>
      </c>
    </row>
    <row r="668" spans="1:11">
      <c r="A668" s="154" t="s">
        <v>20</v>
      </c>
      <c r="B668" s="155" t="s">
        <v>7705</v>
      </c>
      <c r="C668" s="133" t="s">
        <v>21</v>
      </c>
      <c r="D668" s="133" t="s">
        <v>7706</v>
      </c>
      <c r="E668" s="133" t="s">
        <v>7707</v>
      </c>
      <c r="F668" s="133" t="s">
        <v>40</v>
      </c>
      <c r="G668" s="156" t="s">
        <v>7708</v>
      </c>
      <c r="H668" s="156" t="s">
        <v>7709</v>
      </c>
      <c r="I668" s="168" t="s">
        <v>6080</v>
      </c>
      <c r="J668" s="169" t="s">
        <v>94</v>
      </c>
    </row>
    <row r="669" spans="1:11">
      <c r="A669" s="154" t="s">
        <v>20</v>
      </c>
      <c r="B669" s="155" t="s">
        <v>7710</v>
      </c>
      <c r="C669" s="133" t="s">
        <v>21</v>
      </c>
      <c r="D669" s="133" t="s">
        <v>7711</v>
      </c>
      <c r="E669" s="133" t="s">
        <v>7712</v>
      </c>
      <c r="F669" s="133" t="s">
        <v>40</v>
      </c>
      <c r="G669" s="156" t="s">
        <v>7713</v>
      </c>
      <c r="H669" s="156" t="s">
        <v>7714</v>
      </c>
      <c r="I669" s="168" t="s">
        <v>7715</v>
      </c>
      <c r="J669" s="169" t="s">
        <v>94</v>
      </c>
    </row>
    <row r="670" spans="1:11">
      <c r="A670" s="164" t="s">
        <v>95</v>
      </c>
      <c r="B670" s="155" t="s">
        <v>7716</v>
      </c>
      <c r="C670" s="133" t="s">
        <v>6047</v>
      </c>
      <c r="D670" s="133" t="s">
        <v>7717</v>
      </c>
      <c r="E670" s="133" t="s">
        <v>7718</v>
      </c>
      <c r="F670" s="133" t="s">
        <v>40</v>
      </c>
      <c r="G670" s="156" t="s">
        <v>7719</v>
      </c>
      <c r="H670" s="156" t="s">
        <v>7720</v>
      </c>
      <c r="I670" s="168" t="s">
        <v>7721</v>
      </c>
      <c r="J670" s="169" t="s">
        <v>94</v>
      </c>
    </row>
    <row r="671" spans="1:11">
      <c r="A671" s="154" t="s">
        <v>95</v>
      </c>
      <c r="B671" s="159" t="s">
        <v>7722</v>
      </c>
      <c r="C671" s="134" t="s">
        <v>97</v>
      </c>
      <c r="D671" s="134" t="s">
        <v>7723</v>
      </c>
      <c r="E671" s="134" t="s">
        <v>7724</v>
      </c>
      <c r="F671" s="134" t="s">
        <v>40</v>
      </c>
      <c r="G671" s="156" t="s">
        <v>7725</v>
      </c>
      <c r="H671" s="156" t="s">
        <v>7726</v>
      </c>
      <c r="I671" s="168" t="s">
        <v>3429</v>
      </c>
      <c r="J671" s="169" t="s">
        <v>61</v>
      </c>
    </row>
    <row r="672" spans="1:11">
      <c r="A672" s="154" t="s">
        <v>95</v>
      </c>
      <c r="B672" s="155" t="s">
        <v>7727</v>
      </c>
      <c r="C672" s="133" t="s">
        <v>6047</v>
      </c>
      <c r="D672" s="132" t="s">
        <v>7728</v>
      </c>
      <c r="E672" s="132" t="s">
        <v>7729</v>
      </c>
      <c r="F672" s="133" t="s">
        <v>40</v>
      </c>
      <c r="G672" s="156" t="s">
        <v>7730</v>
      </c>
      <c r="H672" s="156" t="s">
        <v>7731</v>
      </c>
      <c r="I672" s="168" t="s">
        <v>6974</v>
      </c>
      <c r="J672" s="169" t="s">
        <v>61</v>
      </c>
    </row>
    <row r="673" spans="1:10">
      <c r="A673" s="154" t="s">
        <v>95</v>
      </c>
      <c r="B673" s="155" t="s">
        <v>7732</v>
      </c>
      <c r="C673" s="133" t="s">
        <v>6047</v>
      </c>
      <c r="D673" s="132" t="s">
        <v>7733</v>
      </c>
      <c r="E673" s="132" t="s">
        <v>7734</v>
      </c>
      <c r="F673" s="133" t="s">
        <v>40</v>
      </c>
      <c r="G673" s="156" t="s">
        <v>7735</v>
      </c>
      <c r="H673" s="156" t="s">
        <v>7736</v>
      </c>
      <c r="I673" s="168" t="s">
        <v>6974</v>
      </c>
      <c r="J673" s="169" t="s">
        <v>61</v>
      </c>
    </row>
    <row r="674" spans="1:10">
      <c r="A674" s="154" t="s">
        <v>106</v>
      </c>
      <c r="B674" s="155" t="s">
        <v>7737</v>
      </c>
      <c r="C674" s="133" t="s">
        <v>78</v>
      </c>
      <c r="D674" s="132" t="s">
        <v>7738</v>
      </c>
      <c r="E674" s="132" t="s">
        <v>7739</v>
      </c>
      <c r="F674" s="133" t="s">
        <v>40</v>
      </c>
      <c r="G674" s="156" t="s">
        <v>7740</v>
      </c>
      <c r="H674" s="156" t="s">
        <v>7741</v>
      </c>
      <c r="I674" s="168" t="s">
        <v>2308</v>
      </c>
      <c r="J674" s="169" t="s">
        <v>61</v>
      </c>
    </row>
    <row r="675" spans="1:10">
      <c r="A675" s="154" t="s">
        <v>20</v>
      </c>
      <c r="B675" s="155" t="s">
        <v>7742</v>
      </c>
      <c r="C675" s="133" t="s">
        <v>49</v>
      </c>
      <c r="D675" s="133" t="s">
        <v>7743</v>
      </c>
      <c r="E675" s="133" t="s">
        <v>7744</v>
      </c>
      <c r="F675" s="133" t="s">
        <v>40</v>
      </c>
      <c r="G675" s="156" t="s">
        <v>7745</v>
      </c>
      <c r="H675" s="156" t="s">
        <v>7746</v>
      </c>
      <c r="I675" s="168" t="s">
        <v>7747</v>
      </c>
      <c r="J675" s="169" t="s">
        <v>72</v>
      </c>
    </row>
    <row r="676" spans="1:10">
      <c r="A676" s="154" t="s">
        <v>106</v>
      </c>
      <c r="B676" s="155" t="s">
        <v>7748</v>
      </c>
      <c r="C676" s="133" t="s">
        <v>108</v>
      </c>
      <c r="D676" s="133" t="s">
        <v>7749</v>
      </c>
      <c r="E676" s="133" t="s">
        <v>7750</v>
      </c>
      <c r="F676" s="133" t="s">
        <v>40</v>
      </c>
      <c r="G676" s="156" t="s">
        <v>7751</v>
      </c>
      <c r="H676" s="156" t="s">
        <v>7752</v>
      </c>
      <c r="I676" s="168" t="s">
        <v>616</v>
      </c>
      <c r="J676" s="169" t="s">
        <v>72</v>
      </c>
    </row>
    <row r="677" spans="1:10">
      <c r="A677" s="154" t="s">
        <v>20</v>
      </c>
      <c r="B677" s="155" t="s">
        <v>7753</v>
      </c>
      <c r="C677" s="133" t="s">
        <v>21</v>
      </c>
      <c r="D677" s="133" t="s">
        <v>7754</v>
      </c>
      <c r="E677" s="133" t="s">
        <v>7755</v>
      </c>
      <c r="F677" s="133" t="s">
        <v>40</v>
      </c>
      <c r="G677" s="156" t="s">
        <v>7756</v>
      </c>
      <c r="H677" s="156" t="s">
        <v>7757</v>
      </c>
      <c r="I677" s="168" t="s">
        <v>7758</v>
      </c>
      <c r="J677" s="169" t="s">
        <v>72</v>
      </c>
    </row>
    <row r="678" spans="1:10">
      <c r="A678" s="154" t="s">
        <v>20</v>
      </c>
      <c r="B678" s="155" t="s">
        <v>7759</v>
      </c>
      <c r="C678" s="133" t="s">
        <v>21</v>
      </c>
      <c r="D678" s="133" t="s">
        <v>7760</v>
      </c>
      <c r="E678" s="133" t="s">
        <v>7761</v>
      </c>
      <c r="F678" s="133" t="s">
        <v>40</v>
      </c>
      <c r="G678" s="156" t="s">
        <v>7762</v>
      </c>
      <c r="H678" s="156" t="s">
        <v>7763</v>
      </c>
      <c r="I678" s="168" t="s">
        <v>7758</v>
      </c>
      <c r="J678" s="169" t="s">
        <v>72</v>
      </c>
    </row>
    <row r="679" spans="1:10">
      <c r="A679" s="154" t="s">
        <v>20</v>
      </c>
      <c r="B679" s="155" t="s">
        <v>7764</v>
      </c>
      <c r="C679" s="133" t="s">
        <v>21</v>
      </c>
      <c r="D679" s="133" t="s">
        <v>7765</v>
      </c>
      <c r="E679" s="133" t="s">
        <v>7766</v>
      </c>
      <c r="F679" s="133" t="s">
        <v>40</v>
      </c>
      <c r="G679" s="156" t="s">
        <v>7767</v>
      </c>
      <c r="H679" s="156" t="s">
        <v>7768</v>
      </c>
      <c r="I679" s="168" t="s">
        <v>7758</v>
      </c>
      <c r="J679" s="169" t="s">
        <v>72</v>
      </c>
    </row>
    <row r="680" spans="1:10">
      <c r="A680" s="154" t="s">
        <v>95</v>
      </c>
      <c r="B680" s="155" t="s">
        <v>7769</v>
      </c>
      <c r="C680" s="133" t="s">
        <v>6047</v>
      </c>
      <c r="D680" s="133" t="s">
        <v>7770</v>
      </c>
      <c r="E680" s="133" t="s">
        <v>7771</v>
      </c>
      <c r="F680" s="133" t="s">
        <v>40</v>
      </c>
      <c r="G680" s="156" t="s">
        <v>7772</v>
      </c>
      <c r="H680" s="156" t="s">
        <v>7773</v>
      </c>
      <c r="I680" s="168" t="s">
        <v>7721</v>
      </c>
      <c r="J680" s="169" t="s">
        <v>72</v>
      </c>
    </row>
    <row r="681" spans="1:10">
      <c r="A681" s="154" t="s">
        <v>20</v>
      </c>
      <c r="B681" s="155" t="s">
        <v>7774</v>
      </c>
      <c r="C681" s="133" t="s">
        <v>21</v>
      </c>
      <c r="D681" s="133" t="s">
        <v>7775</v>
      </c>
      <c r="E681" s="133" t="s">
        <v>7776</v>
      </c>
      <c r="F681" s="133" t="s">
        <v>40</v>
      </c>
      <c r="G681" s="156" t="s">
        <v>7777</v>
      </c>
      <c r="H681" s="156" t="s">
        <v>7778</v>
      </c>
      <c r="I681" s="168" t="s">
        <v>7758</v>
      </c>
      <c r="J681" s="169" t="s">
        <v>72</v>
      </c>
    </row>
    <row r="682" spans="1:10" hidden="1">
      <c r="A682" s="154" t="s">
        <v>95</v>
      </c>
      <c r="B682" s="155" t="s">
        <v>7779</v>
      </c>
      <c r="C682" s="133" t="s">
        <v>97</v>
      </c>
      <c r="D682" s="132" t="s">
        <v>7780</v>
      </c>
      <c r="E682" s="132" t="s">
        <v>7781</v>
      </c>
      <c r="F682" s="133" t="s">
        <v>308</v>
      </c>
      <c r="G682" s="156" t="s">
        <v>7782</v>
      </c>
      <c r="I682" s="168" t="s">
        <v>7783</v>
      </c>
      <c r="J682" s="169" t="s">
        <v>61</v>
      </c>
    </row>
    <row r="683" spans="1:10">
      <c r="A683" s="154" t="s">
        <v>95</v>
      </c>
      <c r="B683" s="155" t="s">
        <v>7784</v>
      </c>
      <c r="C683" s="133" t="s">
        <v>6047</v>
      </c>
      <c r="D683" s="132" t="s">
        <v>7785</v>
      </c>
      <c r="E683" s="132" t="s">
        <v>7786</v>
      </c>
      <c r="F683" s="133" t="s">
        <v>40</v>
      </c>
      <c r="G683" s="156" t="s">
        <v>7787</v>
      </c>
      <c r="H683" s="156" t="s">
        <v>7788</v>
      </c>
      <c r="I683" s="168" t="s">
        <v>6974</v>
      </c>
      <c r="J683" s="169" t="s">
        <v>61</v>
      </c>
    </row>
    <row r="684" spans="1:10">
      <c r="A684" s="154" t="s">
        <v>106</v>
      </c>
      <c r="B684" s="155" t="s">
        <v>7789</v>
      </c>
      <c r="C684" s="133" t="s">
        <v>333</v>
      </c>
      <c r="D684" s="132" t="s">
        <v>7790</v>
      </c>
      <c r="E684" s="132" t="s">
        <v>7791</v>
      </c>
      <c r="F684" s="133" t="s">
        <v>40</v>
      </c>
      <c r="G684" s="156" t="s">
        <v>7792</v>
      </c>
      <c r="H684" s="156" t="s">
        <v>7793</v>
      </c>
      <c r="I684" s="168" t="s">
        <v>346</v>
      </c>
      <c r="J684" s="169" t="s">
        <v>61</v>
      </c>
    </row>
    <row r="685" spans="1:10">
      <c r="A685" s="154" t="s">
        <v>20</v>
      </c>
      <c r="B685" s="155" t="s">
        <v>7794</v>
      </c>
      <c r="C685" s="133" t="s">
        <v>21</v>
      </c>
      <c r="D685" s="133" t="s">
        <v>7795</v>
      </c>
      <c r="E685" s="133" t="s">
        <v>6032</v>
      </c>
      <c r="F685" s="133" t="s">
        <v>40</v>
      </c>
      <c r="G685" s="156" t="s">
        <v>7792</v>
      </c>
      <c r="H685" s="156" t="s">
        <v>7792</v>
      </c>
      <c r="I685" s="168" t="s">
        <v>7758</v>
      </c>
      <c r="J685" s="169" t="s">
        <v>72</v>
      </c>
    </row>
    <row r="686" spans="1:10">
      <c r="A686" s="154" t="s">
        <v>20</v>
      </c>
      <c r="B686" s="155" t="s">
        <v>7796</v>
      </c>
      <c r="C686" s="133" t="s">
        <v>21</v>
      </c>
      <c r="D686" s="133" t="s">
        <v>7797</v>
      </c>
      <c r="E686" s="133" t="s">
        <v>7798</v>
      </c>
      <c r="F686" s="133" t="s">
        <v>40</v>
      </c>
      <c r="G686" s="156" t="s">
        <v>7792</v>
      </c>
      <c r="H686" s="156" t="s">
        <v>7792</v>
      </c>
      <c r="I686" s="168" t="s">
        <v>7758</v>
      </c>
      <c r="J686" s="169" t="s">
        <v>72</v>
      </c>
    </row>
    <row r="687" spans="1:10">
      <c r="A687" s="154" t="s">
        <v>20</v>
      </c>
      <c r="B687" s="155" t="s">
        <v>7799</v>
      </c>
      <c r="C687" s="133" t="s">
        <v>21</v>
      </c>
      <c r="D687" s="133" t="s">
        <v>7800</v>
      </c>
      <c r="E687" s="133" t="s">
        <v>7801</v>
      </c>
      <c r="F687" s="133" t="s">
        <v>40</v>
      </c>
      <c r="G687" s="156" t="s">
        <v>7792</v>
      </c>
      <c r="H687" s="156" t="s">
        <v>7792</v>
      </c>
      <c r="I687" s="168" t="s">
        <v>7758</v>
      </c>
      <c r="J687" s="169" t="s">
        <v>72</v>
      </c>
    </row>
    <row r="688" spans="1:10">
      <c r="A688" s="154" t="s">
        <v>106</v>
      </c>
      <c r="B688" s="155" t="s">
        <v>7802</v>
      </c>
      <c r="C688" s="133" t="s">
        <v>108</v>
      </c>
      <c r="D688" s="133" t="s">
        <v>7803</v>
      </c>
      <c r="E688" s="133" t="s">
        <v>7804</v>
      </c>
      <c r="F688" s="133" t="s">
        <v>40</v>
      </c>
      <c r="G688" s="156" t="s">
        <v>7805</v>
      </c>
      <c r="H688" s="156" t="s">
        <v>7806</v>
      </c>
      <c r="I688" s="168" t="s">
        <v>1470</v>
      </c>
      <c r="J688" s="169" t="s">
        <v>61</v>
      </c>
    </row>
    <row r="689" spans="1:11">
      <c r="A689" s="154" t="s">
        <v>20</v>
      </c>
      <c r="B689" s="155" t="s">
        <v>7807</v>
      </c>
      <c r="C689" s="133" t="s">
        <v>21</v>
      </c>
      <c r="D689" s="133" t="s">
        <v>7808</v>
      </c>
      <c r="E689" s="133" t="s">
        <v>7809</v>
      </c>
      <c r="F689" s="133" t="s">
        <v>40</v>
      </c>
      <c r="G689" s="156" t="s">
        <v>7810</v>
      </c>
      <c r="H689" s="156" t="s">
        <v>7811</v>
      </c>
      <c r="I689" s="168" t="s">
        <v>7758</v>
      </c>
      <c r="J689" s="169" t="s">
        <v>72</v>
      </c>
    </row>
    <row r="690" spans="1:11">
      <c r="A690" s="154" t="s">
        <v>20</v>
      </c>
      <c r="B690" s="155" t="s">
        <v>7812</v>
      </c>
      <c r="C690" s="133" t="s">
        <v>13</v>
      </c>
      <c r="D690" s="133" t="s">
        <v>7813</v>
      </c>
      <c r="E690" s="133" t="s">
        <v>7814</v>
      </c>
      <c r="F690" s="133" t="s">
        <v>40</v>
      </c>
      <c r="G690" s="156" t="s">
        <v>7815</v>
      </c>
      <c r="H690" s="156" t="s">
        <v>7816</v>
      </c>
      <c r="I690" s="168" t="s">
        <v>74</v>
      </c>
      <c r="J690" s="169" t="s">
        <v>72</v>
      </c>
    </row>
    <row r="691" spans="1:11">
      <c r="A691" s="154" t="s">
        <v>95</v>
      </c>
      <c r="B691" s="155" t="s">
        <v>7817</v>
      </c>
      <c r="C691" s="133" t="s">
        <v>6047</v>
      </c>
      <c r="D691" s="132" t="s">
        <v>7818</v>
      </c>
      <c r="E691" s="132" t="s">
        <v>7819</v>
      </c>
      <c r="F691" s="133" t="s">
        <v>40</v>
      </c>
      <c r="G691" s="156" t="s">
        <v>7820</v>
      </c>
      <c r="H691" s="156" t="s">
        <v>7821</v>
      </c>
      <c r="I691" s="168" t="s">
        <v>7721</v>
      </c>
      <c r="J691" s="169" t="s">
        <v>72</v>
      </c>
    </row>
    <row r="692" spans="1:11">
      <c r="A692" s="154" t="s">
        <v>106</v>
      </c>
      <c r="B692" s="155" t="s">
        <v>7822</v>
      </c>
      <c r="C692" s="133" t="s">
        <v>333</v>
      </c>
      <c r="D692" s="132" t="s">
        <v>7823</v>
      </c>
      <c r="E692" s="132" t="s">
        <v>7824</v>
      </c>
      <c r="F692" s="133" t="s">
        <v>40</v>
      </c>
      <c r="G692" s="156" t="s">
        <v>7825</v>
      </c>
      <c r="H692" s="156" t="s">
        <v>7826</v>
      </c>
      <c r="I692" s="168" t="s">
        <v>32</v>
      </c>
      <c r="J692" s="169" t="s">
        <v>72</v>
      </c>
      <c r="K692" s="169" t="s">
        <v>94</v>
      </c>
    </row>
    <row r="693" spans="1:11">
      <c r="A693" s="154" t="s">
        <v>95</v>
      </c>
      <c r="B693" s="155" t="s">
        <v>7827</v>
      </c>
      <c r="C693" s="133" t="s">
        <v>1763</v>
      </c>
      <c r="D693" s="133" t="s">
        <v>7828</v>
      </c>
      <c r="E693" s="133" t="s">
        <v>7829</v>
      </c>
      <c r="F693" s="133" t="s">
        <v>40</v>
      </c>
      <c r="G693" s="156" t="s">
        <v>7825</v>
      </c>
      <c r="H693" s="156" t="s">
        <v>7830</v>
      </c>
      <c r="I693" s="168" t="s">
        <v>155</v>
      </c>
      <c r="J693" s="169" t="s">
        <v>61</v>
      </c>
    </row>
    <row r="694" spans="1:11">
      <c r="A694" s="154" t="s">
        <v>20</v>
      </c>
      <c r="B694" s="155" t="s">
        <v>7831</v>
      </c>
      <c r="C694" s="133" t="s">
        <v>49</v>
      </c>
      <c r="D694" s="133" t="s">
        <v>7832</v>
      </c>
      <c r="E694" s="133" t="s">
        <v>7833</v>
      </c>
      <c r="F694" s="133" t="s">
        <v>40</v>
      </c>
      <c r="G694" s="156" t="s">
        <v>7834</v>
      </c>
      <c r="H694" s="156" t="s">
        <v>7835</v>
      </c>
      <c r="I694" s="168" t="s">
        <v>7836</v>
      </c>
      <c r="J694" s="169" t="s">
        <v>72</v>
      </c>
    </row>
    <row r="695" spans="1:11">
      <c r="A695" s="154" t="s">
        <v>20</v>
      </c>
      <c r="B695" s="155" t="s">
        <v>7837</v>
      </c>
      <c r="C695" s="133" t="s">
        <v>21</v>
      </c>
      <c r="D695" s="133" t="s">
        <v>7838</v>
      </c>
      <c r="E695" s="133" t="s">
        <v>7839</v>
      </c>
      <c r="F695" s="133" t="s">
        <v>40</v>
      </c>
      <c r="G695" s="156" t="s">
        <v>7840</v>
      </c>
      <c r="H695" s="156" t="s">
        <v>7841</v>
      </c>
      <c r="I695" s="168" t="s">
        <v>7758</v>
      </c>
      <c r="J695" s="169" t="s">
        <v>72</v>
      </c>
    </row>
    <row r="696" spans="1:11" ht="29">
      <c r="A696" s="154" t="s">
        <v>95</v>
      </c>
      <c r="B696" s="155" t="s">
        <v>7842</v>
      </c>
      <c r="C696" s="133" t="s">
        <v>97</v>
      </c>
      <c r="D696" s="133" t="s">
        <v>7843</v>
      </c>
      <c r="E696" s="135" t="s">
        <v>7844</v>
      </c>
      <c r="F696" s="133" t="s">
        <v>40</v>
      </c>
      <c r="G696" s="156" t="s">
        <v>7845</v>
      </c>
      <c r="H696" s="156" t="s">
        <v>7846</v>
      </c>
      <c r="I696" s="168" t="s">
        <v>32</v>
      </c>
      <c r="J696" s="169" t="s">
        <v>72</v>
      </c>
    </row>
    <row r="697" spans="1:11">
      <c r="A697" s="154" t="s">
        <v>20</v>
      </c>
      <c r="B697" s="155" t="s">
        <v>7847</v>
      </c>
      <c r="C697" s="133" t="s">
        <v>13</v>
      </c>
      <c r="D697" s="132" t="s">
        <v>7848</v>
      </c>
      <c r="E697" s="133" t="s">
        <v>7849</v>
      </c>
      <c r="F697" s="133" t="s">
        <v>40</v>
      </c>
      <c r="G697" s="156" t="s">
        <v>7850</v>
      </c>
      <c r="H697" s="156" t="s">
        <v>7851</v>
      </c>
      <c r="I697" s="168" t="s">
        <v>2902</v>
      </c>
      <c r="J697" s="169" t="s">
        <v>61</v>
      </c>
    </row>
    <row r="698" spans="1:11">
      <c r="A698" s="154" t="s">
        <v>95</v>
      </c>
      <c r="B698" s="155" t="s">
        <v>7852</v>
      </c>
      <c r="C698" s="133" t="s">
        <v>97</v>
      </c>
      <c r="D698" s="132" t="s">
        <v>7853</v>
      </c>
      <c r="E698" s="133" t="s">
        <v>7854</v>
      </c>
      <c r="F698" s="133" t="s">
        <v>40</v>
      </c>
      <c r="G698" s="156" t="s">
        <v>7855</v>
      </c>
      <c r="H698" s="156" t="s">
        <v>7856</v>
      </c>
      <c r="I698" s="168" t="s">
        <v>2855</v>
      </c>
      <c r="J698" s="169" t="s">
        <v>61</v>
      </c>
    </row>
    <row r="699" spans="1:11" hidden="1">
      <c r="A699" s="154" t="s">
        <v>106</v>
      </c>
      <c r="B699" s="155" t="s">
        <v>7857</v>
      </c>
      <c r="C699" s="133" t="s">
        <v>333</v>
      </c>
      <c r="D699" s="132" t="s">
        <v>7858</v>
      </c>
      <c r="E699" s="132" t="s">
        <v>7859</v>
      </c>
      <c r="F699" s="133"/>
      <c r="G699" s="156" t="s">
        <v>7860</v>
      </c>
      <c r="H699" s="156" t="s">
        <v>7861</v>
      </c>
      <c r="I699" s="168" t="s">
        <v>3296</v>
      </c>
      <c r="J699" s="169" t="s">
        <v>61</v>
      </c>
    </row>
    <row r="700" spans="1:11" hidden="1">
      <c r="A700" s="154" t="s">
        <v>106</v>
      </c>
      <c r="B700" s="155" t="s">
        <v>7862</v>
      </c>
      <c r="C700" s="133" t="s">
        <v>333</v>
      </c>
      <c r="D700" s="132" t="s">
        <v>7863</v>
      </c>
      <c r="E700" s="132" t="s">
        <v>7864</v>
      </c>
      <c r="F700" s="133" t="s">
        <v>308</v>
      </c>
      <c r="G700" s="156" t="s">
        <v>7865</v>
      </c>
      <c r="I700" s="168" t="s">
        <v>3296</v>
      </c>
      <c r="J700" s="169" t="s">
        <v>61</v>
      </c>
    </row>
    <row r="701" spans="1:11">
      <c r="A701" s="154" t="s">
        <v>20</v>
      </c>
      <c r="B701" s="155" t="s">
        <v>7866</v>
      </c>
      <c r="C701" s="133" t="s">
        <v>21</v>
      </c>
      <c r="D701" s="133" t="s">
        <v>7867</v>
      </c>
      <c r="E701" s="133" t="s">
        <v>7868</v>
      </c>
      <c r="F701" s="133" t="s">
        <v>40</v>
      </c>
      <c r="G701" s="156" t="s">
        <v>7869</v>
      </c>
      <c r="H701" s="156" t="s">
        <v>7870</v>
      </c>
      <c r="I701" s="168" t="s">
        <v>7758</v>
      </c>
      <c r="J701" s="169" t="s">
        <v>72</v>
      </c>
    </row>
    <row r="702" spans="1:11">
      <c r="A702" s="154" t="s">
        <v>20</v>
      </c>
      <c r="B702" s="155" t="s">
        <v>7871</v>
      </c>
      <c r="C702" s="133" t="s">
        <v>21</v>
      </c>
      <c r="D702" s="133" t="s">
        <v>7872</v>
      </c>
      <c r="E702" s="133" t="s">
        <v>7873</v>
      </c>
      <c r="F702" s="133" t="s">
        <v>40</v>
      </c>
      <c r="G702" s="156" t="s">
        <v>7874</v>
      </c>
      <c r="H702" s="156" t="s">
        <v>7875</v>
      </c>
      <c r="I702" s="168" t="s">
        <v>7758</v>
      </c>
      <c r="J702" s="169" t="s">
        <v>72</v>
      </c>
    </row>
    <row r="703" spans="1:11">
      <c r="A703" s="154" t="s">
        <v>20</v>
      </c>
      <c r="B703" s="155" t="s">
        <v>7876</v>
      </c>
      <c r="C703" s="133" t="s">
        <v>49</v>
      </c>
      <c r="D703" s="133" t="s">
        <v>7877</v>
      </c>
      <c r="E703" s="133" t="s">
        <v>7878</v>
      </c>
      <c r="F703" s="133" t="s">
        <v>40</v>
      </c>
      <c r="G703" s="156" t="s">
        <v>7879</v>
      </c>
      <c r="H703" s="156" t="s">
        <v>7880</v>
      </c>
      <c r="I703" s="168" t="s">
        <v>7881</v>
      </c>
      <c r="J703" s="169" t="s">
        <v>72</v>
      </c>
    </row>
    <row r="704" spans="1:11">
      <c r="A704" s="154" t="s">
        <v>20</v>
      </c>
      <c r="B704" s="155" t="s">
        <v>7882</v>
      </c>
      <c r="C704" s="133" t="s">
        <v>21</v>
      </c>
      <c r="D704" s="133" t="s">
        <v>7883</v>
      </c>
      <c r="E704" s="133" t="s">
        <v>7884</v>
      </c>
      <c r="F704" s="133" t="s">
        <v>40</v>
      </c>
      <c r="G704" s="156" t="s">
        <v>7885</v>
      </c>
      <c r="H704" s="156" t="s">
        <v>7886</v>
      </c>
      <c r="I704" s="168" t="s">
        <v>7758</v>
      </c>
      <c r="J704" s="169" t="s">
        <v>72</v>
      </c>
    </row>
    <row r="705" spans="1:11">
      <c r="A705" s="154" t="s">
        <v>20</v>
      </c>
      <c r="B705" s="155" t="s">
        <v>7887</v>
      </c>
      <c r="C705" s="133" t="s">
        <v>21</v>
      </c>
      <c r="D705" s="133" t="s">
        <v>7888</v>
      </c>
      <c r="E705" s="133" t="s">
        <v>7889</v>
      </c>
      <c r="F705" s="133" t="s">
        <v>40</v>
      </c>
      <c r="G705" s="156" t="s">
        <v>7890</v>
      </c>
      <c r="H705" s="156" t="s">
        <v>7891</v>
      </c>
      <c r="I705" s="168" t="s">
        <v>7758</v>
      </c>
      <c r="J705" s="169" t="s">
        <v>72</v>
      </c>
    </row>
    <row r="706" spans="1:11">
      <c r="A706" s="154" t="s">
        <v>20</v>
      </c>
      <c r="B706" s="155" t="s">
        <v>7892</v>
      </c>
      <c r="C706" s="133" t="s">
        <v>21</v>
      </c>
      <c r="D706" s="133" t="s">
        <v>7893</v>
      </c>
      <c r="E706" s="133" t="s">
        <v>7894</v>
      </c>
      <c r="F706" s="133" t="s">
        <v>40</v>
      </c>
      <c r="G706" s="156" t="s">
        <v>7895</v>
      </c>
      <c r="H706" s="156" t="s">
        <v>7896</v>
      </c>
      <c r="I706" s="168" t="s">
        <v>7758</v>
      </c>
      <c r="J706" s="169" t="s">
        <v>72</v>
      </c>
    </row>
    <row r="707" spans="1:11">
      <c r="A707" s="154" t="s">
        <v>106</v>
      </c>
      <c r="B707" s="155" t="s">
        <v>7897</v>
      </c>
      <c r="C707" s="133" t="s">
        <v>108</v>
      </c>
      <c r="D707" s="133" t="s">
        <v>7898</v>
      </c>
      <c r="E707" s="133" t="s">
        <v>7899</v>
      </c>
      <c r="F707" s="133" t="s">
        <v>40</v>
      </c>
      <c r="G707" s="156" t="s">
        <v>7900</v>
      </c>
      <c r="H707" s="156" t="s">
        <v>7901</v>
      </c>
      <c r="I707" s="168" t="s">
        <v>616</v>
      </c>
      <c r="J707" s="169" t="s">
        <v>72</v>
      </c>
    </row>
    <row r="708" spans="1:11">
      <c r="A708" s="154" t="s">
        <v>106</v>
      </c>
      <c r="B708" s="155" t="s">
        <v>7902</v>
      </c>
      <c r="C708" s="133" t="s">
        <v>333</v>
      </c>
      <c r="D708" s="133" t="s">
        <v>7903</v>
      </c>
      <c r="E708" s="133" t="s">
        <v>7904</v>
      </c>
      <c r="F708" s="133" t="s">
        <v>40</v>
      </c>
      <c r="G708" s="156" t="s">
        <v>7905</v>
      </c>
      <c r="H708" s="156" t="s">
        <v>7906</v>
      </c>
      <c r="I708" s="168" t="s">
        <v>346</v>
      </c>
      <c r="J708" s="169" t="s">
        <v>61</v>
      </c>
      <c r="K708" s="169" t="s">
        <v>94</v>
      </c>
    </row>
    <row r="709" spans="1:11">
      <c r="A709" s="154" t="s">
        <v>20</v>
      </c>
      <c r="B709" s="155" t="s">
        <v>7907</v>
      </c>
      <c r="C709" s="133" t="s">
        <v>21</v>
      </c>
      <c r="D709" s="133" t="s">
        <v>7908</v>
      </c>
      <c r="E709" s="133" t="s">
        <v>7909</v>
      </c>
      <c r="F709" s="133" t="s">
        <v>40</v>
      </c>
      <c r="G709" s="156" t="s">
        <v>7910</v>
      </c>
      <c r="H709" s="156" t="s">
        <v>7911</v>
      </c>
      <c r="I709" s="168" t="s">
        <v>7101</v>
      </c>
      <c r="J709" s="169" t="s">
        <v>72</v>
      </c>
    </row>
    <row r="710" spans="1:11">
      <c r="A710" s="154" t="s">
        <v>20</v>
      </c>
      <c r="B710" s="155" t="s">
        <v>7912</v>
      </c>
      <c r="C710" s="133" t="s">
        <v>21</v>
      </c>
      <c r="D710" s="133" t="s">
        <v>7888</v>
      </c>
      <c r="E710" s="133" t="s">
        <v>7913</v>
      </c>
      <c r="F710" s="133" t="s">
        <v>40</v>
      </c>
      <c r="G710" s="156" t="s">
        <v>7914</v>
      </c>
      <c r="H710" s="156" t="s">
        <v>7915</v>
      </c>
      <c r="I710" s="168" t="s">
        <v>7758</v>
      </c>
      <c r="J710" s="169" t="s">
        <v>72</v>
      </c>
    </row>
    <row r="711" spans="1:11">
      <c r="A711" s="164" t="s">
        <v>20</v>
      </c>
      <c r="B711" s="155" t="s">
        <v>7916</v>
      </c>
      <c r="C711" s="133" t="s">
        <v>21</v>
      </c>
      <c r="D711" s="133" t="s">
        <v>7610</v>
      </c>
      <c r="E711" s="134" t="s">
        <v>7917</v>
      </c>
      <c r="F711" s="133" t="s">
        <v>40</v>
      </c>
      <c r="G711" s="156" t="s">
        <v>7918</v>
      </c>
      <c r="H711" s="156" t="s">
        <v>7919</v>
      </c>
      <c r="I711" s="168" t="s">
        <v>7473</v>
      </c>
      <c r="J711" s="169" t="s">
        <v>94</v>
      </c>
    </row>
    <row r="712" spans="1:11" ht="43.5">
      <c r="A712" s="154" t="s">
        <v>106</v>
      </c>
      <c r="B712" s="159" t="s">
        <v>7920</v>
      </c>
      <c r="C712" s="134" t="s">
        <v>78</v>
      </c>
      <c r="D712" s="134" t="s">
        <v>7921</v>
      </c>
      <c r="E712" s="140" t="s">
        <v>7922</v>
      </c>
      <c r="F712" s="134" t="s">
        <v>40</v>
      </c>
      <c r="G712" s="156" t="s">
        <v>7923</v>
      </c>
      <c r="H712" s="156" t="s">
        <v>7924</v>
      </c>
      <c r="I712" s="168" t="s">
        <v>258</v>
      </c>
      <c r="J712" s="169" t="s">
        <v>94</v>
      </c>
    </row>
    <row r="713" spans="1:11">
      <c r="A713" s="154" t="s">
        <v>106</v>
      </c>
      <c r="B713" s="159" t="s">
        <v>7925</v>
      </c>
      <c r="C713" s="134" t="s">
        <v>333</v>
      </c>
      <c r="D713" s="134" t="s">
        <v>7926</v>
      </c>
      <c r="E713" s="134" t="s">
        <v>7927</v>
      </c>
      <c r="F713" s="132" t="s">
        <v>40</v>
      </c>
      <c r="G713" s="156" t="s">
        <v>7928</v>
      </c>
      <c r="H713" s="156" t="s">
        <v>7929</v>
      </c>
      <c r="I713" s="168" t="s">
        <v>2951</v>
      </c>
      <c r="J713" s="169" t="s">
        <v>94</v>
      </c>
    </row>
    <row r="714" spans="1:11">
      <c r="A714" s="154" t="s">
        <v>106</v>
      </c>
      <c r="B714" s="155" t="s">
        <v>7930</v>
      </c>
      <c r="C714" s="133" t="s">
        <v>333</v>
      </c>
      <c r="D714" s="133" t="s">
        <v>7931</v>
      </c>
      <c r="E714" s="133" t="s">
        <v>7932</v>
      </c>
      <c r="F714" s="132" t="s">
        <v>40</v>
      </c>
      <c r="G714" s="156" t="s">
        <v>7933</v>
      </c>
      <c r="H714" s="156" t="s">
        <v>7934</v>
      </c>
      <c r="I714" s="168" t="s">
        <v>346</v>
      </c>
      <c r="J714" s="169" t="s">
        <v>94</v>
      </c>
    </row>
    <row r="715" spans="1:11">
      <c r="A715" s="154" t="s">
        <v>106</v>
      </c>
      <c r="B715" s="155" t="s">
        <v>7935</v>
      </c>
      <c r="C715" s="133" t="s">
        <v>333</v>
      </c>
      <c r="D715" s="133" t="s">
        <v>7936</v>
      </c>
      <c r="E715" s="133" t="s">
        <v>7937</v>
      </c>
      <c r="F715" s="132" t="s">
        <v>40</v>
      </c>
      <c r="G715" s="156" t="s">
        <v>7938</v>
      </c>
      <c r="H715" s="156" t="s">
        <v>7939</v>
      </c>
      <c r="I715" s="168" t="s">
        <v>346</v>
      </c>
      <c r="J715" s="169" t="s">
        <v>94</v>
      </c>
    </row>
    <row r="716" spans="1:11">
      <c r="A716" s="154" t="s">
        <v>20</v>
      </c>
      <c r="B716" s="155" t="s">
        <v>7940</v>
      </c>
      <c r="C716" s="133" t="s">
        <v>21</v>
      </c>
      <c r="D716" s="133" t="s">
        <v>7182</v>
      </c>
      <c r="E716" s="133" t="s">
        <v>7941</v>
      </c>
      <c r="F716" s="132" t="s">
        <v>40</v>
      </c>
      <c r="G716" s="156" t="s">
        <v>7942</v>
      </c>
      <c r="H716" s="156" t="s">
        <v>7943</v>
      </c>
      <c r="I716" s="168" t="s">
        <v>4359</v>
      </c>
      <c r="J716" s="169" t="s">
        <v>88</v>
      </c>
    </row>
    <row r="717" spans="1:11">
      <c r="A717" s="154" t="s">
        <v>20</v>
      </c>
      <c r="B717" s="155" t="s">
        <v>7944</v>
      </c>
      <c r="C717" s="133" t="s">
        <v>21</v>
      </c>
      <c r="D717" s="133" t="s">
        <v>7945</v>
      </c>
      <c r="E717" s="133" t="s">
        <v>7946</v>
      </c>
      <c r="F717" s="132" t="s">
        <v>40</v>
      </c>
      <c r="G717" s="156" t="s">
        <v>7947</v>
      </c>
      <c r="H717" s="156" t="s">
        <v>7948</v>
      </c>
      <c r="I717" s="168" t="s">
        <v>1628</v>
      </c>
      <c r="J717" s="169" t="s">
        <v>88</v>
      </c>
    </row>
    <row r="718" spans="1:11">
      <c r="A718" s="154" t="s">
        <v>20</v>
      </c>
      <c r="B718" s="155" t="s">
        <v>7949</v>
      </c>
      <c r="C718" s="133" t="s">
        <v>21</v>
      </c>
      <c r="D718" s="133" t="s">
        <v>7950</v>
      </c>
      <c r="E718" s="133" t="s">
        <v>7951</v>
      </c>
      <c r="F718" s="132" t="s">
        <v>40</v>
      </c>
      <c r="G718" s="156" t="s">
        <v>7952</v>
      </c>
      <c r="H718" s="156" t="s">
        <v>7953</v>
      </c>
      <c r="I718" s="168" t="s">
        <v>1628</v>
      </c>
      <c r="J718" s="169" t="s">
        <v>88</v>
      </c>
    </row>
    <row r="719" spans="1:11">
      <c r="A719" s="154" t="s">
        <v>20</v>
      </c>
      <c r="B719" s="155" t="s">
        <v>7954</v>
      </c>
      <c r="C719" s="133" t="s">
        <v>21</v>
      </c>
      <c r="D719" s="133" t="s">
        <v>7955</v>
      </c>
      <c r="E719" s="133" t="s">
        <v>7956</v>
      </c>
      <c r="F719" s="132" t="s">
        <v>40</v>
      </c>
      <c r="G719" s="156" t="s">
        <v>7957</v>
      </c>
      <c r="H719" s="156" t="s">
        <v>7958</v>
      </c>
      <c r="I719" s="168" t="s">
        <v>1628</v>
      </c>
      <c r="J719" s="169" t="s">
        <v>88</v>
      </c>
    </row>
    <row r="720" spans="1:11">
      <c r="A720" s="154" t="s">
        <v>20</v>
      </c>
      <c r="B720" s="155" t="s">
        <v>7959</v>
      </c>
      <c r="C720" s="133" t="s">
        <v>21</v>
      </c>
      <c r="D720" s="133" t="s">
        <v>7960</v>
      </c>
      <c r="E720" s="133" t="s">
        <v>7961</v>
      </c>
      <c r="F720" s="132" t="s">
        <v>40</v>
      </c>
      <c r="G720" s="156" t="s">
        <v>7962</v>
      </c>
      <c r="H720" s="156" t="s">
        <v>7963</v>
      </c>
      <c r="I720" s="168" t="s">
        <v>1628</v>
      </c>
      <c r="J720" s="169" t="s">
        <v>88</v>
      </c>
    </row>
    <row r="721" spans="1:11">
      <c r="A721" s="154" t="s">
        <v>106</v>
      </c>
      <c r="B721" s="155" t="s">
        <v>7964</v>
      </c>
      <c r="C721" s="133" t="s">
        <v>108</v>
      </c>
      <c r="D721" s="133" t="s">
        <v>7965</v>
      </c>
      <c r="E721" s="133" t="s">
        <v>7966</v>
      </c>
      <c r="F721" s="132" t="s">
        <v>40</v>
      </c>
      <c r="G721" s="156" t="s">
        <v>7967</v>
      </c>
      <c r="H721" s="156" t="s">
        <v>7968</v>
      </c>
      <c r="I721" s="168" t="s">
        <v>7969</v>
      </c>
      <c r="J721" s="169" t="s">
        <v>88</v>
      </c>
      <c r="K721" s="169" t="s">
        <v>94</v>
      </c>
    </row>
    <row r="722" spans="1:11">
      <c r="A722" s="154" t="s">
        <v>20</v>
      </c>
      <c r="B722" s="155" t="s">
        <v>7970</v>
      </c>
      <c r="C722" s="133" t="s">
        <v>21</v>
      </c>
      <c r="D722" s="133" t="s">
        <v>7264</v>
      </c>
      <c r="E722" s="133" t="s">
        <v>7971</v>
      </c>
      <c r="F722" s="132" t="s">
        <v>40</v>
      </c>
      <c r="G722" s="156" t="s">
        <v>7972</v>
      </c>
      <c r="H722" s="156" t="s">
        <v>7973</v>
      </c>
      <c r="I722" s="168" t="s">
        <v>1628</v>
      </c>
      <c r="J722" s="169" t="s">
        <v>88</v>
      </c>
    </row>
    <row r="723" spans="1:11">
      <c r="A723" s="154" t="s">
        <v>20</v>
      </c>
      <c r="B723" s="155" t="s">
        <v>7974</v>
      </c>
      <c r="C723" s="133" t="s">
        <v>21</v>
      </c>
      <c r="D723" s="133" t="s">
        <v>7975</v>
      </c>
      <c r="E723" s="133" t="s">
        <v>7976</v>
      </c>
      <c r="F723" s="132" t="s">
        <v>40</v>
      </c>
      <c r="G723" s="156" t="s">
        <v>7977</v>
      </c>
      <c r="H723" s="156" t="s">
        <v>7978</v>
      </c>
      <c r="I723" s="168" t="s">
        <v>7979</v>
      </c>
      <c r="J723" s="169" t="s">
        <v>94</v>
      </c>
    </row>
    <row r="724" spans="1:11">
      <c r="A724" s="154" t="s">
        <v>106</v>
      </c>
      <c r="B724" s="155" t="s">
        <v>7980</v>
      </c>
      <c r="C724" s="133" t="s">
        <v>78</v>
      </c>
      <c r="D724" s="133" t="s">
        <v>7981</v>
      </c>
      <c r="E724" s="133" t="s">
        <v>7982</v>
      </c>
      <c r="F724" s="132" t="s">
        <v>40</v>
      </c>
      <c r="G724" s="156" t="s">
        <v>7983</v>
      </c>
      <c r="H724" s="156" t="s">
        <v>7984</v>
      </c>
      <c r="I724" s="168" t="s">
        <v>258</v>
      </c>
      <c r="J724" s="169" t="s">
        <v>94</v>
      </c>
    </row>
    <row r="725" spans="1:11">
      <c r="A725" s="154" t="s">
        <v>95</v>
      </c>
      <c r="B725" s="155" t="s">
        <v>7985</v>
      </c>
      <c r="C725" s="133" t="s">
        <v>97</v>
      </c>
      <c r="D725" s="133" t="s">
        <v>2684</v>
      </c>
      <c r="E725" s="133" t="s">
        <v>7986</v>
      </c>
      <c r="F725" s="132" t="s">
        <v>40</v>
      </c>
      <c r="G725" s="156" t="s">
        <v>7987</v>
      </c>
      <c r="H725" s="156" t="s">
        <v>7988</v>
      </c>
      <c r="I725" s="168" t="s">
        <v>2951</v>
      </c>
      <c r="J725" s="169" t="s">
        <v>94</v>
      </c>
    </row>
    <row r="726" spans="1:11">
      <c r="A726" s="154" t="s">
        <v>95</v>
      </c>
      <c r="B726" s="155" t="s">
        <v>7989</v>
      </c>
      <c r="C726" s="133" t="s">
        <v>118</v>
      </c>
      <c r="D726" s="133" t="s">
        <v>7990</v>
      </c>
      <c r="E726" s="133" t="s">
        <v>7986</v>
      </c>
      <c r="F726" s="132" t="s">
        <v>40</v>
      </c>
      <c r="G726" s="156" t="s">
        <v>7991</v>
      </c>
      <c r="H726" s="156" t="s">
        <v>7988</v>
      </c>
      <c r="I726" s="168" t="s">
        <v>2951</v>
      </c>
      <c r="J726" s="169" t="s">
        <v>94</v>
      </c>
    </row>
    <row r="727" spans="1:11">
      <c r="A727" s="154" t="s">
        <v>95</v>
      </c>
      <c r="B727" s="155" t="s">
        <v>7992</v>
      </c>
      <c r="C727" s="133" t="s">
        <v>6047</v>
      </c>
      <c r="D727" s="133" t="s">
        <v>7993</v>
      </c>
      <c r="E727" s="133" t="s">
        <v>7994</v>
      </c>
      <c r="F727" s="132" t="s">
        <v>40</v>
      </c>
      <c r="G727" s="156" t="s">
        <v>7995</v>
      </c>
      <c r="H727" s="156" t="s">
        <v>7996</v>
      </c>
      <c r="I727" s="168" t="s">
        <v>378</v>
      </c>
      <c r="J727" s="169" t="s">
        <v>94</v>
      </c>
    </row>
    <row r="728" spans="1:11">
      <c r="A728" s="154" t="s">
        <v>95</v>
      </c>
      <c r="B728" s="155" t="s">
        <v>7997</v>
      </c>
      <c r="C728" s="133" t="s">
        <v>97</v>
      </c>
      <c r="D728" s="133" t="s">
        <v>2684</v>
      </c>
      <c r="E728" s="133" t="s">
        <v>7998</v>
      </c>
      <c r="F728" s="132" t="s">
        <v>40</v>
      </c>
      <c r="G728" s="156" t="s">
        <v>7999</v>
      </c>
      <c r="H728" s="156" t="s">
        <v>8000</v>
      </c>
      <c r="I728" s="168" t="s">
        <v>2951</v>
      </c>
      <c r="J728" s="169" t="s">
        <v>88</v>
      </c>
    </row>
    <row r="729" spans="1:11">
      <c r="A729" s="154" t="s">
        <v>20</v>
      </c>
      <c r="B729" s="155" t="s">
        <v>8001</v>
      </c>
      <c r="C729" s="133" t="s">
        <v>21</v>
      </c>
      <c r="D729" s="133" t="s">
        <v>8002</v>
      </c>
      <c r="E729" s="133" t="s">
        <v>8003</v>
      </c>
      <c r="F729" s="132" t="s">
        <v>40</v>
      </c>
      <c r="G729" s="156" t="s">
        <v>8004</v>
      </c>
      <c r="H729" s="156" t="s">
        <v>8005</v>
      </c>
      <c r="I729" s="168" t="s">
        <v>1628</v>
      </c>
      <c r="J729" s="169" t="s">
        <v>88</v>
      </c>
    </row>
    <row r="730" spans="1:11">
      <c r="A730" s="154" t="s">
        <v>20</v>
      </c>
      <c r="B730" s="155" t="s">
        <v>8006</v>
      </c>
      <c r="C730" s="133" t="s">
        <v>21</v>
      </c>
      <c r="D730" s="133" t="s">
        <v>2334</v>
      </c>
      <c r="E730" s="133" t="s">
        <v>8007</v>
      </c>
      <c r="F730" s="132" t="s">
        <v>40</v>
      </c>
      <c r="G730" s="156" t="s">
        <v>8008</v>
      </c>
      <c r="H730" s="156" t="s">
        <v>8009</v>
      </c>
      <c r="I730" s="168" t="s">
        <v>1628</v>
      </c>
      <c r="J730" s="169" t="s">
        <v>88</v>
      </c>
    </row>
    <row r="731" spans="1:11">
      <c r="A731" s="154" t="s">
        <v>20</v>
      </c>
      <c r="B731" s="155" t="s">
        <v>8010</v>
      </c>
      <c r="C731" s="133" t="s">
        <v>13</v>
      </c>
      <c r="D731" s="133" t="s">
        <v>8011</v>
      </c>
      <c r="E731" s="133" t="s">
        <v>8012</v>
      </c>
      <c r="F731" s="132" t="s">
        <v>40</v>
      </c>
      <c r="G731" s="156" t="s">
        <v>8013</v>
      </c>
      <c r="H731" s="156" t="s">
        <v>8014</v>
      </c>
      <c r="I731" s="168" t="s">
        <v>8015</v>
      </c>
      <c r="J731" s="169" t="s">
        <v>88</v>
      </c>
    </row>
    <row r="732" spans="1:11">
      <c r="A732" s="154" t="s">
        <v>95</v>
      </c>
      <c r="B732" s="155" t="s">
        <v>8016</v>
      </c>
      <c r="C732" s="133" t="s">
        <v>6047</v>
      </c>
      <c r="D732" s="133" t="s">
        <v>8017</v>
      </c>
      <c r="E732" s="133" t="s">
        <v>8018</v>
      </c>
      <c r="F732" s="132" t="s">
        <v>40</v>
      </c>
      <c r="G732" s="156" t="s">
        <v>8019</v>
      </c>
      <c r="H732" s="156" t="s">
        <v>8020</v>
      </c>
      <c r="I732" s="168" t="s">
        <v>7455</v>
      </c>
      <c r="J732" s="169" t="s">
        <v>88</v>
      </c>
    </row>
    <row r="733" spans="1:11">
      <c r="A733" s="154" t="s">
        <v>95</v>
      </c>
      <c r="B733" s="155" t="s">
        <v>8021</v>
      </c>
      <c r="C733" s="133" t="s">
        <v>97</v>
      </c>
      <c r="D733" s="133" t="s">
        <v>2684</v>
      </c>
      <c r="E733" s="133" t="s">
        <v>8022</v>
      </c>
      <c r="F733" s="132" t="s">
        <v>40</v>
      </c>
      <c r="G733" s="156" t="s">
        <v>8023</v>
      </c>
      <c r="H733" s="156" t="s">
        <v>8024</v>
      </c>
      <c r="I733" s="168" t="s">
        <v>2951</v>
      </c>
      <c r="J733" s="169" t="s">
        <v>94</v>
      </c>
    </row>
    <row r="734" spans="1:11">
      <c r="A734" s="154" t="s">
        <v>106</v>
      </c>
      <c r="B734" s="155" t="s">
        <v>8025</v>
      </c>
      <c r="C734" s="133" t="s">
        <v>108</v>
      </c>
      <c r="D734" s="133" t="s">
        <v>8026</v>
      </c>
      <c r="E734" s="133" t="s">
        <v>8027</v>
      </c>
      <c r="F734" s="132" t="s">
        <v>40</v>
      </c>
      <c r="G734" s="156" t="s">
        <v>8028</v>
      </c>
      <c r="H734" s="156" t="s">
        <v>8029</v>
      </c>
      <c r="I734" s="168" t="s">
        <v>8030</v>
      </c>
      <c r="J734" s="169" t="s">
        <v>94</v>
      </c>
    </row>
    <row r="735" spans="1:11">
      <c r="A735" s="154" t="s">
        <v>95</v>
      </c>
      <c r="B735" s="155" t="s">
        <v>8031</v>
      </c>
      <c r="C735" s="133" t="s">
        <v>97</v>
      </c>
      <c r="D735" s="133" t="s">
        <v>8032</v>
      </c>
      <c r="E735" s="133" t="s">
        <v>8033</v>
      </c>
      <c r="F735" s="132" t="s">
        <v>40</v>
      </c>
      <c r="G735" s="156" t="s">
        <v>8034</v>
      </c>
      <c r="H735" s="156" t="s">
        <v>8035</v>
      </c>
      <c r="I735" s="168" t="s">
        <v>8036</v>
      </c>
      <c r="J735" s="169" t="s">
        <v>94</v>
      </c>
    </row>
    <row r="736" spans="1:11">
      <c r="A736" s="154" t="s">
        <v>95</v>
      </c>
      <c r="B736" s="155" t="s">
        <v>8037</v>
      </c>
      <c r="C736" s="133" t="s">
        <v>97</v>
      </c>
      <c r="D736" s="133" t="s">
        <v>8038</v>
      </c>
      <c r="E736" s="133" t="s">
        <v>8039</v>
      </c>
      <c r="F736" s="132" t="s">
        <v>40</v>
      </c>
      <c r="G736" s="156" t="s">
        <v>8040</v>
      </c>
      <c r="H736" s="156" t="s">
        <v>8041</v>
      </c>
      <c r="I736" s="168" t="s">
        <v>991</v>
      </c>
      <c r="J736" s="169" t="s">
        <v>94</v>
      </c>
    </row>
    <row r="737" spans="1:11">
      <c r="A737" s="154" t="s">
        <v>20</v>
      </c>
      <c r="B737" s="155" t="s">
        <v>8042</v>
      </c>
      <c r="C737" s="133" t="s">
        <v>13</v>
      </c>
      <c r="D737" s="133" t="s">
        <v>8043</v>
      </c>
      <c r="E737" s="133" t="s">
        <v>8044</v>
      </c>
      <c r="F737" s="132" t="s">
        <v>40</v>
      </c>
      <c r="G737" s="156" t="s">
        <v>8045</v>
      </c>
      <c r="H737" s="156" t="s">
        <v>8046</v>
      </c>
      <c r="I737" s="168" t="s">
        <v>8047</v>
      </c>
      <c r="J737" s="169" t="s">
        <v>94</v>
      </c>
    </row>
    <row r="738" spans="1:11">
      <c r="A738" s="154" t="s">
        <v>20</v>
      </c>
      <c r="B738" s="155" t="s">
        <v>8048</v>
      </c>
      <c r="C738" s="133" t="s">
        <v>21</v>
      </c>
      <c r="D738" s="133" t="s">
        <v>8049</v>
      </c>
      <c r="E738" s="133" t="s">
        <v>8050</v>
      </c>
      <c r="F738" s="132" t="s">
        <v>40</v>
      </c>
      <c r="G738" s="156" t="s">
        <v>8051</v>
      </c>
      <c r="H738" s="156" t="s">
        <v>8052</v>
      </c>
      <c r="I738" s="168" t="s">
        <v>4359</v>
      </c>
      <c r="J738" s="169" t="s">
        <v>94</v>
      </c>
    </row>
    <row r="739" spans="1:11">
      <c r="A739" s="154" t="s">
        <v>20</v>
      </c>
      <c r="B739" s="155" t="s">
        <v>8053</v>
      </c>
      <c r="C739" s="133" t="s">
        <v>21</v>
      </c>
      <c r="D739" s="133" t="s">
        <v>8054</v>
      </c>
      <c r="E739" s="133" t="s">
        <v>8055</v>
      </c>
      <c r="F739" s="132" t="s">
        <v>40</v>
      </c>
      <c r="G739" s="156" t="s">
        <v>8056</v>
      </c>
      <c r="H739" s="156" t="s">
        <v>8057</v>
      </c>
      <c r="I739" s="168" t="s">
        <v>4359</v>
      </c>
      <c r="J739" s="169" t="s">
        <v>94</v>
      </c>
    </row>
    <row r="740" spans="1:11">
      <c r="A740" s="154" t="s">
        <v>95</v>
      </c>
      <c r="B740" s="155" t="s">
        <v>8058</v>
      </c>
      <c r="C740" s="133" t="s">
        <v>113</v>
      </c>
      <c r="D740" s="133" t="s">
        <v>8059</v>
      </c>
      <c r="E740" s="133" t="s">
        <v>8060</v>
      </c>
      <c r="F740" s="132" t="s">
        <v>40</v>
      </c>
      <c r="G740" s="156" t="s">
        <v>8061</v>
      </c>
      <c r="H740" s="156" t="s">
        <v>8062</v>
      </c>
      <c r="I740" s="168" t="s">
        <v>4677</v>
      </c>
      <c r="J740" s="169" t="s">
        <v>88</v>
      </c>
    </row>
    <row r="741" spans="1:11">
      <c r="A741" s="154" t="s">
        <v>20</v>
      </c>
      <c r="B741" s="155" t="s">
        <v>8063</v>
      </c>
      <c r="C741" s="133" t="s">
        <v>21</v>
      </c>
      <c r="D741" s="133" t="s">
        <v>8064</v>
      </c>
      <c r="E741" s="133" t="s">
        <v>8065</v>
      </c>
      <c r="F741" s="132" t="s">
        <v>40</v>
      </c>
      <c r="G741" s="156" t="s">
        <v>8066</v>
      </c>
      <c r="H741" s="156" t="s">
        <v>8067</v>
      </c>
      <c r="I741" s="168" t="s">
        <v>1628</v>
      </c>
      <c r="J741" s="169" t="s">
        <v>88</v>
      </c>
    </row>
    <row r="742" spans="1:11">
      <c r="A742" s="154" t="s">
        <v>20</v>
      </c>
      <c r="B742" s="155" t="s">
        <v>8068</v>
      </c>
      <c r="C742" s="133" t="s">
        <v>13</v>
      </c>
      <c r="D742" s="133" t="s">
        <v>8069</v>
      </c>
      <c r="E742" s="133" t="s">
        <v>8070</v>
      </c>
      <c r="F742" s="132" t="s">
        <v>40</v>
      </c>
      <c r="G742" s="156" t="s">
        <v>8071</v>
      </c>
      <c r="H742" s="156" t="s">
        <v>8072</v>
      </c>
      <c r="I742" s="168" t="s">
        <v>8073</v>
      </c>
      <c r="J742" s="169" t="s">
        <v>88</v>
      </c>
    </row>
    <row r="743" spans="1:11">
      <c r="A743" s="154" t="s">
        <v>20</v>
      </c>
      <c r="B743" s="155" t="s">
        <v>8074</v>
      </c>
      <c r="C743" s="133" t="s">
        <v>21</v>
      </c>
      <c r="D743" s="133" t="s">
        <v>8064</v>
      </c>
      <c r="E743" s="133" t="s">
        <v>8075</v>
      </c>
      <c r="F743" s="132" t="s">
        <v>40</v>
      </c>
      <c r="G743" s="156" t="s">
        <v>8076</v>
      </c>
      <c r="H743" s="156" t="s">
        <v>8077</v>
      </c>
      <c r="I743" s="168" t="s">
        <v>1628</v>
      </c>
      <c r="J743" s="169" t="s">
        <v>88</v>
      </c>
    </row>
    <row r="744" spans="1:11">
      <c r="A744" s="154" t="s">
        <v>20</v>
      </c>
      <c r="B744" s="155" t="s">
        <v>8078</v>
      </c>
      <c r="C744" s="133" t="s">
        <v>21</v>
      </c>
      <c r="D744" s="133" t="s">
        <v>8079</v>
      </c>
      <c r="E744" s="133" t="s">
        <v>8080</v>
      </c>
      <c r="F744" s="132" t="s">
        <v>40</v>
      </c>
      <c r="G744" s="156" t="s">
        <v>8076</v>
      </c>
      <c r="H744" s="156" t="s">
        <v>8081</v>
      </c>
      <c r="I744" s="168" t="s">
        <v>1628</v>
      </c>
      <c r="J744" s="169" t="s">
        <v>88</v>
      </c>
    </row>
    <row r="745" spans="1:11" ht="29">
      <c r="A745" s="154" t="s">
        <v>20</v>
      </c>
      <c r="B745" s="155" t="s">
        <v>8082</v>
      </c>
      <c r="C745" s="133" t="s">
        <v>21</v>
      </c>
      <c r="D745" s="133" t="s">
        <v>8083</v>
      </c>
      <c r="E745" s="133" t="s">
        <v>8084</v>
      </c>
      <c r="F745" s="132" t="s">
        <v>40</v>
      </c>
      <c r="G745" s="156" t="s">
        <v>8085</v>
      </c>
      <c r="H745" s="178" t="s">
        <v>8086</v>
      </c>
      <c r="I745" s="168" t="s">
        <v>1628</v>
      </c>
      <c r="J745" s="169" t="s">
        <v>88</v>
      </c>
    </row>
    <row r="746" spans="1:11">
      <c r="A746" s="154" t="s">
        <v>20</v>
      </c>
      <c r="B746" s="155" t="s">
        <v>8087</v>
      </c>
      <c r="C746" s="133" t="s">
        <v>21</v>
      </c>
      <c r="D746" s="133" t="s">
        <v>8088</v>
      </c>
      <c r="E746" s="133" t="s">
        <v>8089</v>
      </c>
      <c r="F746" s="132" t="s">
        <v>40</v>
      </c>
      <c r="G746" s="156" t="s">
        <v>8090</v>
      </c>
      <c r="H746" s="156" t="s">
        <v>8091</v>
      </c>
      <c r="I746" s="168" t="s">
        <v>1628</v>
      </c>
      <c r="J746" s="169" t="s">
        <v>88</v>
      </c>
    </row>
    <row r="747" spans="1:11">
      <c r="A747" s="154" t="s">
        <v>20</v>
      </c>
      <c r="B747" s="155" t="s">
        <v>8092</v>
      </c>
      <c r="C747" s="133" t="s">
        <v>13</v>
      </c>
      <c r="D747" s="133" t="s">
        <v>2094</v>
      </c>
      <c r="E747" s="133" t="s">
        <v>8093</v>
      </c>
      <c r="F747" s="132" t="s">
        <v>40</v>
      </c>
      <c r="G747" s="156" t="s">
        <v>8094</v>
      </c>
      <c r="H747" s="156" t="s">
        <v>8095</v>
      </c>
      <c r="I747" s="168" t="s">
        <v>5009</v>
      </c>
      <c r="J747" s="169" t="s">
        <v>88</v>
      </c>
      <c r="K747" s="169" t="s">
        <v>94</v>
      </c>
    </row>
    <row r="748" spans="1:11">
      <c r="A748" s="154" t="s">
        <v>106</v>
      </c>
      <c r="B748" s="155" t="s">
        <v>8096</v>
      </c>
      <c r="C748" s="133" t="s">
        <v>108</v>
      </c>
      <c r="D748" s="133" t="s">
        <v>8097</v>
      </c>
      <c r="E748" s="133" t="s">
        <v>8098</v>
      </c>
      <c r="F748" s="132" t="s">
        <v>40</v>
      </c>
      <c r="G748" s="156" t="s">
        <v>8099</v>
      </c>
      <c r="H748" s="156" t="s">
        <v>8100</v>
      </c>
      <c r="I748" s="168" t="s">
        <v>1373</v>
      </c>
      <c r="J748" s="169" t="s">
        <v>94</v>
      </c>
    </row>
    <row r="749" spans="1:11">
      <c r="A749" s="154" t="s">
        <v>106</v>
      </c>
      <c r="B749" s="155" t="s">
        <v>8101</v>
      </c>
      <c r="C749" s="133" t="s">
        <v>108</v>
      </c>
      <c r="D749" s="133" t="s">
        <v>8102</v>
      </c>
      <c r="E749" s="133" t="s">
        <v>8103</v>
      </c>
      <c r="F749" s="132" t="s">
        <v>40</v>
      </c>
      <c r="G749" s="156" t="s">
        <v>8104</v>
      </c>
      <c r="H749" s="156" t="s">
        <v>8104</v>
      </c>
      <c r="I749" s="168" t="s">
        <v>8105</v>
      </c>
      <c r="J749" s="169" t="s">
        <v>94</v>
      </c>
    </row>
    <row r="750" spans="1:11">
      <c r="A750" s="154" t="s">
        <v>106</v>
      </c>
      <c r="B750" s="155" t="s">
        <v>8106</v>
      </c>
      <c r="C750" s="133" t="s">
        <v>108</v>
      </c>
      <c r="D750" s="133" t="s">
        <v>8107</v>
      </c>
      <c r="E750" s="133" t="s">
        <v>8108</v>
      </c>
      <c r="F750" s="132" t="s">
        <v>40</v>
      </c>
      <c r="G750" s="156" t="s">
        <v>8109</v>
      </c>
      <c r="H750" s="156" t="s">
        <v>8110</v>
      </c>
      <c r="I750" s="168" t="s">
        <v>8111</v>
      </c>
      <c r="J750" s="169" t="s">
        <v>94</v>
      </c>
    </row>
    <row r="751" spans="1:11">
      <c r="A751" s="154" t="s">
        <v>20</v>
      </c>
      <c r="B751" s="155" t="s">
        <v>8112</v>
      </c>
      <c r="C751" s="133" t="s">
        <v>13</v>
      </c>
      <c r="D751" s="133" t="s">
        <v>8113</v>
      </c>
      <c r="E751" s="133" t="s">
        <v>8114</v>
      </c>
      <c r="F751" s="132" t="s">
        <v>40</v>
      </c>
      <c r="G751" s="156" t="s">
        <v>8115</v>
      </c>
      <c r="H751" s="156" t="s">
        <v>8116</v>
      </c>
      <c r="I751" s="168" t="s">
        <v>8117</v>
      </c>
      <c r="J751" s="169" t="s">
        <v>94</v>
      </c>
      <c r="K751" s="169" t="s">
        <v>88</v>
      </c>
    </row>
    <row r="752" spans="1:11">
      <c r="A752" s="154" t="s">
        <v>20</v>
      </c>
      <c r="B752" s="155" t="s">
        <v>8118</v>
      </c>
      <c r="C752" s="133" t="s">
        <v>21</v>
      </c>
      <c r="D752" s="133" t="s">
        <v>8119</v>
      </c>
      <c r="E752" s="133" t="s">
        <v>8120</v>
      </c>
      <c r="F752" s="132" t="s">
        <v>40</v>
      </c>
      <c r="G752" s="156" t="s">
        <v>8121</v>
      </c>
      <c r="H752" s="156" t="s">
        <v>8122</v>
      </c>
      <c r="I752" s="168" t="s">
        <v>1628</v>
      </c>
      <c r="J752" s="169" t="s">
        <v>88</v>
      </c>
    </row>
    <row r="753" spans="1:11">
      <c r="A753" s="154" t="s">
        <v>20</v>
      </c>
      <c r="B753" s="155" t="s">
        <v>8123</v>
      </c>
      <c r="C753" s="133" t="s">
        <v>21</v>
      </c>
      <c r="D753" s="133" t="s">
        <v>8124</v>
      </c>
      <c r="E753" s="133" t="s">
        <v>8125</v>
      </c>
      <c r="F753" s="132" t="s">
        <v>40</v>
      </c>
      <c r="G753" s="156" t="s">
        <v>8126</v>
      </c>
      <c r="H753" s="156" t="s">
        <v>8127</v>
      </c>
      <c r="I753" s="168" t="s">
        <v>1628</v>
      </c>
      <c r="J753" s="169" t="s">
        <v>88</v>
      </c>
    </row>
    <row r="754" spans="1:11">
      <c r="A754" s="154" t="s">
        <v>106</v>
      </c>
      <c r="B754" s="155" t="s">
        <v>8128</v>
      </c>
      <c r="C754" s="133" t="s">
        <v>108</v>
      </c>
      <c r="D754" s="133" t="s">
        <v>8129</v>
      </c>
      <c r="E754" s="133" t="s">
        <v>8130</v>
      </c>
      <c r="F754" s="132" t="s">
        <v>40</v>
      </c>
      <c r="G754" s="156" t="s">
        <v>8131</v>
      </c>
      <c r="H754" s="156" t="s">
        <v>8132</v>
      </c>
      <c r="I754" s="168" t="s">
        <v>3825</v>
      </c>
      <c r="J754" s="169" t="s">
        <v>88</v>
      </c>
    </row>
    <row r="755" spans="1:11">
      <c r="A755" s="154" t="s">
        <v>20</v>
      </c>
      <c r="B755" s="155" t="s">
        <v>8133</v>
      </c>
      <c r="C755" s="133" t="s">
        <v>21</v>
      </c>
      <c r="D755" s="133" t="s">
        <v>8134</v>
      </c>
      <c r="E755" s="133" t="s">
        <v>8135</v>
      </c>
      <c r="F755" s="132" t="s">
        <v>40</v>
      </c>
      <c r="G755" s="156" t="s">
        <v>8136</v>
      </c>
      <c r="H755" s="156" t="s">
        <v>8137</v>
      </c>
      <c r="I755" s="168" t="s">
        <v>1628</v>
      </c>
      <c r="J755" s="169" t="s">
        <v>88</v>
      </c>
    </row>
    <row r="756" spans="1:11">
      <c r="A756" s="154" t="s">
        <v>95</v>
      </c>
      <c r="B756" s="155" t="s">
        <v>8138</v>
      </c>
      <c r="C756" s="133" t="s">
        <v>113</v>
      </c>
      <c r="D756" s="133" t="s">
        <v>8139</v>
      </c>
      <c r="E756" s="133" t="s">
        <v>8140</v>
      </c>
      <c r="F756" s="132" t="s">
        <v>40</v>
      </c>
      <c r="G756" s="156" t="s">
        <v>8141</v>
      </c>
      <c r="H756" s="156" t="s">
        <v>8142</v>
      </c>
      <c r="I756" s="168" t="s">
        <v>4677</v>
      </c>
      <c r="J756" s="169" t="s">
        <v>88</v>
      </c>
    </row>
    <row r="757" spans="1:11">
      <c r="A757" s="154" t="s">
        <v>20</v>
      </c>
      <c r="B757" s="155" t="s">
        <v>8143</v>
      </c>
      <c r="C757" s="133" t="s">
        <v>21</v>
      </c>
      <c r="D757" s="133" t="s">
        <v>8144</v>
      </c>
      <c r="E757" s="133" t="s">
        <v>8145</v>
      </c>
      <c r="F757" s="132" t="s">
        <v>40</v>
      </c>
      <c r="G757" s="156" t="s">
        <v>8146</v>
      </c>
      <c r="H757" s="156" t="s">
        <v>8147</v>
      </c>
      <c r="I757" s="168" t="s">
        <v>6245</v>
      </c>
      <c r="J757" s="169" t="s">
        <v>88</v>
      </c>
    </row>
    <row r="758" spans="1:11">
      <c r="A758" s="154" t="s">
        <v>95</v>
      </c>
      <c r="B758" s="155" t="s">
        <v>8148</v>
      </c>
      <c r="C758" s="133" t="s">
        <v>6047</v>
      </c>
      <c r="D758" s="133" t="s">
        <v>8149</v>
      </c>
      <c r="E758" s="133" t="s">
        <v>8150</v>
      </c>
      <c r="F758" s="132" t="s">
        <v>40</v>
      </c>
      <c r="G758" s="156" t="s">
        <v>8151</v>
      </c>
      <c r="H758" s="156" t="s">
        <v>8152</v>
      </c>
      <c r="I758" s="168" t="s">
        <v>7455</v>
      </c>
      <c r="J758" s="169" t="s">
        <v>88</v>
      </c>
    </row>
    <row r="759" spans="1:11">
      <c r="A759" s="154" t="s">
        <v>20</v>
      </c>
      <c r="B759" s="155" t="s">
        <v>8153</v>
      </c>
      <c r="C759" s="133" t="s">
        <v>21</v>
      </c>
      <c r="D759" s="133" t="s">
        <v>8154</v>
      </c>
      <c r="E759" s="133" t="s">
        <v>8155</v>
      </c>
      <c r="F759" s="132" t="s">
        <v>40</v>
      </c>
      <c r="G759" s="156" t="s">
        <v>8156</v>
      </c>
      <c r="H759" s="156" t="s">
        <v>8157</v>
      </c>
      <c r="I759" s="168" t="s">
        <v>1628</v>
      </c>
      <c r="J759" s="169" t="s">
        <v>88</v>
      </c>
    </row>
    <row r="760" spans="1:11">
      <c r="A760" s="154" t="s">
        <v>20</v>
      </c>
      <c r="B760" s="155" t="s">
        <v>8158</v>
      </c>
      <c r="C760" s="133" t="s">
        <v>49</v>
      </c>
      <c r="D760" s="133" t="s">
        <v>8159</v>
      </c>
      <c r="E760" s="133" t="s">
        <v>8160</v>
      </c>
      <c r="F760" s="132" t="s">
        <v>40</v>
      </c>
      <c r="G760" s="156" t="s">
        <v>8161</v>
      </c>
      <c r="H760" s="156" t="s">
        <v>8162</v>
      </c>
      <c r="I760" s="168" t="s">
        <v>143</v>
      </c>
      <c r="J760" s="169" t="s">
        <v>88</v>
      </c>
    </row>
    <row r="761" spans="1:11">
      <c r="A761" s="154" t="s">
        <v>20</v>
      </c>
      <c r="B761" s="155" t="s">
        <v>8163</v>
      </c>
      <c r="C761" s="133" t="s">
        <v>21</v>
      </c>
      <c r="D761" s="133" t="s">
        <v>8164</v>
      </c>
      <c r="E761" s="133" t="s">
        <v>8165</v>
      </c>
      <c r="F761" s="132" t="s">
        <v>40</v>
      </c>
      <c r="G761" s="156" t="s">
        <v>8166</v>
      </c>
      <c r="H761" s="156" t="s">
        <v>8167</v>
      </c>
      <c r="I761" s="168" t="s">
        <v>1628</v>
      </c>
      <c r="J761" s="169" t="s">
        <v>88</v>
      </c>
    </row>
    <row r="762" spans="1:11">
      <c r="A762" s="154" t="s">
        <v>95</v>
      </c>
      <c r="B762" s="155" t="s">
        <v>8168</v>
      </c>
      <c r="C762" s="133" t="s">
        <v>97</v>
      </c>
      <c r="D762" s="133" t="s">
        <v>2684</v>
      </c>
      <c r="E762" s="133" t="s">
        <v>8169</v>
      </c>
      <c r="F762" s="132" t="s">
        <v>40</v>
      </c>
      <c r="G762" s="156" t="s">
        <v>8170</v>
      </c>
      <c r="H762" s="156" t="s">
        <v>8171</v>
      </c>
      <c r="I762" s="168" t="s">
        <v>2585</v>
      </c>
      <c r="J762" s="169" t="s">
        <v>88</v>
      </c>
    </row>
    <row r="763" spans="1:11">
      <c r="A763" s="154" t="s">
        <v>20</v>
      </c>
      <c r="B763" s="155" t="s">
        <v>8172</v>
      </c>
      <c r="C763" s="133" t="s">
        <v>13</v>
      </c>
      <c r="D763" s="133" t="s">
        <v>2094</v>
      </c>
      <c r="E763" s="133" t="s">
        <v>8173</v>
      </c>
      <c r="F763" s="132" t="s">
        <v>40</v>
      </c>
      <c r="G763" s="156" t="s">
        <v>8174</v>
      </c>
      <c r="H763" s="156" t="s">
        <v>8175</v>
      </c>
      <c r="I763" s="168" t="s">
        <v>5454</v>
      </c>
      <c r="J763" s="169" t="s">
        <v>94</v>
      </c>
    </row>
    <row r="764" spans="1:11">
      <c r="A764" s="154" t="s">
        <v>20</v>
      </c>
      <c r="B764" s="155" t="s">
        <v>8176</v>
      </c>
      <c r="C764" s="133" t="s">
        <v>21</v>
      </c>
      <c r="D764" s="133" t="s">
        <v>8177</v>
      </c>
      <c r="E764" s="133" t="s">
        <v>8178</v>
      </c>
      <c r="F764" s="132" t="s">
        <v>40</v>
      </c>
      <c r="G764" s="156" t="s">
        <v>8179</v>
      </c>
      <c r="H764" s="156" t="s">
        <v>8180</v>
      </c>
      <c r="I764" s="168" t="s">
        <v>4359</v>
      </c>
      <c r="J764" s="169" t="s">
        <v>94</v>
      </c>
    </row>
    <row r="765" spans="1:11">
      <c r="A765" s="154" t="s">
        <v>95</v>
      </c>
      <c r="B765" s="155" t="s">
        <v>8181</v>
      </c>
      <c r="C765" s="133" t="s">
        <v>97</v>
      </c>
      <c r="D765" s="133" t="s">
        <v>8182</v>
      </c>
      <c r="E765" s="133" t="s">
        <v>8183</v>
      </c>
      <c r="F765" s="132" t="s">
        <v>40</v>
      </c>
      <c r="G765" s="156" t="s">
        <v>8184</v>
      </c>
      <c r="H765" s="156" t="s">
        <v>8185</v>
      </c>
      <c r="I765" s="168" t="s">
        <v>991</v>
      </c>
      <c r="J765" s="169" t="s">
        <v>94</v>
      </c>
    </row>
    <row r="766" spans="1:11">
      <c r="A766" s="154" t="s">
        <v>20</v>
      </c>
      <c r="B766" s="155" t="s">
        <v>8186</v>
      </c>
      <c r="C766" s="133" t="s">
        <v>21</v>
      </c>
      <c r="D766" s="133" t="s">
        <v>8187</v>
      </c>
      <c r="E766" s="133" t="s">
        <v>8188</v>
      </c>
      <c r="F766" s="132" t="s">
        <v>40</v>
      </c>
      <c r="G766" s="156" t="s">
        <v>8189</v>
      </c>
      <c r="H766" s="156" t="s">
        <v>8190</v>
      </c>
      <c r="I766" s="168" t="s">
        <v>8191</v>
      </c>
      <c r="J766" s="169" t="s">
        <v>94</v>
      </c>
    </row>
    <row r="767" spans="1:11">
      <c r="A767" s="154" t="s">
        <v>20</v>
      </c>
      <c r="B767" s="155" t="s">
        <v>8192</v>
      </c>
      <c r="C767" s="133" t="s">
        <v>21</v>
      </c>
      <c r="D767" s="133" t="s">
        <v>8193</v>
      </c>
      <c r="E767" s="133" t="s">
        <v>8194</v>
      </c>
      <c r="F767" s="132" t="s">
        <v>40</v>
      </c>
      <c r="G767" s="156" t="s">
        <v>8195</v>
      </c>
      <c r="H767" s="156">
        <v>45295.526388888888</v>
      </c>
      <c r="I767" s="168" t="s">
        <v>8191</v>
      </c>
      <c r="J767" s="169" t="s">
        <v>94</v>
      </c>
    </row>
    <row r="768" spans="1:11">
      <c r="A768" s="154" t="s">
        <v>20</v>
      </c>
      <c r="B768" s="155" t="s">
        <v>8196</v>
      </c>
      <c r="C768" s="133" t="s">
        <v>13</v>
      </c>
      <c r="D768" s="133" t="s">
        <v>8197</v>
      </c>
      <c r="E768" s="133" t="s">
        <v>8198</v>
      </c>
      <c r="F768" s="132" t="s">
        <v>40</v>
      </c>
      <c r="G768" s="156" t="s">
        <v>8199</v>
      </c>
      <c r="H768" s="156">
        <v>45295.143055555556</v>
      </c>
      <c r="I768" s="168" t="s">
        <v>6080</v>
      </c>
      <c r="J768" s="169" t="s">
        <v>94</v>
      </c>
      <c r="K768" s="169" t="s">
        <v>88</v>
      </c>
    </row>
    <row r="769" spans="1:11">
      <c r="A769" s="154" t="s">
        <v>20</v>
      </c>
      <c r="B769" s="155" t="s">
        <v>8200</v>
      </c>
      <c r="C769" s="133" t="s">
        <v>13</v>
      </c>
      <c r="D769" s="133" t="s">
        <v>8043</v>
      </c>
      <c r="E769" s="133" t="s">
        <v>8201</v>
      </c>
      <c r="F769" s="132" t="s">
        <v>40</v>
      </c>
      <c r="G769" s="156" t="s">
        <v>8202</v>
      </c>
      <c r="H769" s="156" t="s">
        <v>8203</v>
      </c>
      <c r="I769" s="168" t="s">
        <v>6091</v>
      </c>
      <c r="J769" s="169" t="s">
        <v>94</v>
      </c>
    </row>
    <row r="770" spans="1:11">
      <c r="A770" s="154" t="s">
        <v>20</v>
      </c>
      <c r="B770" s="155" t="s">
        <v>8204</v>
      </c>
      <c r="C770" s="133" t="s">
        <v>21</v>
      </c>
      <c r="D770" s="133" t="s">
        <v>8205</v>
      </c>
      <c r="E770" s="133" t="s">
        <v>8206</v>
      </c>
      <c r="F770" s="132" t="s">
        <v>40</v>
      </c>
      <c r="G770" s="156" t="s">
        <v>8207</v>
      </c>
      <c r="H770" s="156" t="s">
        <v>8208</v>
      </c>
      <c r="I770" s="168" t="s">
        <v>1628</v>
      </c>
      <c r="J770" s="169" t="s">
        <v>88</v>
      </c>
    </row>
    <row r="771" spans="1:11">
      <c r="A771" s="154" t="s">
        <v>20</v>
      </c>
      <c r="B771" s="155" t="s">
        <v>8209</v>
      </c>
      <c r="C771" s="133" t="s">
        <v>21</v>
      </c>
      <c r="D771" s="133" t="s">
        <v>8210</v>
      </c>
      <c r="E771" s="133" t="s">
        <v>8211</v>
      </c>
      <c r="F771" s="132" t="s">
        <v>40</v>
      </c>
      <c r="G771" s="156" t="s">
        <v>8212</v>
      </c>
      <c r="H771" s="156" t="s">
        <v>8213</v>
      </c>
      <c r="I771" s="168" t="s">
        <v>1628</v>
      </c>
      <c r="J771" s="169" t="s">
        <v>88</v>
      </c>
    </row>
    <row r="772" spans="1:11">
      <c r="A772" s="154" t="s">
        <v>20</v>
      </c>
      <c r="B772" s="155" t="s">
        <v>8214</v>
      </c>
      <c r="C772" s="133" t="s">
        <v>13</v>
      </c>
      <c r="D772" s="133" t="s">
        <v>8215</v>
      </c>
      <c r="E772" s="133" t="s">
        <v>8216</v>
      </c>
      <c r="F772" s="132" t="s">
        <v>40</v>
      </c>
      <c r="G772" s="156" t="s">
        <v>8217</v>
      </c>
      <c r="H772" s="156">
        <v>45295.131944444445</v>
      </c>
      <c r="I772" s="168" t="s">
        <v>5009</v>
      </c>
      <c r="J772" s="169" t="s">
        <v>88</v>
      </c>
    </row>
    <row r="773" spans="1:11">
      <c r="A773" s="154" t="s">
        <v>20</v>
      </c>
      <c r="B773" s="155" t="s">
        <v>8218</v>
      </c>
      <c r="C773" s="133" t="s">
        <v>21</v>
      </c>
      <c r="D773" s="133" t="s">
        <v>1218</v>
      </c>
      <c r="E773" s="133" t="s">
        <v>8219</v>
      </c>
      <c r="F773" s="132" t="s">
        <v>40</v>
      </c>
      <c r="G773" s="156" t="s">
        <v>8220</v>
      </c>
      <c r="H773" s="156">
        <v>45295.130555555559</v>
      </c>
      <c r="I773" s="168" t="s">
        <v>1628</v>
      </c>
      <c r="J773" s="169" t="s">
        <v>88</v>
      </c>
    </row>
    <row r="774" spans="1:11">
      <c r="A774" s="154" t="s">
        <v>20</v>
      </c>
      <c r="B774" s="155" t="s">
        <v>8221</v>
      </c>
      <c r="C774" s="133" t="s">
        <v>13</v>
      </c>
      <c r="D774" s="133" t="s">
        <v>8222</v>
      </c>
      <c r="E774" s="133" t="s">
        <v>8223</v>
      </c>
      <c r="F774" s="132" t="s">
        <v>40</v>
      </c>
      <c r="G774" s="156">
        <v>45295.441666666666</v>
      </c>
      <c r="H774" s="156">
        <v>45295.609722222223</v>
      </c>
      <c r="I774" s="168" t="s">
        <v>6080</v>
      </c>
      <c r="J774" s="169" t="s">
        <v>94</v>
      </c>
    </row>
    <row r="775" spans="1:11">
      <c r="A775" s="154" t="s">
        <v>106</v>
      </c>
      <c r="B775" s="155" t="s">
        <v>8224</v>
      </c>
      <c r="C775" s="133" t="s">
        <v>78</v>
      </c>
      <c r="D775" s="133" t="s">
        <v>8225</v>
      </c>
      <c r="E775" s="133" t="s">
        <v>8226</v>
      </c>
      <c r="F775" s="132" t="s">
        <v>40</v>
      </c>
      <c r="G775" s="156">
        <v>45295.523611111108</v>
      </c>
      <c r="H775" s="156">
        <v>45295.606249999997</v>
      </c>
      <c r="I775" s="168" t="s">
        <v>258</v>
      </c>
      <c r="J775" s="169" t="s">
        <v>94</v>
      </c>
    </row>
    <row r="776" spans="1:11">
      <c r="A776" s="154" t="s">
        <v>106</v>
      </c>
      <c r="B776" s="155" t="s">
        <v>8227</v>
      </c>
      <c r="C776" s="133" t="s">
        <v>108</v>
      </c>
      <c r="D776" s="133" t="s">
        <v>8228</v>
      </c>
      <c r="E776" s="133" t="s">
        <v>8229</v>
      </c>
      <c r="F776" s="132" t="s">
        <v>40</v>
      </c>
      <c r="G776" s="156">
        <v>45295.524305555555</v>
      </c>
      <c r="H776" s="156">
        <v>45295.60833333333</v>
      </c>
      <c r="I776" s="168" t="s">
        <v>8105</v>
      </c>
      <c r="J776" s="169" t="s">
        <v>94</v>
      </c>
    </row>
    <row r="777" spans="1:11">
      <c r="A777" s="154" t="s">
        <v>106</v>
      </c>
      <c r="B777" s="155" t="s">
        <v>8230</v>
      </c>
      <c r="C777" s="133" t="s">
        <v>108</v>
      </c>
      <c r="D777" s="133" t="s">
        <v>8231</v>
      </c>
      <c r="E777" s="133" t="s">
        <v>8229</v>
      </c>
      <c r="F777" s="132" t="s">
        <v>40</v>
      </c>
      <c r="G777" s="156">
        <v>45295.554861111108</v>
      </c>
      <c r="H777" s="156">
        <v>45295.607638888891</v>
      </c>
      <c r="I777" s="168" t="s">
        <v>8105</v>
      </c>
      <c r="J777" s="169" t="s">
        <v>94</v>
      </c>
    </row>
    <row r="778" spans="1:11">
      <c r="A778" s="154" t="s">
        <v>106</v>
      </c>
      <c r="B778" s="155" t="s">
        <v>8232</v>
      </c>
      <c r="C778" s="133" t="s">
        <v>108</v>
      </c>
      <c r="D778" s="133" t="s">
        <v>8233</v>
      </c>
      <c r="E778" s="133" t="s">
        <v>8234</v>
      </c>
      <c r="F778" s="132" t="s">
        <v>40</v>
      </c>
      <c r="G778" s="156">
        <v>45295.611111111109</v>
      </c>
      <c r="H778" s="156">
        <v>45295.713888888888</v>
      </c>
      <c r="I778" s="168" t="s">
        <v>111</v>
      </c>
      <c r="J778" s="169" t="s">
        <v>94</v>
      </c>
      <c r="K778" s="169" t="s">
        <v>88</v>
      </c>
    </row>
    <row r="779" spans="1:11">
      <c r="A779" s="154" t="s">
        <v>20</v>
      </c>
      <c r="B779" s="155" t="s">
        <v>8235</v>
      </c>
      <c r="C779" s="133" t="s">
        <v>13</v>
      </c>
      <c r="D779" s="133" t="s">
        <v>8236</v>
      </c>
      <c r="E779" s="133" t="s">
        <v>8237</v>
      </c>
      <c r="F779" s="132" t="s">
        <v>40</v>
      </c>
      <c r="G779" s="156">
        <v>45295.611805555556</v>
      </c>
      <c r="H779" s="156">
        <v>45295.713888888888</v>
      </c>
      <c r="I779" s="168" t="s">
        <v>17</v>
      </c>
      <c r="J779" s="169" t="s">
        <v>94</v>
      </c>
    </row>
    <row r="780" spans="1:11">
      <c r="A780" s="154" t="s">
        <v>95</v>
      </c>
      <c r="B780" s="155" t="s">
        <v>8238</v>
      </c>
      <c r="C780" s="133" t="s">
        <v>113</v>
      </c>
      <c r="D780" s="133" t="s">
        <v>8239</v>
      </c>
      <c r="E780" s="133" t="s">
        <v>8240</v>
      </c>
      <c r="F780" s="132" t="s">
        <v>40</v>
      </c>
      <c r="G780" s="156">
        <v>45295.69027777778</v>
      </c>
      <c r="H780" s="156">
        <v>45295.798611111109</v>
      </c>
      <c r="I780" s="168" t="s">
        <v>2585</v>
      </c>
      <c r="J780" s="169" t="s">
        <v>88</v>
      </c>
    </row>
    <row r="781" spans="1:11">
      <c r="A781" s="154" t="s">
        <v>20</v>
      </c>
      <c r="B781" s="155" t="s">
        <v>8241</v>
      </c>
      <c r="C781" s="133" t="s">
        <v>13</v>
      </c>
      <c r="D781" s="133" t="s">
        <v>8222</v>
      </c>
      <c r="E781" s="133" t="s">
        <v>8242</v>
      </c>
      <c r="F781" s="132" t="s">
        <v>40</v>
      </c>
      <c r="G781" s="156">
        <v>45295.753472222219</v>
      </c>
      <c r="H781" s="156">
        <v>45326.055555555555</v>
      </c>
      <c r="I781" s="168" t="s">
        <v>5009</v>
      </c>
      <c r="J781" s="169" t="s">
        <v>88</v>
      </c>
    </row>
    <row r="782" spans="1:11">
      <c r="A782" s="154" t="s">
        <v>20</v>
      </c>
      <c r="B782" s="155" t="s">
        <v>8243</v>
      </c>
      <c r="C782" s="133" t="s">
        <v>21</v>
      </c>
      <c r="D782" s="133" t="s">
        <v>8244</v>
      </c>
      <c r="E782" s="133" t="s">
        <v>8245</v>
      </c>
      <c r="F782" s="132" t="s">
        <v>40</v>
      </c>
      <c r="G782" s="183">
        <v>45295.780555555553</v>
      </c>
      <c r="H782" s="183">
        <v>45295.79791666667</v>
      </c>
      <c r="I782" s="132" t="s">
        <v>1628</v>
      </c>
      <c r="J782" s="132" t="s">
        <v>88</v>
      </c>
      <c r="K782" s="132"/>
    </row>
    <row r="783" spans="1:11">
      <c r="A783" s="154" t="s">
        <v>20</v>
      </c>
      <c r="B783" s="155" t="s">
        <v>8246</v>
      </c>
      <c r="C783" s="133" t="s">
        <v>21</v>
      </c>
      <c r="D783" s="133" t="s">
        <v>1218</v>
      </c>
      <c r="E783" s="133" t="s">
        <v>8247</v>
      </c>
      <c r="F783" s="132" t="s">
        <v>40</v>
      </c>
      <c r="G783" s="156">
        <v>45295.865972222222</v>
      </c>
      <c r="H783" s="156">
        <v>45326.008333333331</v>
      </c>
      <c r="I783" s="168" t="s">
        <v>1628</v>
      </c>
      <c r="J783" s="169" t="s">
        <v>88</v>
      </c>
    </row>
    <row r="784" spans="1:11">
      <c r="A784" s="154" t="s">
        <v>106</v>
      </c>
      <c r="B784" s="155" t="s">
        <v>8248</v>
      </c>
      <c r="C784" s="133" t="s">
        <v>78</v>
      </c>
      <c r="D784" s="133" t="s">
        <v>8249</v>
      </c>
      <c r="E784" s="133" t="s">
        <v>8250</v>
      </c>
      <c r="F784" s="132" t="s">
        <v>40</v>
      </c>
      <c r="G784" s="156">
        <v>45326.413194444445</v>
      </c>
      <c r="H784" s="156">
        <v>45326.501388888886</v>
      </c>
      <c r="I784" s="168" t="s">
        <v>258</v>
      </c>
      <c r="J784" s="169" t="s">
        <v>94</v>
      </c>
    </row>
    <row r="785" spans="1:12">
      <c r="A785" s="154" t="s">
        <v>95</v>
      </c>
      <c r="B785" s="155" t="s">
        <v>8251</v>
      </c>
      <c r="C785" s="133" t="s">
        <v>118</v>
      </c>
      <c r="D785" s="133" t="s">
        <v>8252</v>
      </c>
      <c r="E785" s="133" t="s">
        <v>8253</v>
      </c>
      <c r="F785" s="132" t="s">
        <v>40</v>
      </c>
      <c r="G785" s="156">
        <v>45326.414583333331</v>
      </c>
      <c r="H785" s="156">
        <v>45326.645833333336</v>
      </c>
      <c r="I785" s="168" t="s">
        <v>1241</v>
      </c>
      <c r="J785" s="169" t="s">
        <v>94</v>
      </c>
    </row>
    <row r="786" spans="1:12">
      <c r="A786" s="154" t="s">
        <v>20</v>
      </c>
      <c r="B786" s="155" t="s">
        <v>8254</v>
      </c>
      <c r="C786" s="133" t="s">
        <v>13</v>
      </c>
      <c r="D786" s="133" t="s">
        <v>8255</v>
      </c>
      <c r="E786" s="133" t="s">
        <v>8256</v>
      </c>
      <c r="F786" s="132" t="s">
        <v>40</v>
      </c>
      <c r="G786" s="156">
        <v>45326.837500000001</v>
      </c>
      <c r="H786" s="156">
        <v>45355.605555555558</v>
      </c>
      <c r="I786" s="168" t="s">
        <v>17</v>
      </c>
      <c r="J786" s="169" t="s">
        <v>88</v>
      </c>
      <c r="K786" s="169" t="s">
        <v>72</v>
      </c>
      <c r="L786" s="185">
        <v>45385</v>
      </c>
    </row>
    <row r="787" spans="1:12">
      <c r="A787" s="154" t="s">
        <v>95</v>
      </c>
      <c r="B787" s="155" t="s">
        <v>8257</v>
      </c>
      <c r="C787" s="133" t="s">
        <v>97</v>
      </c>
      <c r="D787" s="133" t="s">
        <v>7843</v>
      </c>
      <c r="E787" s="133" t="s">
        <v>8258</v>
      </c>
      <c r="F787" s="132" t="s">
        <v>40</v>
      </c>
      <c r="G787" s="156">
        <v>45355.423611111109</v>
      </c>
      <c r="H787" s="156">
        <v>45355.55972222222</v>
      </c>
      <c r="I787" s="168" t="s">
        <v>32</v>
      </c>
      <c r="J787" s="169" t="s">
        <v>72</v>
      </c>
    </row>
    <row r="788" spans="1:12">
      <c r="A788" s="154" t="s">
        <v>106</v>
      </c>
      <c r="B788" s="155" t="s">
        <v>8259</v>
      </c>
      <c r="C788" s="133" t="s">
        <v>108</v>
      </c>
      <c r="D788" s="133" t="s">
        <v>1428</v>
      </c>
      <c r="E788" s="133" t="s">
        <v>8260</v>
      </c>
      <c r="F788" s="132" t="s">
        <v>40</v>
      </c>
      <c r="G788" s="156">
        <v>45355.462500000001</v>
      </c>
      <c r="H788" s="156">
        <v>45355.495833333334</v>
      </c>
      <c r="I788" s="168" t="s">
        <v>32</v>
      </c>
      <c r="J788" s="169" t="s">
        <v>72</v>
      </c>
    </row>
    <row r="789" spans="1:12">
      <c r="A789" s="154" t="s">
        <v>106</v>
      </c>
      <c r="B789" s="155" t="s">
        <v>8261</v>
      </c>
      <c r="C789" s="133" t="s">
        <v>78</v>
      </c>
      <c r="D789" s="133" t="s">
        <v>8262</v>
      </c>
      <c r="E789" s="133" t="s">
        <v>8263</v>
      </c>
      <c r="F789" s="132" t="s">
        <v>40</v>
      </c>
      <c r="G789" s="156">
        <v>45355.438888888886</v>
      </c>
      <c r="H789" s="156">
        <v>45355.558333333334</v>
      </c>
      <c r="I789" s="168" t="s">
        <v>258</v>
      </c>
      <c r="J789" s="169" t="s">
        <v>72</v>
      </c>
    </row>
    <row r="790" spans="1:12">
      <c r="A790" s="154" t="s">
        <v>95</v>
      </c>
      <c r="B790" s="155" t="s">
        <v>8264</v>
      </c>
      <c r="C790" s="133" t="s">
        <v>6047</v>
      </c>
      <c r="D790" s="133" t="s">
        <v>8265</v>
      </c>
      <c r="E790" s="133" t="s">
        <v>8266</v>
      </c>
      <c r="F790" s="132" t="s">
        <v>40</v>
      </c>
      <c r="G790" s="156">
        <v>45355.334722222222</v>
      </c>
      <c r="H790" s="156">
        <v>45355.515972222223</v>
      </c>
      <c r="I790" s="168" t="s">
        <v>32</v>
      </c>
      <c r="J790" s="169" t="s">
        <v>72</v>
      </c>
    </row>
    <row r="791" spans="1:12">
      <c r="A791" s="154" t="s">
        <v>106</v>
      </c>
      <c r="B791" s="155" t="s">
        <v>8267</v>
      </c>
      <c r="C791" s="133" t="s">
        <v>108</v>
      </c>
      <c r="D791" s="133" t="s">
        <v>8268</v>
      </c>
      <c r="E791" s="133" t="s">
        <v>8269</v>
      </c>
      <c r="F791" s="132" t="s">
        <v>40</v>
      </c>
      <c r="G791" s="156">
        <v>45386.354166666664</v>
      </c>
      <c r="H791" s="156">
        <v>45630.318055555559</v>
      </c>
      <c r="I791" s="168" t="s">
        <v>111</v>
      </c>
      <c r="J791" s="169" t="s">
        <v>72</v>
      </c>
      <c r="K791" s="169" t="s">
        <v>88</v>
      </c>
    </row>
    <row r="792" spans="1:12">
      <c r="A792" s="154" t="s">
        <v>95</v>
      </c>
      <c r="B792" s="155" t="s">
        <v>8270</v>
      </c>
      <c r="C792" s="133" t="s">
        <v>6047</v>
      </c>
      <c r="D792" s="133" t="s">
        <v>8271</v>
      </c>
      <c r="E792" s="133"/>
      <c r="F792" s="132" t="s">
        <v>40</v>
      </c>
      <c r="G792" s="156">
        <v>45386.4375</v>
      </c>
      <c r="H792" s="156">
        <v>45386.496527777781</v>
      </c>
      <c r="I792" s="168" t="s">
        <v>378</v>
      </c>
      <c r="J792" s="169" t="s">
        <v>72</v>
      </c>
    </row>
    <row r="793" spans="1:12">
      <c r="A793" s="154" t="s">
        <v>106</v>
      </c>
      <c r="B793" s="155" t="s">
        <v>8272</v>
      </c>
      <c r="C793" s="133" t="s">
        <v>108</v>
      </c>
      <c r="D793" s="133" t="s">
        <v>8273</v>
      </c>
      <c r="E793" s="133" t="s">
        <v>8274</v>
      </c>
      <c r="F793" s="132" t="s">
        <v>40</v>
      </c>
      <c r="G793" s="156">
        <v>45386.502083333333</v>
      </c>
      <c r="H793" s="156">
        <v>45386.534722222219</v>
      </c>
      <c r="I793" s="168" t="s">
        <v>616</v>
      </c>
      <c r="J793" s="169" t="s">
        <v>72</v>
      </c>
    </row>
    <row r="794" spans="1:12">
      <c r="A794" s="154" t="s">
        <v>106</v>
      </c>
      <c r="B794" s="155" t="s">
        <v>8275</v>
      </c>
      <c r="C794" s="133" t="s">
        <v>78</v>
      </c>
      <c r="D794" s="133" t="s">
        <v>8276</v>
      </c>
      <c r="E794" s="133"/>
      <c r="F794" s="132" t="s">
        <v>40</v>
      </c>
      <c r="G794" s="156">
        <v>45386.536111111112</v>
      </c>
      <c r="I794" s="168" t="s">
        <v>258</v>
      </c>
      <c r="J794" s="169" t="s">
        <v>72</v>
      </c>
    </row>
    <row r="795" spans="1:12" ht="58">
      <c r="A795" s="154" t="s">
        <v>20</v>
      </c>
      <c r="B795" s="155" t="s">
        <v>8277</v>
      </c>
      <c r="C795" s="133" t="s">
        <v>13</v>
      </c>
      <c r="D795" s="133" t="s">
        <v>8278</v>
      </c>
      <c r="E795" s="135" t="s">
        <v>8279</v>
      </c>
      <c r="F795" s="132" t="s">
        <v>40</v>
      </c>
      <c r="G795" s="156">
        <v>45386.599305555559</v>
      </c>
      <c r="I795" s="168" t="s">
        <v>32</v>
      </c>
      <c r="J795" s="169" t="s">
        <v>72</v>
      </c>
    </row>
    <row r="796" spans="1:12">
      <c r="A796" s="154" t="s">
        <v>106</v>
      </c>
      <c r="B796" s="155" t="s">
        <v>8280</v>
      </c>
      <c r="C796" s="133" t="s">
        <v>108</v>
      </c>
      <c r="D796" s="133" t="s">
        <v>8281</v>
      </c>
      <c r="E796" s="133" t="s">
        <v>8282</v>
      </c>
      <c r="F796" s="132" t="s">
        <v>40</v>
      </c>
      <c r="G796" s="156">
        <v>45386.709722222222</v>
      </c>
      <c r="H796" s="156">
        <v>45386.76458333333</v>
      </c>
      <c r="I796" s="168" t="s">
        <v>616</v>
      </c>
      <c r="J796" s="169" t="s">
        <v>72</v>
      </c>
    </row>
    <row r="797" spans="1:12">
      <c r="A797" s="154" t="s">
        <v>20</v>
      </c>
      <c r="B797" s="155" t="s">
        <v>8283</v>
      </c>
      <c r="C797" s="133" t="s">
        <v>13</v>
      </c>
      <c r="D797" s="133" t="s">
        <v>8284</v>
      </c>
      <c r="E797" s="133" t="s">
        <v>8285</v>
      </c>
      <c r="F797" s="132" t="s">
        <v>40</v>
      </c>
      <c r="G797" s="156">
        <v>45386.722916666666</v>
      </c>
      <c r="H797" s="156">
        <v>45386.749305555553</v>
      </c>
      <c r="I797" s="168" t="s">
        <v>17</v>
      </c>
      <c r="J797" s="169" t="s">
        <v>72</v>
      </c>
    </row>
    <row r="798" spans="1:12">
      <c r="A798" s="154" t="s">
        <v>20</v>
      </c>
      <c r="B798" s="155" t="s">
        <v>8286</v>
      </c>
      <c r="C798" s="133" t="s">
        <v>21</v>
      </c>
      <c r="D798" s="133" t="s">
        <v>8287</v>
      </c>
      <c r="E798" s="133" t="s">
        <v>8288</v>
      </c>
      <c r="F798" s="132" t="s">
        <v>40</v>
      </c>
      <c r="G798" s="156">
        <v>45386.833333333336</v>
      </c>
      <c r="H798" s="156">
        <v>45416.083333333336</v>
      </c>
      <c r="I798" s="168" t="s">
        <v>8289</v>
      </c>
      <c r="J798" s="169" t="s">
        <v>8290</v>
      </c>
    </row>
    <row r="799" spans="1:12" hidden="1">
      <c r="A799" s="154" t="s">
        <v>20</v>
      </c>
      <c r="B799" s="155" t="s">
        <v>8291</v>
      </c>
      <c r="C799" s="133" t="s">
        <v>13</v>
      </c>
      <c r="D799" s="133" t="s">
        <v>8292</v>
      </c>
      <c r="E799" s="133" t="s">
        <v>8293</v>
      </c>
      <c r="F799" s="132" t="s">
        <v>308</v>
      </c>
      <c r="G799" s="156">
        <v>45386.861111111109</v>
      </c>
      <c r="I799" s="168" t="s">
        <v>17</v>
      </c>
      <c r="J799" s="169" t="s">
        <v>8290</v>
      </c>
    </row>
    <row r="800" spans="1:12">
      <c r="A800" s="154" t="s">
        <v>20</v>
      </c>
      <c r="B800" s="155" t="s">
        <v>8294</v>
      </c>
      <c r="C800" s="133" t="s">
        <v>13</v>
      </c>
      <c r="D800" s="133" t="s">
        <v>8295</v>
      </c>
      <c r="E800" s="133" t="s">
        <v>8296</v>
      </c>
      <c r="F800" s="132" t="s">
        <v>40</v>
      </c>
      <c r="G800" s="156">
        <v>45386.945833333331</v>
      </c>
      <c r="H800" s="156">
        <v>45386.993055555555</v>
      </c>
      <c r="I800" s="168" t="s">
        <v>8297</v>
      </c>
      <c r="J800" s="169" t="s">
        <v>8290</v>
      </c>
    </row>
    <row r="801" spans="1:10" hidden="1">
      <c r="A801" s="154" t="s">
        <v>95</v>
      </c>
      <c r="B801" s="155" t="s">
        <v>8298</v>
      </c>
      <c r="C801" s="133" t="s">
        <v>6047</v>
      </c>
      <c r="D801" s="133" t="s">
        <v>8299</v>
      </c>
      <c r="E801" s="133" t="s">
        <v>8300</v>
      </c>
      <c r="F801" s="132" t="s">
        <v>214</v>
      </c>
      <c r="G801" s="156">
        <v>45416.010416666664</v>
      </c>
      <c r="I801" s="168" t="s">
        <v>8301</v>
      </c>
      <c r="J801" s="169" t="s">
        <v>8290</v>
      </c>
    </row>
    <row r="802" spans="1:10">
      <c r="A802" s="154" t="s">
        <v>106</v>
      </c>
      <c r="B802" s="155" t="s">
        <v>8302</v>
      </c>
      <c r="C802" s="133" t="s">
        <v>108</v>
      </c>
      <c r="D802" s="133" t="s">
        <v>8303</v>
      </c>
      <c r="E802" s="133" t="s">
        <v>8304</v>
      </c>
      <c r="F802" s="132" t="s">
        <v>40</v>
      </c>
      <c r="G802" s="156">
        <v>45355.850694444445</v>
      </c>
      <c r="H802" s="156">
        <v>45355.868055555555</v>
      </c>
      <c r="I802" s="168" t="s">
        <v>8305</v>
      </c>
      <c r="J802" s="169" t="s">
        <v>8290</v>
      </c>
    </row>
    <row r="803" spans="1:10">
      <c r="A803" s="154" t="s">
        <v>106</v>
      </c>
      <c r="B803" s="155" t="s">
        <v>8306</v>
      </c>
      <c r="C803" s="133" t="s">
        <v>333</v>
      </c>
      <c r="D803" s="133" t="s">
        <v>8307</v>
      </c>
      <c r="E803" s="133" t="s">
        <v>8308</v>
      </c>
      <c r="F803" s="132" t="s">
        <v>40</v>
      </c>
      <c r="G803" s="156">
        <v>45355.944444444445</v>
      </c>
      <c r="H803" s="156">
        <v>45355.993055555555</v>
      </c>
      <c r="I803" s="168" t="s">
        <v>8309</v>
      </c>
      <c r="J803" s="169" t="s">
        <v>8290</v>
      </c>
    </row>
    <row r="804" spans="1:10" hidden="1">
      <c r="A804" s="154" t="s">
        <v>95</v>
      </c>
      <c r="B804" s="155" t="s">
        <v>8310</v>
      </c>
      <c r="C804" s="133" t="s">
        <v>6047</v>
      </c>
      <c r="D804" s="133" t="s">
        <v>8311</v>
      </c>
      <c r="E804" s="133"/>
      <c r="G804" s="156">
        <v>45386.034722222219</v>
      </c>
      <c r="H804" s="156">
        <v>45386.128472222219</v>
      </c>
      <c r="I804" s="168" t="s">
        <v>8301</v>
      </c>
      <c r="J804" s="169" t="s">
        <v>8290</v>
      </c>
    </row>
    <row r="805" spans="1:10">
      <c r="A805" s="154" t="s">
        <v>20</v>
      </c>
      <c r="B805" s="155" t="s">
        <v>8312</v>
      </c>
      <c r="C805" s="133" t="s">
        <v>21</v>
      </c>
      <c r="D805" s="133" t="s">
        <v>8313</v>
      </c>
      <c r="E805" s="133" t="s">
        <v>8314</v>
      </c>
      <c r="F805" s="132" t="s">
        <v>40</v>
      </c>
      <c r="G805" s="156">
        <v>45386.045138888891</v>
      </c>
      <c r="H805" s="156">
        <v>45386.140972222223</v>
      </c>
      <c r="I805" s="168" t="s">
        <v>64</v>
      </c>
      <c r="J805" s="169" t="s">
        <v>8290</v>
      </c>
    </row>
    <row r="806" spans="1:10">
      <c r="A806" s="154" t="s">
        <v>20</v>
      </c>
      <c r="B806" s="155" t="s">
        <v>8315</v>
      </c>
      <c r="C806" s="133" t="s">
        <v>21</v>
      </c>
      <c r="D806" s="133" t="s">
        <v>8316</v>
      </c>
      <c r="E806" s="133" t="s">
        <v>8317</v>
      </c>
      <c r="F806" s="132" t="s">
        <v>40</v>
      </c>
      <c r="G806" s="156">
        <v>45386.081944444442</v>
      </c>
      <c r="H806" s="156">
        <v>45386.112500000003</v>
      </c>
      <c r="I806" s="168" t="s">
        <v>64</v>
      </c>
      <c r="J806" s="169" t="s">
        <v>8290</v>
      </c>
    </row>
    <row r="807" spans="1:10">
      <c r="A807" s="154" t="s">
        <v>106</v>
      </c>
      <c r="B807" s="155" t="s">
        <v>8318</v>
      </c>
      <c r="C807" s="133" t="s">
        <v>333</v>
      </c>
      <c r="D807" s="133" t="s">
        <v>8319</v>
      </c>
      <c r="E807" s="133" t="s">
        <v>8308</v>
      </c>
      <c r="F807" s="132" t="s">
        <v>40</v>
      </c>
      <c r="G807" s="156">
        <v>45386.164583333331</v>
      </c>
      <c r="H807" s="156">
        <v>45386.180555555555</v>
      </c>
      <c r="I807" s="168" t="s">
        <v>8320</v>
      </c>
      <c r="J807" s="169" t="s">
        <v>8290</v>
      </c>
    </row>
    <row r="808" spans="1:10">
      <c r="A808" s="154" t="s">
        <v>106</v>
      </c>
      <c r="B808" s="155" t="s">
        <v>8321</v>
      </c>
      <c r="C808" s="133" t="s">
        <v>108</v>
      </c>
      <c r="D808" s="133" t="s">
        <v>8322</v>
      </c>
      <c r="E808" s="133" t="s">
        <v>8323</v>
      </c>
      <c r="F808" s="132" t="s">
        <v>40</v>
      </c>
      <c r="G808" s="156">
        <v>45386.190972222219</v>
      </c>
      <c r="H808" s="156">
        <v>45386.201388888891</v>
      </c>
      <c r="I808" s="168" t="s">
        <v>32</v>
      </c>
      <c r="J808" s="169" t="s">
        <v>8290</v>
      </c>
    </row>
    <row r="809" spans="1:10" hidden="1">
      <c r="A809" s="154" t="s">
        <v>95</v>
      </c>
      <c r="B809" s="155" t="s">
        <v>8324</v>
      </c>
      <c r="C809" s="133" t="s">
        <v>6047</v>
      </c>
      <c r="D809" s="133" t="s">
        <v>8325</v>
      </c>
      <c r="E809" s="133" t="s">
        <v>8300</v>
      </c>
      <c r="F809" s="132" t="s">
        <v>214</v>
      </c>
      <c r="G809" s="156">
        <v>45416.194444444445</v>
      </c>
      <c r="I809" s="168" t="s">
        <v>8301</v>
      </c>
      <c r="J809" s="169" t="s">
        <v>8290</v>
      </c>
    </row>
    <row r="810" spans="1:10">
      <c r="A810" s="154" t="s">
        <v>20</v>
      </c>
      <c r="B810" s="155" t="s">
        <v>8326</v>
      </c>
      <c r="C810" s="133" t="s">
        <v>21</v>
      </c>
      <c r="D810" s="133" t="s">
        <v>8327</v>
      </c>
      <c r="E810" s="133" t="s">
        <v>8328</v>
      </c>
      <c r="F810" s="132" t="s">
        <v>40</v>
      </c>
      <c r="G810" s="156">
        <v>45416.368055555555</v>
      </c>
      <c r="H810" s="156">
        <v>45416.425000000003</v>
      </c>
      <c r="I810" s="168" t="s">
        <v>32</v>
      </c>
      <c r="J810" s="169" t="s">
        <v>72</v>
      </c>
    </row>
    <row r="811" spans="1:10">
      <c r="A811" s="154" t="s">
        <v>106</v>
      </c>
      <c r="B811" s="155" t="s">
        <v>8329</v>
      </c>
      <c r="C811" s="133" t="s">
        <v>108</v>
      </c>
      <c r="D811" s="133" t="s">
        <v>1428</v>
      </c>
      <c r="E811" s="133" t="s">
        <v>8330</v>
      </c>
      <c r="F811" s="132" t="s">
        <v>40</v>
      </c>
      <c r="G811" s="156">
        <v>45416.423611111109</v>
      </c>
      <c r="H811" s="156">
        <v>45416.461805555555</v>
      </c>
      <c r="I811" s="168" t="s">
        <v>32</v>
      </c>
      <c r="J811" s="169" t="s">
        <v>72</v>
      </c>
    </row>
    <row r="812" spans="1:10">
      <c r="A812" s="154" t="s">
        <v>106</v>
      </c>
      <c r="B812" s="155" t="s">
        <v>8331</v>
      </c>
      <c r="C812" s="133" t="s">
        <v>108</v>
      </c>
      <c r="D812" s="133" t="s">
        <v>8332</v>
      </c>
      <c r="E812" s="133" t="s">
        <v>8333</v>
      </c>
      <c r="F812" s="132" t="s">
        <v>40</v>
      </c>
      <c r="G812" s="156">
        <v>45416.539583333331</v>
      </c>
      <c r="H812" s="156">
        <v>45416.548611111109</v>
      </c>
      <c r="I812" s="168" t="s">
        <v>7081</v>
      </c>
      <c r="J812" s="169" t="s">
        <v>72</v>
      </c>
    </row>
    <row r="813" spans="1:10">
      <c r="A813" s="154" t="s">
        <v>20</v>
      </c>
      <c r="B813" s="155" t="s">
        <v>8334</v>
      </c>
      <c r="C813" s="133" t="s">
        <v>13</v>
      </c>
      <c r="D813" s="133" t="s">
        <v>8255</v>
      </c>
      <c r="E813" s="133" t="s">
        <v>8335</v>
      </c>
      <c r="F813" s="132" t="s">
        <v>40</v>
      </c>
      <c r="G813" s="156">
        <v>45416.355555555558</v>
      </c>
      <c r="I813" s="168" t="s">
        <v>17</v>
      </c>
      <c r="J813" s="169" t="s">
        <v>72</v>
      </c>
    </row>
    <row r="814" spans="1:10">
      <c r="A814" s="154" t="s">
        <v>106</v>
      </c>
      <c r="B814" s="155" t="s">
        <v>8336</v>
      </c>
      <c r="C814" s="133" t="s">
        <v>37</v>
      </c>
      <c r="D814" s="133" t="s">
        <v>8337</v>
      </c>
      <c r="E814" s="133" t="s">
        <v>8338</v>
      </c>
      <c r="F814" s="132" t="s">
        <v>40</v>
      </c>
      <c r="G814" s="156">
        <v>45416.958333333336</v>
      </c>
      <c r="H814" s="156">
        <v>45416.979166666664</v>
      </c>
      <c r="I814" s="168" t="s">
        <v>32</v>
      </c>
      <c r="J814" s="169" t="s">
        <v>8290</v>
      </c>
    </row>
    <row r="815" spans="1:10" hidden="1">
      <c r="A815" s="154" t="s">
        <v>95</v>
      </c>
      <c r="B815" s="155" t="s">
        <v>8339</v>
      </c>
      <c r="C815" s="133" t="s">
        <v>6047</v>
      </c>
      <c r="D815" s="135" t="s">
        <v>8340</v>
      </c>
      <c r="E815" s="133"/>
      <c r="G815" s="156">
        <v>45416.90625</v>
      </c>
      <c r="I815" s="168" t="s">
        <v>8301</v>
      </c>
      <c r="J815" s="169" t="s">
        <v>8290</v>
      </c>
    </row>
    <row r="816" spans="1:10">
      <c r="A816" s="154" t="s">
        <v>95</v>
      </c>
      <c r="B816" s="155" t="s">
        <v>8341</v>
      </c>
      <c r="C816" s="133" t="s">
        <v>118</v>
      </c>
      <c r="D816" s="135" t="s">
        <v>8342</v>
      </c>
      <c r="E816" s="133" t="s">
        <v>8343</v>
      </c>
      <c r="F816" s="132" t="s">
        <v>40</v>
      </c>
      <c r="G816" s="156">
        <v>45447.0625</v>
      </c>
      <c r="H816" s="183">
        <v>45447.069444444445</v>
      </c>
      <c r="I816" s="168" t="s">
        <v>8344</v>
      </c>
      <c r="J816" s="169" t="s">
        <v>8290</v>
      </c>
    </row>
    <row r="817" spans="1:10">
      <c r="A817" s="154" t="s">
        <v>20</v>
      </c>
      <c r="B817" s="155" t="s">
        <v>8345</v>
      </c>
      <c r="C817" s="133" t="s">
        <v>13</v>
      </c>
      <c r="D817" s="133" t="s">
        <v>8346</v>
      </c>
      <c r="E817" s="133" t="s">
        <v>8347</v>
      </c>
      <c r="F817" s="132" t="s">
        <v>40</v>
      </c>
      <c r="G817" s="156">
        <v>45447.334722222222</v>
      </c>
      <c r="H817" s="156">
        <v>45447.459027777775</v>
      </c>
      <c r="I817" s="168" t="s">
        <v>17</v>
      </c>
      <c r="J817" s="169" t="s">
        <v>72</v>
      </c>
    </row>
    <row r="818" spans="1:10">
      <c r="A818" s="154" t="s">
        <v>95</v>
      </c>
      <c r="B818" s="155" t="s">
        <v>8348</v>
      </c>
      <c r="C818" s="133" t="s">
        <v>97</v>
      </c>
      <c r="D818" s="135" t="s">
        <v>8349</v>
      </c>
      <c r="E818" s="133" t="s">
        <v>8350</v>
      </c>
      <c r="F818" s="132" t="s">
        <v>40</v>
      </c>
      <c r="G818" s="156">
        <v>45447.364583333336</v>
      </c>
      <c r="I818" s="168" t="s">
        <v>6423</v>
      </c>
      <c r="J818" s="169" t="s">
        <v>72</v>
      </c>
    </row>
    <row r="819" spans="1:10">
      <c r="A819" s="154" t="s">
        <v>20</v>
      </c>
      <c r="B819" s="155" t="s">
        <v>8351</v>
      </c>
      <c r="C819" s="133" t="s">
        <v>13</v>
      </c>
      <c r="D819" s="133" t="s">
        <v>8352</v>
      </c>
      <c r="E819" s="132" t="s">
        <v>8353</v>
      </c>
      <c r="F819" s="132" t="s">
        <v>40</v>
      </c>
      <c r="G819" s="156">
        <v>45447.383333333331</v>
      </c>
      <c r="H819" s="156">
        <v>45447.438888888886</v>
      </c>
      <c r="I819" s="168" t="s">
        <v>74</v>
      </c>
      <c r="J819" s="169" t="s">
        <v>72</v>
      </c>
    </row>
    <row r="820" spans="1:10">
      <c r="A820" s="154" t="s">
        <v>20</v>
      </c>
      <c r="B820" s="155" t="s">
        <v>8354</v>
      </c>
      <c r="C820" s="133" t="s">
        <v>13</v>
      </c>
      <c r="D820" s="133" t="s">
        <v>8355</v>
      </c>
      <c r="E820" s="133" t="s">
        <v>8356</v>
      </c>
      <c r="F820" s="132" t="s">
        <v>40</v>
      </c>
      <c r="G820" s="156">
        <v>45447.388888888891</v>
      </c>
      <c r="I820" s="168" t="s">
        <v>17</v>
      </c>
      <c r="J820" s="169" t="s">
        <v>72</v>
      </c>
    </row>
    <row r="821" spans="1:10">
      <c r="A821" s="154" t="s">
        <v>95</v>
      </c>
      <c r="B821" s="155" t="s">
        <v>8357</v>
      </c>
      <c r="C821" s="133" t="s">
        <v>118</v>
      </c>
      <c r="D821" s="133" t="s">
        <v>8358</v>
      </c>
      <c r="E821" s="133" t="s">
        <v>8359</v>
      </c>
      <c r="F821" s="132" t="s">
        <v>40</v>
      </c>
      <c r="G821" s="156">
        <v>45447.406944444447</v>
      </c>
      <c r="H821" s="156">
        <v>45447.44027777778</v>
      </c>
      <c r="I821" s="168" t="s">
        <v>1999</v>
      </c>
      <c r="J821" s="169" t="s">
        <v>72</v>
      </c>
    </row>
    <row r="822" spans="1:10">
      <c r="A822" s="154" t="s">
        <v>95</v>
      </c>
      <c r="B822" s="155" t="s">
        <v>8360</v>
      </c>
      <c r="C822" s="133" t="s">
        <v>97</v>
      </c>
      <c r="D822" s="133" t="s">
        <v>8361</v>
      </c>
      <c r="E822" s="133" t="s">
        <v>8362</v>
      </c>
      <c r="F822" s="132" t="s">
        <v>40</v>
      </c>
      <c r="G822" s="156">
        <v>45447.4375</v>
      </c>
      <c r="H822" s="156">
        <v>45447.535416666666</v>
      </c>
      <c r="I822" s="168" t="s">
        <v>6423</v>
      </c>
      <c r="J822" s="169" t="s">
        <v>72</v>
      </c>
    </row>
    <row r="823" spans="1:10">
      <c r="A823" s="154" t="s">
        <v>95</v>
      </c>
      <c r="B823" s="155" t="s">
        <v>8363</v>
      </c>
      <c r="C823" s="133" t="s">
        <v>113</v>
      </c>
      <c r="D823" s="133" t="s">
        <v>8364</v>
      </c>
      <c r="E823" s="133" t="s">
        <v>8365</v>
      </c>
      <c r="F823" s="132" t="s">
        <v>40</v>
      </c>
      <c r="G823" s="156">
        <v>45447.490972222222</v>
      </c>
      <c r="H823" s="156">
        <v>45447.523611111108</v>
      </c>
      <c r="I823" s="168" t="s">
        <v>8366</v>
      </c>
      <c r="J823" s="169" t="s">
        <v>72</v>
      </c>
    </row>
    <row r="824" spans="1:10">
      <c r="A824" s="154" t="s">
        <v>95</v>
      </c>
      <c r="B824" s="155" t="s">
        <v>8367</v>
      </c>
      <c r="C824" s="133" t="s">
        <v>113</v>
      </c>
      <c r="D824" s="133" t="s">
        <v>8368</v>
      </c>
      <c r="E824" s="133" t="s">
        <v>8369</v>
      </c>
      <c r="F824" s="132" t="s">
        <v>40</v>
      </c>
      <c r="G824" s="156">
        <v>45447.726388888892</v>
      </c>
      <c r="H824" s="156">
        <v>45447.74722222222</v>
      </c>
      <c r="I824" s="168" t="s">
        <v>8366</v>
      </c>
      <c r="J824" s="169" t="s">
        <v>72</v>
      </c>
    </row>
    <row r="825" spans="1:10">
      <c r="A825" s="154" t="s">
        <v>95</v>
      </c>
      <c r="B825" s="155" t="s">
        <v>8370</v>
      </c>
      <c r="C825" s="133" t="s">
        <v>113</v>
      </c>
      <c r="D825" s="133" t="s">
        <v>8371</v>
      </c>
      <c r="E825" s="133" t="s">
        <v>8365</v>
      </c>
      <c r="F825" s="132" t="s">
        <v>40</v>
      </c>
      <c r="G825" s="156">
        <v>45447.739583333336</v>
      </c>
      <c r="H825" s="156">
        <v>45447.745833333334</v>
      </c>
      <c r="I825" s="168" t="s">
        <v>8366</v>
      </c>
      <c r="J825" s="169" t="s">
        <v>72</v>
      </c>
    </row>
    <row r="826" spans="1:10">
      <c r="A826" s="154" t="s">
        <v>95</v>
      </c>
      <c r="B826" s="155" t="s">
        <v>8372</v>
      </c>
      <c r="C826" s="133" t="s">
        <v>97</v>
      </c>
      <c r="D826" s="133" t="s">
        <v>8373</v>
      </c>
      <c r="E826" s="133" t="s">
        <v>8374</v>
      </c>
      <c r="F826" s="132" t="s">
        <v>40</v>
      </c>
      <c r="G826" s="156">
        <v>45447.850694444445</v>
      </c>
      <c r="H826" s="156">
        <v>45447.864583333336</v>
      </c>
      <c r="I826" s="168" t="s">
        <v>4375</v>
      </c>
      <c r="J826" s="169" t="s">
        <v>8290</v>
      </c>
    </row>
    <row r="827" spans="1:10">
      <c r="A827" s="154" t="s">
        <v>106</v>
      </c>
      <c r="B827" s="155" t="s">
        <v>8375</v>
      </c>
      <c r="C827" s="133" t="s">
        <v>108</v>
      </c>
      <c r="D827" s="133" t="s">
        <v>8376</v>
      </c>
      <c r="E827" s="133" t="s">
        <v>8377</v>
      </c>
      <c r="F827" s="132" t="s">
        <v>40</v>
      </c>
      <c r="G827" s="156">
        <v>45447.855555555558</v>
      </c>
      <c r="H827" s="156">
        <v>45447.881944444445</v>
      </c>
      <c r="I827" s="168" t="s">
        <v>6406</v>
      </c>
      <c r="J827" s="169" t="s">
        <v>8290</v>
      </c>
    </row>
    <row r="828" spans="1:10">
      <c r="A828" s="154" t="s">
        <v>20</v>
      </c>
      <c r="B828" s="155" t="s">
        <v>8378</v>
      </c>
      <c r="C828" s="133" t="s">
        <v>21</v>
      </c>
      <c r="D828" s="133" t="s">
        <v>8379</v>
      </c>
      <c r="E828" s="133" t="s">
        <v>8380</v>
      </c>
      <c r="F828" s="132" t="s">
        <v>40</v>
      </c>
      <c r="G828" s="156">
        <v>45447.876388888886</v>
      </c>
      <c r="H828" s="156">
        <v>45477.215277777781</v>
      </c>
      <c r="I828" s="168" t="s">
        <v>64</v>
      </c>
      <c r="J828" s="169" t="s">
        <v>8290</v>
      </c>
    </row>
    <row r="829" spans="1:10">
      <c r="A829" s="154" t="s">
        <v>20</v>
      </c>
      <c r="B829" s="155" t="s">
        <v>8381</v>
      </c>
      <c r="C829" s="133" t="s">
        <v>21</v>
      </c>
      <c r="D829" s="135" t="s">
        <v>8382</v>
      </c>
      <c r="E829" s="133" t="s">
        <v>8383</v>
      </c>
      <c r="F829" s="132" t="s">
        <v>40</v>
      </c>
      <c r="G829" s="156">
        <v>45477.114583333336</v>
      </c>
      <c r="H829" s="156">
        <v>45477.190972222219</v>
      </c>
      <c r="I829" s="168" t="s">
        <v>64</v>
      </c>
      <c r="J829" s="169" t="s">
        <v>8290</v>
      </c>
    </row>
    <row r="830" spans="1:10">
      <c r="A830" s="154" t="s">
        <v>20</v>
      </c>
      <c r="B830" s="155" t="s">
        <v>8384</v>
      </c>
      <c r="C830" s="133" t="s">
        <v>21</v>
      </c>
      <c r="D830" s="133" t="s">
        <v>8385</v>
      </c>
      <c r="E830" s="133" t="s">
        <v>8386</v>
      </c>
      <c r="F830" s="132" t="s">
        <v>40</v>
      </c>
      <c r="G830" s="156">
        <v>45477.229166666664</v>
      </c>
      <c r="H830" s="156">
        <v>45477.25</v>
      </c>
      <c r="I830" s="168" t="s">
        <v>64</v>
      </c>
      <c r="J830" s="169" t="s">
        <v>8290</v>
      </c>
    </row>
    <row r="831" spans="1:10">
      <c r="A831" s="154" t="s">
        <v>95</v>
      </c>
      <c r="B831" s="155" t="s">
        <v>8387</v>
      </c>
      <c r="C831" s="133" t="s">
        <v>97</v>
      </c>
      <c r="D831" s="133" t="s">
        <v>8388</v>
      </c>
      <c r="E831" s="133" t="s">
        <v>8389</v>
      </c>
      <c r="F831" s="132" t="s">
        <v>40</v>
      </c>
      <c r="G831" s="156">
        <v>45477.338194444441</v>
      </c>
      <c r="H831" s="156">
        <v>45477.351388888892</v>
      </c>
      <c r="I831" s="168" t="s">
        <v>2172</v>
      </c>
      <c r="J831" s="169" t="s">
        <v>72</v>
      </c>
    </row>
    <row r="832" spans="1:10">
      <c r="A832" s="154" t="s">
        <v>95</v>
      </c>
      <c r="B832" s="155" t="s">
        <v>8390</v>
      </c>
      <c r="C832" s="133" t="s">
        <v>97</v>
      </c>
      <c r="D832" s="133" t="s">
        <v>8391</v>
      </c>
      <c r="E832" s="133" t="s">
        <v>8392</v>
      </c>
      <c r="F832" s="132" t="s">
        <v>40</v>
      </c>
      <c r="G832" s="156">
        <v>45477.347222222219</v>
      </c>
      <c r="H832" s="156">
        <v>45477.495833333334</v>
      </c>
      <c r="I832" s="168" t="s">
        <v>32</v>
      </c>
      <c r="J832" s="169" t="s">
        <v>72</v>
      </c>
    </row>
    <row r="833" spans="1:10">
      <c r="A833" s="154" t="s">
        <v>95</v>
      </c>
      <c r="B833" s="155" t="s">
        <v>8393</v>
      </c>
      <c r="C833" s="133" t="s">
        <v>118</v>
      </c>
      <c r="D833" s="133" t="s">
        <v>8394</v>
      </c>
      <c r="E833" s="133" t="s">
        <v>8395</v>
      </c>
      <c r="F833" s="132" t="s">
        <v>40</v>
      </c>
      <c r="G833" s="156">
        <v>45477.470833333333</v>
      </c>
      <c r="H833" s="156">
        <v>45477.501388888886</v>
      </c>
      <c r="I833" s="168" t="s">
        <v>8396</v>
      </c>
      <c r="J833" s="169" t="s">
        <v>72</v>
      </c>
    </row>
    <row r="834" spans="1:10">
      <c r="A834" s="154" t="s">
        <v>20</v>
      </c>
      <c r="B834" s="155" t="s">
        <v>8397</v>
      </c>
      <c r="C834" s="133" t="s">
        <v>21</v>
      </c>
      <c r="D834" s="133" t="s">
        <v>8398</v>
      </c>
      <c r="E834" s="133" t="s">
        <v>8399</v>
      </c>
      <c r="F834" s="132" t="s">
        <v>40</v>
      </c>
      <c r="G834" s="156">
        <v>45477.472222222219</v>
      </c>
      <c r="H834" s="156">
        <v>45477.597222222219</v>
      </c>
      <c r="I834" s="168" t="s">
        <v>8400</v>
      </c>
      <c r="J834" s="169" t="s">
        <v>72</v>
      </c>
    </row>
    <row r="835" spans="1:10">
      <c r="A835" s="154" t="s">
        <v>20</v>
      </c>
      <c r="B835" s="155" t="s">
        <v>8401</v>
      </c>
      <c r="C835" s="133" t="s">
        <v>49</v>
      </c>
      <c r="D835" s="133" t="s">
        <v>8402</v>
      </c>
      <c r="E835" s="133"/>
      <c r="F835" s="132" t="s">
        <v>40</v>
      </c>
      <c r="G835" s="156">
        <v>45477.513888888891</v>
      </c>
      <c r="I835" s="168" t="s">
        <v>2912</v>
      </c>
      <c r="J835" s="169" t="s">
        <v>72</v>
      </c>
    </row>
    <row r="836" spans="1:10">
      <c r="A836" s="154" t="s">
        <v>95</v>
      </c>
      <c r="B836" s="155" t="s">
        <v>8403</v>
      </c>
      <c r="C836" s="133" t="s">
        <v>118</v>
      </c>
      <c r="D836" s="133" t="s">
        <v>8404</v>
      </c>
      <c r="E836" s="133" t="s">
        <v>8405</v>
      </c>
      <c r="F836" s="132" t="s">
        <v>40</v>
      </c>
      <c r="G836" s="156">
        <v>45477.465277777781</v>
      </c>
      <c r="H836" s="156">
        <v>45477.638888888891</v>
      </c>
      <c r="I836" s="168" t="s">
        <v>32</v>
      </c>
      <c r="J836" s="169" t="s">
        <v>72</v>
      </c>
    </row>
    <row r="837" spans="1:10">
      <c r="A837" s="154" t="s">
        <v>95</v>
      </c>
      <c r="B837" s="155" t="s">
        <v>8406</v>
      </c>
      <c r="C837" s="133" t="s">
        <v>1763</v>
      </c>
      <c r="D837" s="133" t="s">
        <v>8407</v>
      </c>
      <c r="E837" s="133" t="s">
        <v>8408</v>
      </c>
      <c r="F837" s="132" t="s">
        <v>40</v>
      </c>
      <c r="G837" s="156">
        <v>45477.474305555559</v>
      </c>
      <c r="H837" s="156">
        <v>45477.537499999999</v>
      </c>
      <c r="I837" s="168" t="s">
        <v>32</v>
      </c>
      <c r="J837" s="169" t="s">
        <v>72</v>
      </c>
    </row>
    <row r="838" spans="1:10">
      <c r="A838" s="154" t="s">
        <v>95</v>
      </c>
      <c r="B838" s="155" t="s">
        <v>8409</v>
      </c>
      <c r="C838" s="133" t="s">
        <v>113</v>
      </c>
      <c r="D838" s="133" t="s">
        <v>8410</v>
      </c>
      <c r="E838" s="133" t="s">
        <v>8411</v>
      </c>
      <c r="F838" s="132" t="s">
        <v>40</v>
      </c>
      <c r="G838" s="156">
        <v>45477.474305555559</v>
      </c>
      <c r="I838" s="168" t="s">
        <v>32</v>
      </c>
      <c r="J838" s="169" t="s">
        <v>72</v>
      </c>
    </row>
    <row r="839" spans="1:10">
      <c r="A839" s="154" t="s">
        <v>95</v>
      </c>
      <c r="B839" s="155" t="s">
        <v>8412</v>
      </c>
      <c r="C839" s="133" t="s">
        <v>97</v>
      </c>
      <c r="D839" s="133" t="s">
        <v>8413</v>
      </c>
      <c r="E839" s="133" t="s">
        <v>8414</v>
      </c>
      <c r="F839" s="132" t="s">
        <v>40</v>
      </c>
      <c r="G839" s="156">
        <v>45477.474305555559</v>
      </c>
      <c r="H839" s="156">
        <v>45477.680555555555</v>
      </c>
      <c r="I839" s="168" t="s">
        <v>2172</v>
      </c>
      <c r="J839" s="169" t="s">
        <v>72</v>
      </c>
    </row>
    <row r="840" spans="1:10">
      <c r="A840" s="154" t="s">
        <v>95</v>
      </c>
      <c r="B840" s="155" t="s">
        <v>8415</v>
      </c>
      <c r="C840" s="133" t="s">
        <v>113</v>
      </c>
      <c r="D840" s="133" t="s">
        <v>8416</v>
      </c>
      <c r="E840" s="133" t="s">
        <v>8365</v>
      </c>
      <c r="F840" s="132" t="s">
        <v>40</v>
      </c>
      <c r="G840" s="156">
        <v>45477.647222222222</v>
      </c>
      <c r="H840" s="156">
        <v>45477.666666666664</v>
      </c>
      <c r="I840" s="168" t="s">
        <v>8417</v>
      </c>
      <c r="J840" s="169" t="s">
        <v>72</v>
      </c>
    </row>
    <row r="841" spans="1:10">
      <c r="A841" s="154" t="s">
        <v>95</v>
      </c>
      <c r="B841" s="155" t="s">
        <v>8418</v>
      </c>
      <c r="C841" s="133" t="s">
        <v>97</v>
      </c>
      <c r="D841" s="133" t="s">
        <v>8388</v>
      </c>
      <c r="E841" s="133"/>
      <c r="F841" s="132" t="s">
        <v>40</v>
      </c>
      <c r="G841" s="156">
        <v>45477.680555555555</v>
      </c>
      <c r="I841" s="168" t="s">
        <v>2172</v>
      </c>
      <c r="J841" s="169" t="s">
        <v>72</v>
      </c>
    </row>
    <row r="842" spans="1:10">
      <c r="A842" s="154" t="s">
        <v>95</v>
      </c>
      <c r="B842" s="155" t="s">
        <v>8419</v>
      </c>
      <c r="C842" s="133" t="s">
        <v>113</v>
      </c>
      <c r="D842" s="133" t="s">
        <v>8420</v>
      </c>
      <c r="E842" s="133" t="s">
        <v>8421</v>
      </c>
      <c r="F842" s="132" t="s">
        <v>40</v>
      </c>
      <c r="G842" s="156">
        <v>45477.73333333333</v>
      </c>
      <c r="H842" s="156">
        <v>45477.750694444447</v>
      </c>
      <c r="I842" s="168" t="s">
        <v>2172</v>
      </c>
      <c r="J842" s="169" t="s">
        <v>72</v>
      </c>
    </row>
    <row r="843" spans="1:10">
      <c r="A843" s="154" t="s">
        <v>20</v>
      </c>
      <c r="B843" s="155" t="s">
        <v>8422</v>
      </c>
      <c r="C843" s="133" t="s">
        <v>13</v>
      </c>
      <c r="D843" s="133" t="s">
        <v>8423</v>
      </c>
      <c r="E843" s="133" t="s">
        <v>8424</v>
      </c>
      <c r="F843" s="132" t="s">
        <v>40</v>
      </c>
      <c r="G843" s="156">
        <v>45477.876388888886</v>
      </c>
      <c r="H843" s="156">
        <v>45477.895833333336</v>
      </c>
      <c r="I843" s="168" t="s">
        <v>8425</v>
      </c>
      <c r="J843" s="169" t="s">
        <v>8290</v>
      </c>
    </row>
    <row r="844" spans="1:10">
      <c r="A844" s="154" t="s">
        <v>106</v>
      </c>
      <c r="B844" s="155" t="s">
        <v>8426</v>
      </c>
      <c r="C844" s="133" t="s">
        <v>108</v>
      </c>
      <c r="D844" s="133" t="s">
        <v>8427</v>
      </c>
      <c r="E844" s="133" t="s">
        <v>8428</v>
      </c>
      <c r="F844" s="132" t="s">
        <v>40</v>
      </c>
      <c r="G844" s="156">
        <v>45477.951388888891</v>
      </c>
      <c r="H844" s="156">
        <v>45477.958333333336</v>
      </c>
      <c r="I844" s="168" t="s">
        <v>32</v>
      </c>
      <c r="J844" s="169" t="s">
        <v>8290</v>
      </c>
    </row>
    <row r="845" spans="1:10">
      <c r="A845" s="154" t="s">
        <v>20</v>
      </c>
      <c r="B845" s="155" t="s">
        <v>8429</v>
      </c>
      <c r="C845" s="133" t="s">
        <v>21</v>
      </c>
      <c r="D845" s="133" t="s">
        <v>7323</v>
      </c>
      <c r="E845" s="133" t="s">
        <v>8317</v>
      </c>
      <c r="F845" s="132" t="s">
        <v>40</v>
      </c>
      <c r="G845" s="156">
        <v>45508.125</v>
      </c>
      <c r="H845" s="156">
        <v>45508.145833333336</v>
      </c>
      <c r="I845" s="168" t="s">
        <v>64</v>
      </c>
      <c r="J845" s="169" t="s">
        <v>8290</v>
      </c>
    </row>
    <row r="846" spans="1:10">
      <c r="A846" s="154" t="s">
        <v>20</v>
      </c>
      <c r="B846" s="155" t="s">
        <v>8430</v>
      </c>
      <c r="C846" s="133" t="s">
        <v>21</v>
      </c>
      <c r="D846" s="133" t="s">
        <v>8431</v>
      </c>
      <c r="E846" s="133" t="s">
        <v>8432</v>
      </c>
      <c r="F846" s="132" t="s">
        <v>40</v>
      </c>
      <c r="G846" s="156">
        <v>45508.166666666664</v>
      </c>
      <c r="H846" s="156">
        <v>45508.229166666664</v>
      </c>
      <c r="I846" s="168" t="s">
        <v>64</v>
      </c>
      <c r="J846" s="169" t="s">
        <v>8290</v>
      </c>
    </row>
    <row r="847" spans="1:10">
      <c r="A847" s="154" t="s">
        <v>20</v>
      </c>
      <c r="B847" s="155" t="s">
        <v>8433</v>
      </c>
      <c r="C847" s="133" t="s">
        <v>21</v>
      </c>
      <c r="D847" s="133" t="s">
        <v>8434</v>
      </c>
      <c r="E847" s="133" t="s">
        <v>8435</v>
      </c>
      <c r="F847" s="132" t="s">
        <v>40</v>
      </c>
      <c r="G847" s="156">
        <v>45508.263888888891</v>
      </c>
      <c r="H847" s="156">
        <v>45508.284722222219</v>
      </c>
      <c r="I847" s="168" t="s">
        <v>64</v>
      </c>
      <c r="J847" s="169" t="s">
        <v>8290</v>
      </c>
    </row>
    <row r="848" spans="1:10">
      <c r="A848" s="154" t="s">
        <v>20</v>
      </c>
      <c r="B848" s="155" t="s">
        <v>8436</v>
      </c>
      <c r="C848" s="133" t="s">
        <v>13</v>
      </c>
      <c r="D848" s="133" t="s">
        <v>8437</v>
      </c>
      <c r="E848" s="133" t="s">
        <v>8438</v>
      </c>
      <c r="F848" s="132" t="s">
        <v>40</v>
      </c>
      <c r="G848" s="156">
        <v>45508.333333333336</v>
      </c>
      <c r="H848" s="156">
        <v>45508.386805555558</v>
      </c>
      <c r="I848" s="168" t="s">
        <v>17</v>
      </c>
      <c r="J848" s="169" t="s">
        <v>72</v>
      </c>
    </row>
    <row r="849" spans="1:11">
      <c r="A849" s="154" t="s">
        <v>106</v>
      </c>
      <c r="B849" s="155" t="s">
        <v>8439</v>
      </c>
      <c r="C849" s="133" t="s">
        <v>78</v>
      </c>
      <c r="D849" s="133" t="s">
        <v>8440</v>
      </c>
      <c r="E849" s="133" t="s">
        <v>276</v>
      </c>
      <c r="F849" s="132" t="s">
        <v>40</v>
      </c>
      <c r="G849" s="156">
        <v>45508.459722222222</v>
      </c>
      <c r="H849" s="156">
        <v>45508.501388888886</v>
      </c>
      <c r="I849" s="168" t="s">
        <v>258</v>
      </c>
      <c r="J849" s="169" t="s">
        <v>72</v>
      </c>
    </row>
    <row r="850" spans="1:11">
      <c r="A850" s="154" t="s">
        <v>95</v>
      </c>
      <c r="B850" s="155" t="s">
        <v>8441</v>
      </c>
      <c r="C850" s="133" t="s">
        <v>97</v>
      </c>
      <c r="D850" s="133" t="s">
        <v>8442</v>
      </c>
      <c r="E850" s="133" t="s">
        <v>8443</v>
      </c>
      <c r="F850" s="132" t="s">
        <v>40</v>
      </c>
      <c r="G850" s="156">
        <v>45539.013888888891</v>
      </c>
      <c r="H850" s="156">
        <v>45539.03125</v>
      </c>
      <c r="I850" s="168" t="s">
        <v>4375</v>
      </c>
      <c r="J850" s="169" t="s">
        <v>8290</v>
      </c>
    </row>
    <row r="851" spans="1:11">
      <c r="A851" s="154" t="s">
        <v>95</v>
      </c>
      <c r="B851" s="159" t="s">
        <v>8444</v>
      </c>
      <c r="C851" s="133" t="s">
        <v>113</v>
      </c>
      <c r="D851" s="135" t="s">
        <v>8445</v>
      </c>
      <c r="E851" s="133" t="s">
        <v>8446</v>
      </c>
      <c r="F851" s="132" t="s">
        <v>40</v>
      </c>
      <c r="G851" s="156">
        <v>45539.163194444445</v>
      </c>
      <c r="H851" s="156">
        <v>45539.194444444445</v>
      </c>
      <c r="I851" s="168" t="s">
        <v>8447</v>
      </c>
      <c r="J851" s="169" t="s">
        <v>8290</v>
      </c>
    </row>
    <row r="852" spans="1:11">
      <c r="A852" s="154" t="s">
        <v>95</v>
      </c>
      <c r="B852" s="155" t="s">
        <v>8448</v>
      </c>
      <c r="C852" s="133" t="s">
        <v>118</v>
      </c>
      <c r="D852" s="133" t="s">
        <v>8449</v>
      </c>
      <c r="E852" s="133" t="s">
        <v>8450</v>
      </c>
      <c r="F852" s="132" t="s">
        <v>40</v>
      </c>
      <c r="G852" s="156">
        <v>45539.19027777778</v>
      </c>
      <c r="H852" s="156">
        <v>45539.201388888891</v>
      </c>
      <c r="I852" s="168" t="s">
        <v>8451</v>
      </c>
      <c r="J852" s="169" t="s">
        <v>8290</v>
      </c>
    </row>
    <row r="853" spans="1:11">
      <c r="A853" s="154" t="s">
        <v>95</v>
      </c>
      <c r="B853" s="155" t="s">
        <v>8452</v>
      </c>
      <c r="C853" s="133" t="s">
        <v>118</v>
      </c>
      <c r="D853" s="133" t="s">
        <v>8453</v>
      </c>
      <c r="E853" s="133" t="s">
        <v>8454</v>
      </c>
      <c r="F853" s="132" t="s">
        <v>40</v>
      </c>
      <c r="G853" s="156" t="s">
        <v>8455</v>
      </c>
      <c r="H853" s="156">
        <v>45539.215277777781</v>
      </c>
      <c r="I853" s="168" t="s">
        <v>8451</v>
      </c>
      <c r="J853" s="169" t="s">
        <v>8290</v>
      </c>
    </row>
    <row r="854" spans="1:11">
      <c r="A854" s="154" t="s">
        <v>20</v>
      </c>
      <c r="B854" s="155" t="s">
        <v>8456</v>
      </c>
      <c r="C854" s="133" t="s">
        <v>21</v>
      </c>
      <c r="D854" s="133" t="s">
        <v>8457</v>
      </c>
      <c r="E854" s="133" t="s">
        <v>8458</v>
      </c>
      <c r="F854" s="132" t="s">
        <v>40</v>
      </c>
      <c r="G854" s="156">
        <v>45508.944444444445</v>
      </c>
      <c r="H854" s="156">
        <v>45508.885416666664</v>
      </c>
      <c r="I854" s="168" t="s">
        <v>64</v>
      </c>
      <c r="J854" s="169" t="s">
        <v>8290</v>
      </c>
    </row>
    <row r="855" spans="1:11">
      <c r="A855" s="154" t="s">
        <v>20</v>
      </c>
      <c r="B855" s="155" t="s">
        <v>8459</v>
      </c>
      <c r="C855" s="133" t="s">
        <v>21</v>
      </c>
      <c r="D855" s="133" t="s">
        <v>8460</v>
      </c>
      <c r="E855" s="135" t="s">
        <v>8461</v>
      </c>
      <c r="F855" s="132" t="s">
        <v>40</v>
      </c>
      <c r="G855" s="156" t="s">
        <v>8462</v>
      </c>
      <c r="H855" s="156">
        <v>45539.03125</v>
      </c>
      <c r="I855" s="168" t="s">
        <v>64</v>
      </c>
      <c r="J855" s="169" t="s">
        <v>8290</v>
      </c>
    </row>
    <row r="856" spans="1:11">
      <c r="A856" s="154" t="s">
        <v>20</v>
      </c>
      <c r="B856" s="155" t="s">
        <v>8463</v>
      </c>
      <c r="C856" s="133" t="s">
        <v>49</v>
      </c>
      <c r="D856" s="133" t="s">
        <v>8464</v>
      </c>
      <c r="E856" s="133" t="s">
        <v>8465</v>
      </c>
      <c r="F856" s="132" t="s">
        <v>40</v>
      </c>
      <c r="G856" s="156">
        <v>45539.370138888888</v>
      </c>
      <c r="H856" s="156">
        <v>45539.375</v>
      </c>
      <c r="I856" s="168" t="s">
        <v>1757</v>
      </c>
      <c r="J856" s="169" t="s">
        <v>72</v>
      </c>
    </row>
    <row r="857" spans="1:11">
      <c r="A857" s="154" t="s">
        <v>106</v>
      </c>
      <c r="B857" s="155" t="s">
        <v>8466</v>
      </c>
      <c r="C857" s="133" t="s">
        <v>108</v>
      </c>
      <c r="D857" s="133" t="s">
        <v>8467</v>
      </c>
      <c r="E857" s="133" t="s">
        <v>8468</v>
      </c>
      <c r="F857" s="132" t="s">
        <v>40</v>
      </c>
      <c r="G857" s="156">
        <v>45539.340277777781</v>
      </c>
      <c r="H857" s="156">
        <v>45539.35833333333</v>
      </c>
      <c r="I857" s="168" t="s">
        <v>32</v>
      </c>
      <c r="J857" s="169" t="s">
        <v>72</v>
      </c>
    </row>
    <row r="858" spans="1:11">
      <c r="A858" s="154" t="s">
        <v>95</v>
      </c>
      <c r="B858" s="155" t="s">
        <v>8469</v>
      </c>
      <c r="C858" s="133" t="s">
        <v>118</v>
      </c>
      <c r="D858" s="133" t="s">
        <v>8470</v>
      </c>
      <c r="E858" s="133" t="s">
        <v>8471</v>
      </c>
      <c r="F858" s="132" t="s">
        <v>40</v>
      </c>
      <c r="G858" s="156">
        <v>45539.3</v>
      </c>
      <c r="H858" s="156">
        <v>45600.53402777778</v>
      </c>
      <c r="J858" s="169" t="s">
        <v>72</v>
      </c>
      <c r="K858" s="169" t="s">
        <v>88</v>
      </c>
    </row>
    <row r="859" spans="1:11">
      <c r="A859" s="154" t="s">
        <v>95</v>
      </c>
      <c r="B859" s="155" t="s">
        <v>8472</v>
      </c>
      <c r="C859" s="133" t="s">
        <v>113</v>
      </c>
      <c r="D859" s="133" t="s">
        <v>8473</v>
      </c>
      <c r="E859" s="133" t="s">
        <v>8474</v>
      </c>
      <c r="F859" s="132" t="s">
        <v>40</v>
      </c>
      <c r="G859" s="156">
        <v>45539.544444444444</v>
      </c>
      <c r="H859" s="156">
        <v>45539.669444444444</v>
      </c>
      <c r="I859" s="168" t="s">
        <v>8475</v>
      </c>
      <c r="J859" s="169" t="s">
        <v>72</v>
      </c>
    </row>
    <row r="860" spans="1:11">
      <c r="A860" s="154" t="s">
        <v>106</v>
      </c>
      <c r="B860" s="155" t="s">
        <v>8476</v>
      </c>
      <c r="C860" s="133" t="s">
        <v>108</v>
      </c>
      <c r="D860" s="133" t="s">
        <v>8477</v>
      </c>
      <c r="E860" s="133" t="s">
        <v>8478</v>
      </c>
      <c r="F860" s="132" t="s">
        <v>40</v>
      </c>
      <c r="G860" s="156">
        <v>45539.533333333333</v>
      </c>
      <c r="H860" s="156">
        <v>45539.556250000001</v>
      </c>
      <c r="I860" s="168" t="s">
        <v>8479</v>
      </c>
      <c r="J860" s="169" t="s">
        <v>72</v>
      </c>
    </row>
    <row r="861" spans="1:11">
      <c r="A861" s="154" t="s">
        <v>106</v>
      </c>
      <c r="B861" s="155" t="s">
        <v>8480</v>
      </c>
      <c r="C861" s="133" t="s">
        <v>333</v>
      </c>
      <c r="D861" s="133" t="s">
        <v>8481</v>
      </c>
      <c r="E861" s="133" t="s">
        <v>8482</v>
      </c>
      <c r="F861" s="132" t="s">
        <v>40</v>
      </c>
      <c r="G861" s="156">
        <v>45539.972222222219</v>
      </c>
      <c r="H861" s="156">
        <v>45569.125</v>
      </c>
      <c r="I861" s="168" t="s">
        <v>346</v>
      </c>
      <c r="J861" s="169" t="s">
        <v>8290</v>
      </c>
    </row>
    <row r="862" spans="1:11" ht="29">
      <c r="A862" s="154" t="s">
        <v>106</v>
      </c>
      <c r="B862" s="155" t="s">
        <v>8483</v>
      </c>
      <c r="C862" s="133" t="s">
        <v>108</v>
      </c>
      <c r="D862" s="135" t="s">
        <v>8484</v>
      </c>
      <c r="E862" s="133" t="s">
        <v>8485</v>
      </c>
      <c r="F862" s="132" t="s">
        <v>40</v>
      </c>
      <c r="G862" s="156">
        <v>45539.9375</v>
      </c>
      <c r="H862" s="183">
        <v>45539.958333333336</v>
      </c>
      <c r="I862" s="168" t="s">
        <v>1470</v>
      </c>
      <c r="J862" s="169" t="s">
        <v>8290</v>
      </c>
    </row>
    <row r="863" spans="1:11">
      <c r="A863" s="154" t="s">
        <v>106</v>
      </c>
      <c r="B863" s="155" t="s">
        <v>8486</v>
      </c>
      <c r="C863" s="133" t="s">
        <v>108</v>
      </c>
      <c r="D863" s="133" t="s">
        <v>8487</v>
      </c>
      <c r="E863" s="133" t="s">
        <v>8488</v>
      </c>
      <c r="F863" s="132" t="s">
        <v>40</v>
      </c>
      <c r="G863" s="156">
        <v>45569.243055555555</v>
      </c>
      <c r="H863" s="156">
        <v>45569.270833333336</v>
      </c>
      <c r="I863" s="168" t="s">
        <v>1470</v>
      </c>
      <c r="J863" s="169" t="s">
        <v>8290</v>
      </c>
    </row>
    <row r="864" spans="1:11">
      <c r="A864" s="154" t="s">
        <v>106</v>
      </c>
      <c r="B864" s="155" t="s">
        <v>8489</v>
      </c>
      <c r="C864" s="133" t="s">
        <v>108</v>
      </c>
      <c r="D864" s="133" t="s">
        <v>8490</v>
      </c>
      <c r="E864" s="133" t="s">
        <v>8491</v>
      </c>
      <c r="F864" s="132" t="s">
        <v>40</v>
      </c>
      <c r="G864" s="156">
        <v>45569.352777777778</v>
      </c>
      <c r="H864" s="156">
        <v>45569.47152777778</v>
      </c>
      <c r="I864" s="168" t="s">
        <v>3825</v>
      </c>
      <c r="J864" s="169" t="s">
        <v>88</v>
      </c>
    </row>
    <row r="865" spans="1:12" hidden="1">
      <c r="A865" s="154" t="s">
        <v>106</v>
      </c>
      <c r="B865" s="155" t="s">
        <v>8492</v>
      </c>
      <c r="C865" s="133" t="s">
        <v>333</v>
      </c>
      <c r="D865" s="133" t="s">
        <v>8493</v>
      </c>
      <c r="E865" s="133" t="s">
        <v>8494</v>
      </c>
      <c r="F865" s="132" t="s">
        <v>130</v>
      </c>
      <c r="G865" s="156">
        <v>45569.371527777781</v>
      </c>
      <c r="I865" s="168" t="s">
        <v>346</v>
      </c>
      <c r="J865" s="169" t="s">
        <v>88</v>
      </c>
      <c r="K865" s="169" t="s">
        <v>2179</v>
      </c>
      <c r="L865" s="185">
        <v>45399</v>
      </c>
    </row>
    <row r="866" spans="1:12">
      <c r="A866" s="154" t="s">
        <v>106</v>
      </c>
      <c r="B866" s="155" t="s">
        <v>8495</v>
      </c>
      <c r="C866" s="133" t="s">
        <v>108</v>
      </c>
      <c r="D866" s="133" t="s">
        <v>6715</v>
      </c>
      <c r="E866" s="133" t="s">
        <v>8496</v>
      </c>
      <c r="F866" s="132" t="s">
        <v>40</v>
      </c>
      <c r="G866" s="156">
        <v>45569.48333333333</v>
      </c>
      <c r="H866" s="156">
        <v>45569.574999999997</v>
      </c>
      <c r="I866" s="168" t="s">
        <v>8497</v>
      </c>
      <c r="J866" s="169" t="s">
        <v>88</v>
      </c>
    </row>
    <row r="867" spans="1:12">
      <c r="A867" s="154" t="s">
        <v>20</v>
      </c>
      <c r="B867" s="155" t="s">
        <v>8498</v>
      </c>
      <c r="C867" s="133" t="s">
        <v>13</v>
      </c>
      <c r="D867" s="133" t="s">
        <v>8499</v>
      </c>
      <c r="E867" s="133" t="s">
        <v>8500</v>
      </c>
      <c r="F867" s="132" t="s">
        <v>40</v>
      </c>
      <c r="G867" s="156">
        <v>45569.553472222222</v>
      </c>
      <c r="H867" s="156">
        <v>45600.219444444447</v>
      </c>
      <c r="I867" s="168" t="s">
        <v>8015</v>
      </c>
      <c r="J867" s="169" t="s">
        <v>88</v>
      </c>
      <c r="K867" s="169" t="s">
        <v>94</v>
      </c>
    </row>
    <row r="868" spans="1:12">
      <c r="A868" s="154" t="s">
        <v>20</v>
      </c>
      <c r="B868" s="155" t="s">
        <v>8501</v>
      </c>
      <c r="C868" s="133" t="s">
        <v>21</v>
      </c>
      <c r="D868" s="133" t="s">
        <v>8177</v>
      </c>
      <c r="E868" s="133" t="s">
        <v>8502</v>
      </c>
      <c r="F868" s="132" t="s">
        <v>40</v>
      </c>
      <c r="G868" s="156">
        <v>45600.05972222222</v>
      </c>
      <c r="H868" s="156">
        <v>45600.121527777781</v>
      </c>
      <c r="I868" s="168" t="s">
        <v>1644</v>
      </c>
      <c r="J868" s="169" t="s">
        <v>94</v>
      </c>
    </row>
    <row r="869" spans="1:12">
      <c r="A869" s="154" t="s">
        <v>20</v>
      </c>
      <c r="B869" s="155" t="s">
        <v>8503</v>
      </c>
      <c r="C869" s="133" t="s">
        <v>49</v>
      </c>
      <c r="D869" s="133" t="s">
        <v>8504</v>
      </c>
      <c r="E869" s="133" t="s">
        <v>8505</v>
      </c>
      <c r="F869" s="132" t="s">
        <v>40</v>
      </c>
      <c r="G869" s="156">
        <v>45600.082638888889</v>
      </c>
      <c r="H869" s="156">
        <v>45600.17083333333</v>
      </c>
      <c r="I869" s="168" t="s">
        <v>32</v>
      </c>
      <c r="J869" s="169" t="s">
        <v>94</v>
      </c>
    </row>
    <row r="870" spans="1:12">
      <c r="A870" s="154" t="s">
        <v>20</v>
      </c>
      <c r="B870" s="155" t="s">
        <v>8506</v>
      </c>
      <c r="C870" s="133" t="s">
        <v>21</v>
      </c>
      <c r="D870" s="133" t="s">
        <v>8507</v>
      </c>
      <c r="E870" s="132" t="s">
        <v>8508</v>
      </c>
      <c r="F870" s="132" t="s">
        <v>40</v>
      </c>
      <c r="G870" s="156">
        <v>45600.175694444442</v>
      </c>
      <c r="H870" s="156">
        <v>45600.179861111108</v>
      </c>
      <c r="I870" s="168" t="s">
        <v>8509</v>
      </c>
      <c r="J870" s="169" t="s">
        <v>94</v>
      </c>
    </row>
    <row r="871" spans="1:12">
      <c r="A871" s="154" t="s">
        <v>95</v>
      </c>
      <c r="B871" s="155" t="s">
        <v>8510</v>
      </c>
      <c r="C871" s="133" t="s">
        <v>97</v>
      </c>
      <c r="D871" s="133" t="s">
        <v>8511</v>
      </c>
      <c r="E871" s="133" t="s">
        <v>8512</v>
      </c>
      <c r="F871" s="132" t="s">
        <v>40</v>
      </c>
      <c r="G871" s="156">
        <v>45600.222916666666</v>
      </c>
      <c r="H871" s="156">
        <v>45600.536111111112</v>
      </c>
      <c r="I871" s="168" t="s">
        <v>4747</v>
      </c>
      <c r="J871" s="169" t="s">
        <v>88</v>
      </c>
    </row>
    <row r="872" spans="1:12">
      <c r="A872" s="154" t="s">
        <v>106</v>
      </c>
      <c r="B872" s="155" t="s">
        <v>8513</v>
      </c>
      <c r="C872" s="133" t="s">
        <v>108</v>
      </c>
      <c r="D872" s="133" t="s">
        <v>8514</v>
      </c>
      <c r="E872" s="133" t="s">
        <v>8515</v>
      </c>
      <c r="F872" s="132" t="s">
        <v>40</v>
      </c>
      <c r="G872" s="156">
        <v>45600.479166666664</v>
      </c>
      <c r="H872" s="156">
        <v>45600.620833333334</v>
      </c>
      <c r="I872" s="168" t="s">
        <v>111</v>
      </c>
      <c r="J872" s="169" t="s">
        <v>88</v>
      </c>
    </row>
    <row r="873" spans="1:12">
      <c r="A873" s="154" t="s">
        <v>106</v>
      </c>
      <c r="B873" s="155" t="s">
        <v>8516</v>
      </c>
      <c r="C873" s="133" t="s">
        <v>108</v>
      </c>
      <c r="D873" s="133" t="s">
        <v>8517</v>
      </c>
      <c r="E873" s="133" t="s">
        <v>8518</v>
      </c>
      <c r="F873" s="132" t="s">
        <v>40</v>
      </c>
      <c r="G873" s="156">
        <v>45600.479861111111</v>
      </c>
      <c r="H873" s="156">
        <v>45630.691666666666</v>
      </c>
      <c r="I873" s="168" t="s">
        <v>3932</v>
      </c>
      <c r="J873" s="169" t="s">
        <v>88</v>
      </c>
    </row>
    <row r="874" spans="1:12">
      <c r="A874" s="154" t="s">
        <v>106</v>
      </c>
      <c r="B874" s="155" t="s">
        <v>8519</v>
      </c>
      <c r="C874" s="133" t="s">
        <v>313</v>
      </c>
      <c r="D874" s="133" t="s">
        <v>8520</v>
      </c>
      <c r="E874" s="133" t="s">
        <v>8521</v>
      </c>
      <c r="F874" s="132" t="s">
        <v>40</v>
      </c>
      <c r="G874" s="156">
        <v>45600.481249999997</v>
      </c>
      <c r="H874" s="156">
        <v>45600.525694444441</v>
      </c>
      <c r="I874" s="168" t="s">
        <v>1020</v>
      </c>
      <c r="J874" s="169" t="s">
        <v>88</v>
      </c>
    </row>
    <row r="875" spans="1:12">
      <c r="A875" s="154" t="s">
        <v>95</v>
      </c>
      <c r="B875" s="155" t="s">
        <v>8522</v>
      </c>
      <c r="C875" s="133" t="s">
        <v>118</v>
      </c>
      <c r="D875" s="133" t="s">
        <v>8523</v>
      </c>
      <c r="E875" s="133" t="s">
        <v>8524</v>
      </c>
      <c r="F875" s="132" t="s">
        <v>40</v>
      </c>
      <c r="G875" s="156">
        <v>45600.520833333336</v>
      </c>
      <c r="H875" s="156">
        <v>45600.534722222219</v>
      </c>
      <c r="I875" s="168" t="s">
        <v>1241</v>
      </c>
      <c r="J875" s="169" t="s">
        <v>88</v>
      </c>
    </row>
    <row r="876" spans="1:12">
      <c r="A876" s="154" t="s">
        <v>95</v>
      </c>
      <c r="B876" s="155" t="s">
        <v>8525</v>
      </c>
      <c r="C876" s="133" t="s">
        <v>97</v>
      </c>
      <c r="D876" s="133" t="s">
        <v>8526</v>
      </c>
      <c r="E876" s="133" t="s">
        <v>8527</v>
      </c>
      <c r="F876" s="132" t="s">
        <v>40</v>
      </c>
      <c r="G876" s="156">
        <v>45600.732638888891</v>
      </c>
      <c r="H876" s="156">
        <v>45600.813888888886</v>
      </c>
      <c r="I876" s="168" t="s">
        <v>8528</v>
      </c>
      <c r="J876" s="169" t="s">
        <v>94</v>
      </c>
    </row>
    <row r="877" spans="1:12">
      <c r="A877" s="154" t="s">
        <v>20</v>
      </c>
      <c r="B877" s="155" t="s">
        <v>8529</v>
      </c>
      <c r="C877" s="133" t="s">
        <v>21</v>
      </c>
      <c r="D877" s="133" t="s">
        <v>8530</v>
      </c>
      <c r="E877" s="132" t="s">
        <v>8531</v>
      </c>
      <c r="F877" s="132" t="s">
        <v>40</v>
      </c>
      <c r="G877" s="156">
        <v>45600.811805555553</v>
      </c>
      <c r="H877" s="156">
        <v>45600.853472222225</v>
      </c>
      <c r="I877" s="168" t="s">
        <v>8532</v>
      </c>
      <c r="J877" s="169" t="s">
        <v>94</v>
      </c>
    </row>
    <row r="878" spans="1:12">
      <c r="A878" s="154" t="s">
        <v>20</v>
      </c>
      <c r="B878" s="155" t="s">
        <v>8533</v>
      </c>
      <c r="C878" s="133" t="s">
        <v>21</v>
      </c>
      <c r="D878" s="133" t="s">
        <v>8534</v>
      </c>
      <c r="E878" s="133" t="s">
        <v>8535</v>
      </c>
      <c r="F878" s="132" t="s">
        <v>40</v>
      </c>
      <c r="G878" s="156">
        <v>45600.960416666669</v>
      </c>
      <c r="H878" s="156">
        <v>45630.063888888886</v>
      </c>
      <c r="I878" s="168" t="s">
        <v>8532</v>
      </c>
      <c r="J878" s="169" t="s">
        <v>94</v>
      </c>
    </row>
    <row r="879" spans="1:12">
      <c r="A879" s="154" t="s">
        <v>20</v>
      </c>
      <c r="B879" s="155" t="s">
        <v>8536</v>
      </c>
      <c r="C879" s="133" t="s">
        <v>49</v>
      </c>
      <c r="D879" s="133" t="s">
        <v>8537</v>
      </c>
      <c r="E879" s="133" t="s">
        <v>8538</v>
      </c>
      <c r="F879" s="132" t="s">
        <v>40</v>
      </c>
      <c r="G879" s="156">
        <v>45600.988194444442</v>
      </c>
      <c r="H879" s="156">
        <v>45630.064583333333</v>
      </c>
      <c r="I879" s="168" t="s">
        <v>32</v>
      </c>
      <c r="J879" s="169" t="s">
        <v>94</v>
      </c>
    </row>
    <row r="880" spans="1:12">
      <c r="A880" s="154" t="s">
        <v>106</v>
      </c>
      <c r="B880" s="155" t="s">
        <v>8539</v>
      </c>
      <c r="C880" s="133" t="s">
        <v>108</v>
      </c>
      <c r="D880" s="133" t="s">
        <v>8540</v>
      </c>
      <c r="E880" s="132" t="s">
        <v>8541</v>
      </c>
      <c r="F880" s="132" t="s">
        <v>40</v>
      </c>
      <c r="G880" s="156">
        <v>45630.060416666667</v>
      </c>
      <c r="H880" s="156">
        <v>45630.100694444445</v>
      </c>
      <c r="I880" s="168" t="s">
        <v>1373</v>
      </c>
      <c r="J880" s="169" t="s">
        <v>94</v>
      </c>
    </row>
    <row r="881" spans="1:11">
      <c r="A881" s="154" t="s">
        <v>106</v>
      </c>
      <c r="B881" s="155" t="s">
        <v>8542</v>
      </c>
      <c r="C881" s="133"/>
      <c r="D881" s="133" t="s">
        <v>8543</v>
      </c>
      <c r="E881" s="133" t="s">
        <v>8544</v>
      </c>
      <c r="F881" s="132" t="s">
        <v>40</v>
      </c>
      <c r="G881" s="156">
        <v>45630.28125</v>
      </c>
      <c r="H881" s="156" t="s">
        <v>8545</v>
      </c>
      <c r="I881" s="168" t="s">
        <v>701</v>
      </c>
      <c r="J881" s="169" t="s">
        <v>88</v>
      </c>
    </row>
    <row r="882" spans="1:11">
      <c r="A882" s="154" t="s">
        <v>95</v>
      </c>
      <c r="B882" s="155" t="s">
        <v>8546</v>
      </c>
      <c r="C882" s="133" t="s">
        <v>97</v>
      </c>
      <c r="D882" s="133" t="s">
        <v>8547</v>
      </c>
      <c r="E882" s="133" t="s">
        <v>8548</v>
      </c>
      <c r="F882" s="132" t="s">
        <v>40</v>
      </c>
      <c r="G882" s="156">
        <v>45630.272916666669</v>
      </c>
      <c r="H882" s="156">
        <v>45630.306250000001</v>
      </c>
      <c r="I882" s="168" t="s">
        <v>991</v>
      </c>
      <c r="J882" s="169" t="s">
        <v>88</v>
      </c>
    </row>
    <row r="883" spans="1:11">
      <c r="A883" s="154" t="s">
        <v>95</v>
      </c>
      <c r="B883" s="155" t="s">
        <v>8549</v>
      </c>
      <c r="C883" s="133" t="s">
        <v>97</v>
      </c>
      <c r="D883" s="133" t="s">
        <v>8550</v>
      </c>
      <c r="E883" s="133" t="s">
        <v>8551</v>
      </c>
      <c r="F883" s="132" t="s">
        <v>40</v>
      </c>
      <c r="G883" s="156">
        <v>45630.318749999999</v>
      </c>
      <c r="H883" s="156">
        <v>45630.356249999997</v>
      </c>
      <c r="I883" s="168" t="s">
        <v>991</v>
      </c>
      <c r="J883" s="169" t="s">
        <v>88</v>
      </c>
    </row>
    <row r="884" spans="1:11" hidden="1">
      <c r="A884" s="154" t="s">
        <v>95</v>
      </c>
      <c r="B884" s="155" t="s">
        <v>8552</v>
      </c>
      <c r="C884" s="133" t="s">
        <v>97</v>
      </c>
      <c r="D884" s="133" t="s">
        <v>8553</v>
      </c>
      <c r="E884" s="133" t="s">
        <v>8554</v>
      </c>
      <c r="F884" s="132" t="s">
        <v>308</v>
      </c>
      <c r="G884" s="156">
        <v>45630.606249999997</v>
      </c>
      <c r="I884" s="168" t="s">
        <v>6855</v>
      </c>
      <c r="J884" s="169" t="s">
        <v>88</v>
      </c>
    </row>
    <row r="885" spans="1:11">
      <c r="A885" s="154" t="s">
        <v>106</v>
      </c>
      <c r="B885" s="155" t="s">
        <v>8555</v>
      </c>
      <c r="C885" s="133" t="s">
        <v>108</v>
      </c>
      <c r="D885" s="133" t="s">
        <v>8556</v>
      </c>
      <c r="E885" s="133" t="s">
        <v>8557</v>
      </c>
      <c r="F885" s="132" t="s">
        <v>40</v>
      </c>
      <c r="G885" s="156">
        <v>45630.681944444441</v>
      </c>
      <c r="H885" s="156">
        <v>45630.692361111112</v>
      </c>
      <c r="I885" s="168" t="s">
        <v>396</v>
      </c>
      <c r="J885" s="169" t="s">
        <v>88</v>
      </c>
    </row>
    <row r="886" spans="1:11">
      <c r="A886" s="154" t="s">
        <v>20</v>
      </c>
      <c r="B886" s="155" t="s">
        <v>8558</v>
      </c>
      <c r="C886" s="133" t="s">
        <v>21</v>
      </c>
      <c r="D886" s="133" t="s">
        <v>8559</v>
      </c>
      <c r="E886" s="133" t="s">
        <v>8560</v>
      </c>
      <c r="F886" s="132" t="s">
        <v>40</v>
      </c>
      <c r="G886" s="156" t="s">
        <v>8561</v>
      </c>
      <c r="H886" s="156" t="s">
        <v>8562</v>
      </c>
      <c r="I886" s="168" t="s">
        <v>4359</v>
      </c>
      <c r="J886" s="169" t="s">
        <v>88</v>
      </c>
    </row>
    <row r="887" spans="1:11">
      <c r="A887" s="154" t="s">
        <v>20</v>
      </c>
      <c r="B887" s="155" t="s">
        <v>8563</v>
      </c>
      <c r="C887" s="133" t="s">
        <v>21</v>
      </c>
      <c r="D887" s="133" t="s">
        <v>8564</v>
      </c>
      <c r="E887" s="133" t="s">
        <v>8565</v>
      </c>
      <c r="F887" s="132" t="s">
        <v>40</v>
      </c>
      <c r="G887" s="156" t="s">
        <v>8566</v>
      </c>
      <c r="H887" s="156" t="s">
        <v>8562</v>
      </c>
      <c r="I887" s="168" t="s">
        <v>4359</v>
      </c>
      <c r="J887" s="169" t="s">
        <v>88</v>
      </c>
    </row>
    <row r="888" spans="1:11" hidden="1">
      <c r="A888" s="154" t="s">
        <v>20</v>
      </c>
      <c r="B888" s="155" t="s">
        <v>8567</v>
      </c>
      <c r="C888" s="133" t="s">
        <v>21</v>
      </c>
      <c r="D888" s="133" t="s">
        <v>8568</v>
      </c>
      <c r="E888" s="133" t="s">
        <v>8569</v>
      </c>
      <c r="F888" s="132" t="s">
        <v>308</v>
      </c>
      <c r="G888" s="156" t="s">
        <v>8570</v>
      </c>
      <c r="I888" s="168" t="s">
        <v>8571</v>
      </c>
      <c r="J888" s="169" t="s">
        <v>94</v>
      </c>
      <c r="K888" s="169" t="s">
        <v>88</v>
      </c>
    </row>
    <row r="889" spans="1:11">
      <c r="A889" s="154" t="s">
        <v>20</v>
      </c>
      <c r="B889" s="155" t="s">
        <v>8572</v>
      </c>
      <c r="C889" s="133" t="s">
        <v>49</v>
      </c>
      <c r="D889" s="133" t="s">
        <v>8573</v>
      </c>
      <c r="E889" s="133" t="s">
        <v>8574</v>
      </c>
      <c r="F889" s="132" t="s">
        <v>40</v>
      </c>
      <c r="G889" s="156" t="s">
        <v>8575</v>
      </c>
      <c r="H889" s="156" t="s">
        <v>8576</v>
      </c>
      <c r="I889" s="168" t="s">
        <v>32</v>
      </c>
      <c r="J889" s="169" t="s">
        <v>94</v>
      </c>
    </row>
    <row r="890" spans="1:11">
      <c r="A890" s="154" t="s">
        <v>95</v>
      </c>
      <c r="B890" s="155" t="s">
        <v>8577</v>
      </c>
      <c r="C890" s="133" t="s">
        <v>6047</v>
      </c>
      <c r="D890" s="133" t="s">
        <v>8578</v>
      </c>
      <c r="E890" s="133" t="s">
        <v>8579</v>
      </c>
      <c r="F890" s="132" t="s">
        <v>40</v>
      </c>
      <c r="G890" s="156" t="s">
        <v>8580</v>
      </c>
      <c r="H890" s="156" t="s">
        <v>8581</v>
      </c>
      <c r="I890" s="168" t="s">
        <v>7515</v>
      </c>
      <c r="J890" s="169" t="s">
        <v>94</v>
      </c>
    </row>
    <row r="891" spans="1:11">
      <c r="A891" s="154" t="s">
        <v>20</v>
      </c>
      <c r="B891" s="155" t="s">
        <v>8582</v>
      </c>
      <c r="C891" s="133" t="s">
        <v>21</v>
      </c>
      <c r="D891" s="133" t="s">
        <v>2127</v>
      </c>
      <c r="E891" s="132" t="s">
        <v>8583</v>
      </c>
      <c r="F891" s="132" t="s">
        <v>40</v>
      </c>
      <c r="G891" s="156" t="s">
        <v>8584</v>
      </c>
      <c r="H891" s="156" t="s">
        <v>8585</v>
      </c>
      <c r="I891" s="168" t="s">
        <v>2129</v>
      </c>
      <c r="J891" s="169" t="s">
        <v>88</v>
      </c>
    </row>
    <row r="892" spans="1:11">
      <c r="A892" s="154" t="s">
        <v>20</v>
      </c>
      <c r="B892" s="155" t="s">
        <v>8586</v>
      </c>
      <c r="C892" s="133" t="s">
        <v>21</v>
      </c>
      <c r="D892" s="133" t="s">
        <v>8587</v>
      </c>
      <c r="E892" s="133" t="s">
        <v>8588</v>
      </c>
      <c r="F892" s="132" t="s">
        <v>40</v>
      </c>
      <c r="G892" s="156" t="s">
        <v>8589</v>
      </c>
      <c r="H892" s="156" t="s">
        <v>8590</v>
      </c>
      <c r="I892" s="168" t="s">
        <v>2129</v>
      </c>
      <c r="J892" s="169" t="s">
        <v>88</v>
      </c>
      <c r="K892" s="169" t="s">
        <v>265</v>
      </c>
    </row>
    <row r="893" spans="1:11">
      <c r="A893" s="154" t="s">
        <v>95</v>
      </c>
      <c r="B893" s="155" t="s">
        <v>8591</v>
      </c>
      <c r="C893" s="133" t="s">
        <v>97</v>
      </c>
      <c r="D893" s="133" t="s">
        <v>8592</v>
      </c>
      <c r="E893" s="133" t="s">
        <v>8593</v>
      </c>
      <c r="F893" s="132" t="s">
        <v>40</v>
      </c>
      <c r="G893" s="156" t="s">
        <v>8594</v>
      </c>
      <c r="H893" s="156" t="s">
        <v>8595</v>
      </c>
      <c r="I893" s="168" t="s">
        <v>325</v>
      </c>
      <c r="J893" s="169" t="s">
        <v>88</v>
      </c>
    </row>
    <row r="894" spans="1:11">
      <c r="A894" s="154" t="s">
        <v>20</v>
      </c>
      <c r="B894" s="155" t="s">
        <v>8596</v>
      </c>
      <c r="C894" s="133" t="s">
        <v>21</v>
      </c>
      <c r="D894" s="133" t="s">
        <v>8597</v>
      </c>
      <c r="E894" s="133" t="s">
        <v>8598</v>
      </c>
      <c r="F894" s="132" t="s">
        <v>40</v>
      </c>
      <c r="G894" s="156" t="s">
        <v>8599</v>
      </c>
      <c r="H894" s="156" t="s">
        <v>8600</v>
      </c>
      <c r="I894" s="168" t="s">
        <v>2129</v>
      </c>
      <c r="J894" s="169" t="s">
        <v>88</v>
      </c>
    </row>
    <row r="895" spans="1:11">
      <c r="A895" s="154" t="s">
        <v>95</v>
      </c>
      <c r="B895" s="155" t="s">
        <v>8601</v>
      </c>
      <c r="C895" s="133" t="s">
        <v>1763</v>
      </c>
      <c r="D895" s="133" t="s">
        <v>8602</v>
      </c>
      <c r="E895" s="133" t="s">
        <v>8603</v>
      </c>
      <c r="F895" s="132" t="s">
        <v>40</v>
      </c>
      <c r="G895" s="156" t="s">
        <v>8604</v>
      </c>
      <c r="H895" s="156" t="s">
        <v>8605</v>
      </c>
      <c r="I895" s="168" t="s">
        <v>2585</v>
      </c>
      <c r="J895" s="169" t="s">
        <v>88</v>
      </c>
      <c r="K895" s="169" t="s">
        <v>94</v>
      </c>
    </row>
    <row r="896" spans="1:11">
      <c r="A896" s="154" t="s">
        <v>106</v>
      </c>
      <c r="B896" s="155" t="s">
        <v>8606</v>
      </c>
      <c r="C896" s="133" t="s">
        <v>108</v>
      </c>
      <c r="D896" s="133" t="s">
        <v>8607</v>
      </c>
      <c r="E896" s="133" t="s">
        <v>8608</v>
      </c>
      <c r="F896" s="132" t="s">
        <v>40</v>
      </c>
      <c r="G896" s="156" t="s">
        <v>8609</v>
      </c>
      <c r="H896" s="156" t="s">
        <v>8610</v>
      </c>
      <c r="I896" s="168" t="s">
        <v>1373</v>
      </c>
      <c r="J896" s="169" t="s">
        <v>94</v>
      </c>
    </row>
    <row r="897" spans="1:12">
      <c r="A897" s="154" t="s">
        <v>106</v>
      </c>
      <c r="B897" s="155" t="s">
        <v>8611</v>
      </c>
      <c r="C897" s="133" t="s">
        <v>333</v>
      </c>
      <c r="D897" s="133" t="s">
        <v>8612</v>
      </c>
      <c r="E897" s="132" t="s">
        <v>8613</v>
      </c>
      <c r="F897" s="132" t="s">
        <v>40</v>
      </c>
      <c r="G897" s="156" t="s">
        <v>8614</v>
      </c>
      <c r="H897" s="156" t="s">
        <v>8615</v>
      </c>
      <c r="I897" s="168" t="s">
        <v>6640</v>
      </c>
      <c r="J897" s="169" t="s">
        <v>88</v>
      </c>
    </row>
    <row r="898" spans="1:12">
      <c r="A898" s="154" t="s">
        <v>106</v>
      </c>
      <c r="B898" s="155" t="s">
        <v>8616</v>
      </c>
      <c r="C898" s="133" t="s">
        <v>78</v>
      </c>
      <c r="D898" s="133" t="s">
        <v>8617</v>
      </c>
      <c r="E898" s="132" t="s">
        <v>7160</v>
      </c>
      <c r="F898" s="132" t="s">
        <v>40</v>
      </c>
      <c r="G898" s="156" t="s">
        <v>8618</v>
      </c>
      <c r="H898" s="156" t="s">
        <v>8619</v>
      </c>
      <c r="I898" s="168" t="s">
        <v>258</v>
      </c>
      <c r="J898" s="169" t="s">
        <v>88</v>
      </c>
    </row>
    <row r="899" spans="1:12">
      <c r="A899" s="154" t="s">
        <v>95</v>
      </c>
      <c r="B899" s="155" t="s">
        <v>8620</v>
      </c>
      <c r="C899" s="133" t="s">
        <v>97</v>
      </c>
      <c r="D899" s="133" t="s">
        <v>8621</v>
      </c>
      <c r="E899" s="133" t="s">
        <v>8622</v>
      </c>
      <c r="F899" s="132" t="s">
        <v>40</v>
      </c>
      <c r="G899" s="156" t="s">
        <v>8623</v>
      </c>
      <c r="H899" s="156" t="s">
        <v>8624</v>
      </c>
      <c r="I899" s="168" t="s">
        <v>6855</v>
      </c>
      <c r="J899" s="169" t="s">
        <v>88</v>
      </c>
    </row>
    <row r="900" spans="1:12">
      <c r="A900" s="154" t="s">
        <v>106</v>
      </c>
      <c r="B900" s="155" t="s">
        <v>8625</v>
      </c>
      <c r="C900" s="133" t="s">
        <v>333</v>
      </c>
      <c r="D900" s="133" t="s">
        <v>8626</v>
      </c>
      <c r="E900" s="133" t="s">
        <v>8627</v>
      </c>
      <c r="F900" s="132" t="s">
        <v>40</v>
      </c>
      <c r="G900" s="156" t="s">
        <v>8628</v>
      </c>
      <c r="H900" s="156" t="s">
        <v>8629</v>
      </c>
      <c r="I900" s="168" t="s">
        <v>2595</v>
      </c>
      <c r="J900" s="169" t="s">
        <v>88</v>
      </c>
      <c r="K900" s="169" t="s">
        <v>132</v>
      </c>
    </row>
    <row r="901" spans="1:12">
      <c r="A901" s="154" t="s">
        <v>20</v>
      </c>
      <c r="B901" s="155" t="s">
        <v>8630</v>
      </c>
      <c r="C901" s="133" t="s">
        <v>21</v>
      </c>
      <c r="D901" s="133" t="s">
        <v>8631</v>
      </c>
      <c r="E901" s="133" t="s">
        <v>8632</v>
      </c>
      <c r="F901" s="132" t="s">
        <v>40</v>
      </c>
      <c r="G901" s="156" t="s">
        <v>8633</v>
      </c>
      <c r="H901" s="156" t="s">
        <v>8634</v>
      </c>
      <c r="I901" s="168" t="s">
        <v>1644</v>
      </c>
      <c r="J901" s="169" t="s">
        <v>94</v>
      </c>
    </row>
    <row r="902" spans="1:12">
      <c r="A902" s="154" t="s">
        <v>20</v>
      </c>
      <c r="B902" s="155" t="s">
        <v>8635</v>
      </c>
      <c r="C902" s="133" t="s">
        <v>21</v>
      </c>
      <c r="D902" s="133" t="s">
        <v>7629</v>
      </c>
      <c r="E902" s="133" t="s">
        <v>8632</v>
      </c>
      <c r="F902" s="132" t="s">
        <v>40</v>
      </c>
      <c r="G902" s="156" t="s">
        <v>8636</v>
      </c>
      <c r="H902" s="156" t="s">
        <v>8634</v>
      </c>
      <c r="I902" s="168" t="s">
        <v>1644</v>
      </c>
      <c r="J902" s="169" t="s">
        <v>94</v>
      </c>
    </row>
    <row r="903" spans="1:12">
      <c r="A903" s="154" t="s">
        <v>20</v>
      </c>
      <c r="B903" s="155" t="s">
        <v>8637</v>
      </c>
      <c r="C903" s="133" t="s">
        <v>21</v>
      </c>
      <c r="D903" s="133" t="s">
        <v>7564</v>
      </c>
      <c r="E903" s="133" t="s">
        <v>8632</v>
      </c>
      <c r="F903" s="132" t="s">
        <v>40</v>
      </c>
      <c r="G903" s="156" t="s">
        <v>8636</v>
      </c>
      <c r="H903" s="156" t="s">
        <v>8634</v>
      </c>
      <c r="I903" s="168" t="s">
        <v>1644</v>
      </c>
      <c r="J903" s="169" t="s">
        <v>94</v>
      </c>
    </row>
    <row r="904" spans="1:12">
      <c r="A904" s="154" t="s">
        <v>95</v>
      </c>
      <c r="B904" s="155" t="s">
        <v>8638</v>
      </c>
      <c r="C904" s="133" t="s">
        <v>6047</v>
      </c>
      <c r="D904" s="133" t="s">
        <v>8639</v>
      </c>
      <c r="E904" s="133" t="s">
        <v>8640</v>
      </c>
      <c r="F904" s="132" t="s">
        <v>40</v>
      </c>
      <c r="G904" s="156" t="s">
        <v>8641</v>
      </c>
      <c r="H904" s="156" t="s">
        <v>8642</v>
      </c>
      <c r="I904" s="168" t="s">
        <v>8643</v>
      </c>
      <c r="J904" s="169" t="s">
        <v>94</v>
      </c>
    </row>
    <row r="905" spans="1:12">
      <c r="A905" s="154" t="s">
        <v>20</v>
      </c>
      <c r="B905" s="155" t="s">
        <v>8644</v>
      </c>
      <c r="C905" s="133" t="s">
        <v>21</v>
      </c>
      <c r="D905" s="133" t="s">
        <v>8645</v>
      </c>
      <c r="E905" s="133" t="s">
        <v>8646</v>
      </c>
      <c r="F905" s="132" t="s">
        <v>40</v>
      </c>
      <c r="G905" s="156" t="s">
        <v>8647</v>
      </c>
      <c r="H905" s="156" t="s">
        <v>8648</v>
      </c>
      <c r="I905" s="168" t="s">
        <v>1644</v>
      </c>
      <c r="J905" s="169" t="s">
        <v>94</v>
      </c>
    </row>
    <row r="906" spans="1:12">
      <c r="A906" s="154" t="s">
        <v>106</v>
      </c>
      <c r="B906" s="155" t="s">
        <v>8649</v>
      </c>
      <c r="C906" s="133" t="s">
        <v>333</v>
      </c>
      <c r="D906" s="133" t="s">
        <v>8650</v>
      </c>
      <c r="E906" s="133" t="s">
        <v>8651</v>
      </c>
      <c r="F906" s="132" t="s">
        <v>40</v>
      </c>
      <c r="G906" s="156" t="s">
        <v>8652</v>
      </c>
      <c r="H906" s="156" t="s">
        <v>8653</v>
      </c>
      <c r="I906" s="168" t="s">
        <v>346</v>
      </c>
      <c r="J906" s="169" t="s">
        <v>88</v>
      </c>
    </row>
    <row r="907" spans="1:12" hidden="1">
      <c r="A907" s="154" t="s">
        <v>106</v>
      </c>
      <c r="B907" s="155" t="s">
        <v>8654</v>
      </c>
      <c r="C907" s="133" t="s">
        <v>333</v>
      </c>
      <c r="D907" s="133" t="s">
        <v>8655</v>
      </c>
      <c r="E907" s="133" t="s">
        <v>8656</v>
      </c>
      <c r="F907" s="132" t="s">
        <v>308</v>
      </c>
      <c r="G907" s="156" t="s">
        <v>8657</v>
      </c>
      <c r="I907" s="168" t="s">
        <v>346</v>
      </c>
      <c r="J907" s="169" t="s">
        <v>94</v>
      </c>
      <c r="K907" s="169" t="s">
        <v>61</v>
      </c>
    </row>
    <row r="908" spans="1:12" hidden="1">
      <c r="A908" s="154" t="s">
        <v>95</v>
      </c>
      <c r="B908" s="159" t="s">
        <v>8658</v>
      </c>
      <c r="C908" s="133" t="s">
        <v>97</v>
      </c>
      <c r="D908" s="133" t="s">
        <v>8659</v>
      </c>
      <c r="E908" s="132" t="s">
        <v>8660</v>
      </c>
      <c r="F908" s="132" t="s">
        <v>130</v>
      </c>
      <c r="G908" s="156" t="s">
        <v>8661</v>
      </c>
      <c r="H908" s="156">
        <v>45399</v>
      </c>
      <c r="I908" s="168" t="s">
        <v>633</v>
      </c>
      <c r="J908" s="169" t="s">
        <v>94</v>
      </c>
      <c r="K908" s="169" t="s">
        <v>6855</v>
      </c>
      <c r="L908" s="185">
        <v>45399</v>
      </c>
    </row>
    <row r="909" spans="1:12">
      <c r="A909" s="154" t="s">
        <v>20</v>
      </c>
      <c r="B909" s="155" t="s">
        <v>8662</v>
      </c>
      <c r="C909" s="133" t="s">
        <v>21</v>
      </c>
      <c r="D909" s="133" t="s">
        <v>8663</v>
      </c>
      <c r="E909" s="132" t="s">
        <v>8664</v>
      </c>
      <c r="F909" s="132" t="s">
        <v>40</v>
      </c>
      <c r="G909" s="156" t="s">
        <v>8665</v>
      </c>
      <c r="H909" s="156" t="s">
        <v>8666</v>
      </c>
      <c r="I909" s="168" t="s">
        <v>1644</v>
      </c>
      <c r="J909" s="169" t="s">
        <v>94</v>
      </c>
      <c r="K909" s="169" t="s">
        <v>61</v>
      </c>
    </row>
    <row r="910" spans="1:12">
      <c r="A910" s="154" t="s">
        <v>20</v>
      </c>
      <c r="B910" s="155" t="s">
        <v>8667</v>
      </c>
      <c r="C910" s="133" t="s">
        <v>13</v>
      </c>
      <c r="D910" s="133" t="s">
        <v>8668</v>
      </c>
      <c r="E910" s="133" t="s">
        <v>8669</v>
      </c>
      <c r="F910" s="132" t="s">
        <v>40</v>
      </c>
      <c r="G910" s="156" t="s">
        <v>8670</v>
      </c>
      <c r="H910" s="156" t="s">
        <v>8671</v>
      </c>
      <c r="I910" s="168" t="s">
        <v>74</v>
      </c>
      <c r="J910" s="169" t="s">
        <v>72</v>
      </c>
    </row>
    <row r="911" spans="1:12">
      <c r="A911" s="154" t="s">
        <v>20</v>
      </c>
      <c r="B911" s="155" t="s">
        <v>8672</v>
      </c>
      <c r="C911" s="133" t="s">
        <v>21</v>
      </c>
      <c r="D911" s="133" t="s">
        <v>8673</v>
      </c>
      <c r="E911" s="133" t="s">
        <v>7114</v>
      </c>
      <c r="F911" s="132" t="s">
        <v>40</v>
      </c>
      <c r="G911" s="156" t="s">
        <v>8674</v>
      </c>
      <c r="H911" s="156" t="s">
        <v>8675</v>
      </c>
      <c r="I911" s="168" t="s">
        <v>52</v>
      </c>
      <c r="J911" s="169" t="s">
        <v>72</v>
      </c>
    </row>
    <row r="912" spans="1:12">
      <c r="A912" s="154" t="s">
        <v>20</v>
      </c>
      <c r="B912" s="155" t="s">
        <v>8676</v>
      </c>
      <c r="C912" s="133" t="s">
        <v>21</v>
      </c>
      <c r="D912" s="133" t="s">
        <v>8677</v>
      </c>
      <c r="E912" s="133" t="s">
        <v>8678</v>
      </c>
      <c r="F912" s="132" t="s">
        <v>40</v>
      </c>
      <c r="G912" s="156" t="s">
        <v>8679</v>
      </c>
      <c r="H912" s="156" t="s">
        <v>8680</v>
      </c>
      <c r="I912" s="168" t="s">
        <v>32</v>
      </c>
      <c r="J912" s="169" t="s">
        <v>72</v>
      </c>
    </row>
    <row r="913" spans="1:12">
      <c r="A913" s="154" t="s">
        <v>95</v>
      </c>
      <c r="B913" s="155" t="s">
        <v>8681</v>
      </c>
      <c r="C913" s="133" t="s">
        <v>97</v>
      </c>
      <c r="D913" s="133" t="s">
        <v>1120</v>
      </c>
      <c r="E913" s="133" t="s">
        <v>8682</v>
      </c>
      <c r="F913" s="132" t="s">
        <v>40</v>
      </c>
      <c r="G913" s="156" t="s">
        <v>8683</v>
      </c>
      <c r="H913" s="156" t="s">
        <v>8684</v>
      </c>
      <c r="I913" s="168" t="s">
        <v>6855</v>
      </c>
      <c r="J913" s="169" t="s">
        <v>72</v>
      </c>
    </row>
    <row r="914" spans="1:12">
      <c r="A914" s="154" t="s">
        <v>20</v>
      </c>
      <c r="B914" s="155" t="s">
        <v>8685</v>
      </c>
      <c r="C914" s="133" t="s">
        <v>21</v>
      </c>
      <c r="D914" s="132" t="s">
        <v>8686</v>
      </c>
      <c r="E914" s="132" t="s">
        <v>8687</v>
      </c>
      <c r="F914" s="132" t="s">
        <v>40</v>
      </c>
      <c r="G914" s="156" t="s">
        <v>8688</v>
      </c>
      <c r="H914" s="156" t="s">
        <v>8689</v>
      </c>
      <c r="I914" s="168" t="s">
        <v>8690</v>
      </c>
      <c r="J914" s="169" t="s">
        <v>61</v>
      </c>
    </row>
    <row r="915" spans="1:12" hidden="1">
      <c r="A915" s="154" t="s">
        <v>20</v>
      </c>
      <c r="B915" s="155" t="s">
        <v>8691</v>
      </c>
      <c r="C915" s="133" t="s">
        <v>49</v>
      </c>
      <c r="D915" s="132" t="s">
        <v>8692</v>
      </c>
      <c r="E915" s="132" t="s">
        <v>8693</v>
      </c>
      <c r="F915" s="132" t="s">
        <v>308</v>
      </c>
      <c r="G915" s="156" t="s">
        <v>8694</v>
      </c>
      <c r="H915" s="156" t="s">
        <v>8695</v>
      </c>
      <c r="I915" s="168" t="s">
        <v>161</v>
      </c>
      <c r="J915" s="169" t="s">
        <v>61</v>
      </c>
    </row>
    <row r="916" spans="1:12">
      <c r="A916" s="154" t="s">
        <v>95</v>
      </c>
      <c r="B916" s="155" t="s">
        <v>8696</v>
      </c>
      <c r="C916" s="133" t="s">
        <v>28</v>
      </c>
      <c r="D916" s="132" t="s">
        <v>8697</v>
      </c>
      <c r="E916" s="132" t="s">
        <v>8698</v>
      </c>
      <c r="F916" s="132" t="s">
        <v>40</v>
      </c>
      <c r="G916" s="156" t="s">
        <v>8699</v>
      </c>
      <c r="H916" s="156" t="s">
        <v>8700</v>
      </c>
      <c r="I916" s="168" t="s">
        <v>8701</v>
      </c>
      <c r="J916" s="169" t="s">
        <v>61</v>
      </c>
    </row>
    <row r="917" spans="1:12" ht="29">
      <c r="A917" s="154" t="s">
        <v>106</v>
      </c>
      <c r="B917" s="155" t="s">
        <v>8702</v>
      </c>
      <c r="C917" s="133" t="s">
        <v>78</v>
      </c>
      <c r="D917" s="132" t="s">
        <v>8703</v>
      </c>
      <c r="E917" s="135" t="s">
        <v>8704</v>
      </c>
      <c r="F917" s="132" t="s">
        <v>40</v>
      </c>
      <c r="G917" s="156" t="s">
        <v>8705</v>
      </c>
      <c r="H917" s="156" t="s">
        <v>8706</v>
      </c>
      <c r="I917" s="168" t="s">
        <v>5082</v>
      </c>
      <c r="J917" s="169" t="s">
        <v>61</v>
      </c>
      <c r="K917" s="169" t="s">
        <v>94</v>
      </c>
      <c r="L917" s="185">
        <v>45406</v>
      </c>
    </row>
    <row r="918" spans="1:12">
      <c r="A918" s="154" t="s">
        <v>20</v>
      </c>
      <c r="B918" s="155" t="s">
        <v>8707</v>
      </c>
      <c r="C918" s="133" t="s">
        <v>21</v>
      </c>
      <c r="D918" s="132" t="s">
        <v>8708</v>
      </c>
      <c r="E918" s="132" t="s">
        <v>8709</v>
      </c>
      <c r="F918" s="132" t="s">
        <v>40</v>
      </c>
      <c r="G918" s="156" t="s">
        <v>8710</v>
      </c>
      <c r="H918" s="156" t="s">
        <v>8700</v>
      </c>
      <c r="I918" s="168" t="s">
        <v>8690</v>
      </c>
      <c r="J918" s="169" t="s">
        <v>61</v>
      </c>
    </row>
    <row r="919" spans="1:12">
      <c r="A919" s="154" t="s">
        <v>20</v>
      </c>
      <c r="B919" s="155" t="s">
        <v>8711</v>
      </c>
      <c r="C919" s="133" t="s">
        <v>21</v>
      </c>
      <c r="D919" s="133" t="s">
        <v>8677</v>
      </c>
      <c r="E919" s="133" t="s">
        <v>8712</v>
      </c>
      <c r="F919" s="132" t="s">
        <v>40</v>
      </c>
      <c r="G919" s="156" t="s">
        <v>8713</v>
      </c>
      <c r="H919" s="156" t="s">
        <v>8714</v>
      </c>
      <c r="I919" s="168" t="s">
        <v>32</v>
      </c>
      <c r="J919" s="169" t="s">
        <v>72</v>
      </c>
    </row>
    <row r="920" spans="1:12">
      <c r="A920" s="154" t="s">
        <v>20</v>
      </c>
      <c r="B920" s="155" t="s">
        <v>8715</v>
      </c>
      <c r="C920" s="133" t="s">
        <v>21</v>
      </c>
      <c r="D920" s="133" t="s">
        <v>8716</v>
      </c>
      <c r="E920" s="133" t="s">
        <v>8717</v>
      </c>
      <c r="F920" s="132" t="s">
        <v>40</v>
      </c>
      <c r="G920" s="156" t="s">
        <v>8718</v>
      </c>
      <c r="H920" s="156" t="s">
        <v>8719</v>
      </c>
      <c r="I920" s="168" t="s">
        <v>52</v>
      </c>
      <c r="J920" s="169" t="s">
        <v>72</v>
      </c>
    </row>
    <row r="921" spans="1:12">
      <c r="A921" s="154" t="s">
        <v>106</v>
      </c>
      <c r="B921" s="155" t="s">
        <v>8720</v>
      </c>
      <c r="C921" s="133" t="s">
        <v>108</v>
      </c>
      <c r="D921" s="133" t="s">
        <v>1428</v>
      </c>
      <c r="E921" s="133" t="s">
        <v>8721</v>
      </c>
      <c r="F921" s="132" t="s">
        <v>40</v>
      </c>
      <c r="G921" s="156" t="s">
        <v>8722</v>
      </c>
      <c r="H921" s="156" t="s">
        <v>8723</v>
      </c>
      <c r="I921" s="168" t="s">
        <v>32</v>
      </c>
      <c r="J921" s="169" t="s">
        <v>72</v>
      </c>
    </row>
    <row r="922" spans="1:12">
      <c r="A922" s="154" t="s">
        <v>106</v>
      </c>
      <c r="B922" s="155" t="s">
        <v>8724</v>
      </c>
      <c r="C922" s="133" t="s">
        <v>37</v>
      </c>
      <c r="D922" s="133" t="s">
        <v>1391</v>
      </c>
      <c r="E922" s="133" t="s">
        <v>8725</v>
      </c>
      <c r="F922" s="132" t="s">
        <v>40</v>
      </c>
      <c r="G922" s="156" t="s">
        <v>8722</v>
      </c>
      <c r="H922" s="156" t="s">
        <v>8726</v>
      </c>
      <c r="I922" s="168" t="s">
        <v>32</v>
      </c>
      <c r="J922" s="169" t="s">
        <v>72</v>
      </c>
    </row>
    <row r="923" spans="1:12">
      <c r="A923" s="154" t="s">
        <v>20</v>
      </c>
      <c r="B923" s="155" t="s">
        <v>8727</v>
      </c>
      <c r="C923" s="133" t="s">
        <v>13</v>
      </c>
      <c r="D923" s="133" t="s">
        <v>8728</v>
      </c>
      <c r="E923" s="133"/>
      <c r="F923" s="132" t="s">
        <v>40</v>
      </c>
      <c r="I923" s="168" t="s">
        <v>17</v>
      </c>
      <c r="J923" s="169" t="s">
        <v>72</v>
      </c>
      <c r="K923" s="169" t="s">
        <v>61</v>
      </c>
      <c r="L923" s="185">
        <v>45401</v>
      </c>
    </row>
    <row r="924" spans="1:12">
      <c r="A924" s="154" t="s">
        <v>106</v>
      </c>
      <c r="B924" s="155" t="s">
        <v>8729</v>
      </c>
      <c r="C924" s="133" t="s">
        <v>108</v>
      </c>
      <c r="D924" s="133" t="s">
        <v>2211</v>
      </c>
      <c r="E924" s="133" t="s">
        <v>8730</v>
      </c>
      <c r="F924" s="132" t="s">
        <v>40</v>
      </c>
      <c r="G924" s="156" t="s">
        <v>8731</v>
      </c>
      <c r="H924" s="156" t="s">
        <v>8732</v>
      </c>
      <c r="I924" s="168" t="s">
        <v>32</v>
      </c>
      <c r="J924" s="169" t="s">
        <v>72</v>
      </c>
    </row>
    <row r="925" spans="1:12">
      <c r="A925" s="154" t="s">
        <v>95</v>
      </c>
      <c r="B925" s="155" t="s">
        <v>8733</v>
      </c>
      <c r="C925" s="133" t="s">
        <v>113</v>
      </c>
      <c r="D925" s="133" t="s">
        <v>8734</v>
      </c>
      <c r="E925" s="133" t="s">
        <v>8735</v>
      </c>
      <c r="F925" s="132" t="s">
        <v>40</v>
      </c>
      <c r="G925" s="156" t="s">
        <v>8736</v>
      </c>
      <c r="H925" s="156" t="s">
        <v>8737</v>
      </c>
      <c r="I925" s="168" t="s">
        <v>187</v>
      </c>
      <c r="J925" s="169" t="s">
        <v>72</v>
      </c>
    </row>
    <row r="926" spans="1:12">
      <c r="A926" s="154" t="s">
        <v>20</v>
      </c>
      <c r="B926" s="155" t="s">
        <v>8733</v>
      </c>
      <c r="C926" s="133" t="s">
        <v>21</v>
      </c>
      <c r="D926" s="133" t="s">
        <v>8287</v>
      </c>
      <c r="E926" s="133" t="s">
        <v>8738</v>
      </c>
      <c r="F926" s="132" t="s">
        <v>40</v>
      </c>
      <c r="G926" s="156" t="s">
        <v>8739</v>
      </c>
      <c r="H926" s="156" t="s">
        <v>8740</v>
      </c>
      <c r="I926" s="168" t="s">
        <v>1628</v>
      </c>
      <c r="J926" s="169" t="s">
        <v>88</v>
      </c>
    </row>
    <row r="927" spans="1:12">
      <c r="A927" s="154" t="s">
        <v>20</v>
      </c>
      <c r="B927" s="155" t="s">
        <v>8741</v>
      </c>
      <c r="C927" s="133" t="s">
        <v>13</v>
      </c>
      <c r="D927" s="133" t="s">
        <v>8742</v>
      </c>
      <c r="E927" s="133" t="s">
        <v>8743</v>
      </c>
      <c r="F927" s="132" t="s">
        <v>40</v>
      </c>
      <c r="G927" s="156" t="s">
        <v>8744</v>
      </c>
      <c r="I927" s="168" t="s">
        <v>74</v>
      </c>
      <c r="J927" s="169" t="s">
        <v>72</v>
      </c>
    </row>
    <row r="928" spans="1:12">
      <c r="A928" s="154" t="s">
        <v>95</v>
      </c>
      <c r="B928" s="155" t="s">
        <v>8745</v>
      </c>
      <c r="C928" s="133" t="s">
        <v>6047</v>
      </c>
      <c r="D928" s="132" t="s">
        <v>8746</v>
      </c>
      <c r="E928" s="132" t="s">
        <v>8747</v>
      </c>
      <c r="F928" s="132" t="s">
        <v>40</v>
      </c>
      <c r="G928" s="156" t="s">
        <v>8748</v>
      </c>
      <c r="H928" s="156" t="s">
        <v>8749</v>
      </c>
      <c r="I928" s="168" t="s">
        <v>6684</v>
      </c>
      <c r="J928" s="169" t="s">
        <v>61</v>
      </c>
    </row>
    <row r="929" spans="1:11">
      <c r="A929" s="154" t="s">
        <v>95</v>
      </c>
      <c r="B929" s="155" t="s">
        <v>8750</v>
      </c>
      <c r="C929" s="133" t="s">
        <v>118</v>
      </c>
      <c r="D929" s="133" t="s">
        <v>8751</v>
      </c>
      <c r="E929" s="133" t="s">
        <v>8752</v>
      </c>
      <c r="F929" s="132" t="s">
        <v>40</v>
      </c>
      <c r="G929" s="156" t="s">
        <v>8753</v>
      </c>
      <c r="H929" s="156" t="s">
        <v>8754</v>
      </c>
      <c r="I929" s="168" t="s">
        <v>1999</v>
      </c>
      <c r="J929" s="169" t="s">
        <v>61</v>
      </c>
    </row>
    <row r="930" spans="1:11">
      <c r="A930" s="154" t="s">
        <v>20</v>
      </c>
      <c r="B930" s="155" t="s">
        <v>8755</v>
      </c>
      <c r="C930" s="133" t="s">
        <v>21</v>
      </c>
      <c r="D930" s="133" t="s">
        <v>8756</v>
      </c>
      <c r="E930" s="133" t="s">
        <v>8757</v>
      </c>
      <c r="F930" s="132" t="s">
        <v>40</v>
      </c>
      <c r="G930" s="156" t="s">
        <v>8758</v>
      </c>
      <c r="H930" s="156" t="s">
        <v>8759</v>
      </c>
      <c r="I930" s="168" t="s">
        <v>52</v>
      </c>
      <c r="J930" s="169" t="s">
        <v>72</v>
      </c>
    </row>
    <row r="931" spans="1:11">
      <c r="A931" s="154" t="s">
        <v>95</v>
      </c>
      <c r="B931" s="155" t="s">
        <v>8760</v>
      </c>
      <c r="C931" s="133" t="s">
        <v>97</v>
      </c>
      <c r="D931" s="133" t="s">
        <v>8761</v>
      </c>
      <c r="E931" s="133" t="s">
        <v>8762</v>
      </c>
      <c r="F931" s="132" t="s">
        <v>40</v>
      </c>
      <c r="G931" s="156" t="s">
        <v>8763</v>
      </c>
      <c r="H931" s="156" t="s">
        <v>8764</v>
      </c>
      <c r="I931" s="168" t="s">
        <v>32</v>
      </c>
      <c r="J931" s="169" t="s">
        <v>72</v>
      </c>
      <c r="K931" s="169" t="s">
        <v>94</v>
      </c>
    </row>
    <row r="932" spans="1:11">
      <c r="A932" s="154" t="s">
        <v>20</v>
      </c>
      <c r="B932" s="155" t="s">
        <v>8765</v>
      </c>
      <c r="C932" s="133" t="s">
        <v>21</v>
      </c>
      <c r="D932" s="133" t="s">
        <v>8766</v>
      </c>
      <c r="E932" s="133" t="s">
        <v>8767</v>
      </c>
      <c r="F932" s="132" t="s">
        <v>40</v>
      </c>
      <c r="G932" s="156" t="s">
        <v>8768</v>
      </c>
      <c r="H932" s="156" t="s">
        <v>8769</v>
      </c>
      <c r="I932" s="168" t="s">
        <v>52</v>
      </c>
      <c r="J932" s="169" t="s">
        <v>72</v>
      </c>
    </row>
    <row r="933" spans="1:11">
      <c r="A933" s="154" t="s">
        <v>20</v>
      </c>
      <c r="B933" s="155" t="s">
        <v>8770</v>
      </c>
      <c r="C933" s="133" t="s">
        <v>49</v>
      </c>
      <c r="D933" s="133" t="s">
        <v>8771</v>
      </c>
      <c r="E933" s="133" t="s">
        <v>8772</v>
      </c>
      <c r="F933" s="132" t="s">
        <v>40</v>
      </c>
      <c r="G933" s="156" t="s">
        <v>8773</v>
      </c>
      <c r="H933" s="156" t="s">
        <v>8774</v>
      </c>
      <c r="I933" s="168" t="s">
        <v>32</v>
      </c>
      <c r="J933" s="169" t="s">
        <v>72</v>
      </c>
    </row>
    <row r="934" spans="1:11">
      <c r="A934" s="154" t="s">
        <v>20</v>
      </c>
      <c r="B934" s="155" t="s">
        <v>8775</v>
      </c>
      <c r="C934" s="133" t="s">
        <v>21</v>
      </c>
      <c r="D934" s="133" t="s">
        <v>8776</v>
      </c>
      <c r="E934" s="133" t="s">
        <v>8777</v>
      </c>
      <c r="F934" s="132" t="s">
        <v>40</v>
      </c>
      <c r="G934" s="156" t="s">
        <v>8778</v>
      </c>
      <c r="H934" s="156" t="s">
        <v>8779</v>
      </c>
      <c r="I934" s="168" t="s">
        <v>52</v>
      </c>
      <c r="J934" s="169" t="s">
        <v>72</v>
      </c>
    </row>
    <row r="935" spans="1:11">
      <c r="A935" s="154" t="s">
        <v>20</v>
      </c>
      <c r="B935" s="155" t="s">
        <v>8780</v>
      </c>
      <c r="C935" s="133" t="s">
        <v>49</v>
      </c>
      <c r="D935" s="133" t="s">
        <v>8781</v>
      </c>
      <c r="E935" s="133" t="s">
        <v>8782</v>
      </c>
      <c r="F935" s="132" t="s">
        <v>40</v>
      </c>
      <c r="G935" s="156" t="s">
        <v>8783</v>
      </c>
      <c r="H935" s="156" t="s">
        <v>8784</v>
      </c>
      <c r="I935" s="168" t="s">
        <v>7881</v>
      </c>
      <c r="J935" s="169" t="s">
        <v>72</v>
      </c>
    </row>
    <row r="936" spans="1:11">
      <c r="A936" s="154" t="s">
        <v>20</v>
      </c>
      <c r="B936" s="155" t="s">
        <v>8785</v>
      </c>
      <c r="C936" s="133" t="s">
        <v>21</v>
      </c>
      <c r="D936" s="133" t="s">
        <v>8756</v>
      </c>
      <c r="E936" s="133" t="s">
        <v>8786</v>
      </c>
      <c r="F936" s="132" t="s">
        <v>40</v>
      </c>
      <c r="G936" s="156" t="s">
        <v>8787</v>
      </c>
      <c r="I936" s="168" t="s">
        <v>52</v>
      </c>
      <c r="J936" s="169" t="s">
        <v>72</v>
      </c>
    </row>
    <row r="937" spans="1:11">
      <c r="A937" s="154" t="s">
        <v>20</v>
      </c>
      <c r="B937" s="155" t="s">
        <v>8788</v>
      </c>
      <c r="C937" s="133" t="s">
        <v>21</v>
      </c>
      <c r="D937" s="133" t="s">
        <v>8789</v>
      </c>
      <c r="E937" s="133" t="s">
        <v>8790</v>
      </c>
      <c r="F937" s="132" t="s">
        <v>40</v>
      </c>
      <c r="G937" s="156" t="s">
        <v>8791</v>
      </c>
      <c r="H937" s="156" t="s">
        <v>8792</v>
      </c>
      <c r="I937" s="168" t="s">
        <v>52</v>
      </c>
      <c r="J937" s="169" t="s">
        <v>72</v>
      </c>
    </row>
    <row r="938" spans="1:11">
      <c r="A938" s="154" t="s">
        <v>95</v>
      </c>
      <c r="B938" s="155" t="s">
        <v>8793</v>
      </c>
      <c r="C938" s="133" t="s">
        <v>113</v>
      </c>
      <c r="D938" s="133" t="s">
        <v>8794</v>
      </c>
      <c r="E938" s="133" t="s">
        <v>8795</v>
      </c>
      <c r="F938" s="132" t="s">
        <v>40</v>
      </c>
      <c r="G938" s="156" t="s">
        <v>8796</v>
      </c>
      <c r="H938" s="156" t="s">
        <v>8797</v>
      </c>
      <c r="I938" s="168" t="s">
        <v>2478</v>
      </c>
      <c r="J938" s="169" t="s">
        <v>72</v>
      </c>
    </row>
    <row r="939" spans="1:11">
      <c r="A939" s="154" t="s">
        <v>106</v>
      </c>
      <c r="B939" s="155" t="s">
        <v>8798</v>
      </c>
      <c r="C939" s="133" t="s">
        <v>108</v>
      </c>
      <c r="D939" s="133" t="s">
        <v>2211</v>
      </c>
      <c r="E939" s="133" t="s">
        <v>8730</v>
      </c>
      <c r="F939" s="132" t="s">
        <v>40</v>
      </c>
      <c r="G939" s="156" t="s">
        <v>8799</v>
      </c>
      <c r="H939" s="156" t="s">
        <v>8800</v>
      </c>
      <c r="I939" s="168" t="s">
        <v>32</v>
      </c>
      <c r="J939" s="169" t="s">
        <v>72</v>
      </c>
    </row>
    <row r="940" spans="1:11" ht="29">
      <c r="A940" s="154" t="s">
        <v>20</v>
      </c>
      <c r="B940" s="155" t="s">
        <v>8801</v>
      </c>
      <c r="C940" s="133" t="s">
        <v>21</v>
      </c>
      <c r="D940" s="133" t="s">
        <v>8802</v>
      </c>
      <c r="E940" s="135" t="s">
        <v>8803</v>
      </c>
      <c r="F940" s="132" t="s">
        <v>40</v>
      </c>
      <c r="G940" s="156" t="s">
        <v>8799</v>
      </c>
      <c r="H940" s="156" t="s">
        <v>8804</v>
      </c>
      <c r="I940" s="168" t="s">
        <v>52</v>
      </c>
      <c r="J940" s="169" t="s">
        <v>72</v>
      </c>
    </row>
    <row r="941" spans="1:11" hidden="1">
      <c r="A941" s="154" t="s">
        <v>20</v>
      </c>
      <c r="B941" s="155" t="s">
        <v>8805</v>
      </c>
      <c r="C941" s="133" t="s">
        <v>21</v>
      </c>
      <c r="D941" s="132" t="s">
        <v>8806</v>
      </c>
      <c r="E941" s="132" t="s">
        <v>8807</v>
      </c>
      <c r="F941" s="132" t="s">
        <v>308</v>
      </c>
      <c r="G941" s="156" t="s">
        <v>8808</v>
      </c>
      <c r="H941" s="156" t="s">
        <v>8809</v>
      </c>
      <c r="I941" s="168" t="s">
        <v>2909</v>
      </c>
      <c r="J941" s="169" t="s">
        <v>61</v>
      </c>
    </row>
    <row r="942" spans="1:11">
      <c r="A942" s="154" t="s">
        <v>95</v>
      </c>
      <c r="B942" s="155" t="s">
        <v>8810</v>
      </c>
      <c r="C942" s="133" t="s">
        <v>97</v>
      </c>
      <c r="D942" s="133" t="s">
        <v>8811</v>
      </c>
      <c r="E942" s="133" t="s">
        <v>8812</v>
      </c>
      <c r="F942" s="132" t="s">
        <v>40</v>
      </c>
      <c r="G942" s="156" t="s">
        <v>8813</v>
      </c>
      <c r="H942" s="156" t="s">
        <v>8814</v>
      </c>
      <c r="I942" s="168" t="s">
        <v>8815</v>
      </c>
      <c r="J942" s="169" t="s">
        <v>61</v>
      </c>
    </row>
    <row r="943" spans="1:11">
      <c r="A943" s="154" t="s">
        <v>20</v>
      </c>
      <c r="B943" s="155" t="s">
        <v>8816</v>
      </c>
      <c r="C943" s="133" t="s">
        <v>21</v>
      </c>
      <c r="D943" s="133" t="s">
        <v>5206</v>
      </c>
      <c r="E943" s="133" t="s">
        <v>8817</v>
      </c>
      <c r="F943" s="132" t="s">
        <v>40</v>
      </c>
      <c r="G943" s="156" t="s">
        <v>8818</v>
      </c>
      <c r="H943" s="156" t="s">
        <v>8819</v>
      </c>
      <c r="I943" s="168" t="s">
        <v>52</v>
      </c>
      <c r="J943" s="169" t="s">
        <v>72</v>
      </c>
    </row>
    <row r="944" spans="1:11">
      <c r="A944" s="154" t="s">
        <v>106</v>
      </c>
      <c r="B944" s="155" t="s">
        <v>8820</v>
      </c>
      <c r="C944" s="133" t="s">
        <v>333</v>
      </c>
      <c r="D944" s="133" t="s">
        <v>8821</v>
      </c>
      <c r="E944" s="133" t="s">
        <v>8822</v>
      </c>
      <c r="F944" s="132" t="s">
        <v>40</v>
      </c>
      <c r="G944" s="156" t="s">
        <v>8823</v>
      </c>
      <c r="I944" s="168" t="s">
        <v>346</v>
      </c>
      <c r="J944" s="169" t="s">
        <v>72</v>
      </c>
    </row>
    <row r="945" spans="1:11">
      <c r="A945" s="154" t="s">
        <v>106</v>
      </c>
      <c r="B945" s="155" t="s">
        <v>8824</v>
      </c>
      <c r="C945" s="133" t="s">
        <v>333</v>
      </c>
      <c r="D945" s="133" t="s">
        <v>8825</v>
      </c>
      <c r="E945" s="133" t="s">
        <v>8822</v>
      </c>
      <c r="F945" s="132" t="s">
        <v>40</v>
      </c>
      <c r="G945" s="156" t="s">
        <v>8826</v>
      </c>
      <c r="I945" s="168" t="s">
        <v>346</v>
      </c>
      <c r="J945" s="169" t="s">
        <v>72</v>
      </c>
    </row>
    <row r="946" spans="1:11">
      <c r="A946" s="154" t="s">
        <v>106</v>
      </c>
      <c r="B946" s="155" t="s">
        <v>8827</v>
      </c>
      <c r="C946" s="133" t="s">
        <v>108</v>
      </c>
      <c r="D946" s="133" t="s">
        <v>1428</v>
      </c>
      <c r="E946" s="133" t="s">
        <v>8828</v>
      </c>
      <c r="F946" s="132" t="s">
        <v>40</v>
      </c>
      <c r="G946" s="156" t="s">
        <v>8829</v>
      </c>
      <c r="H946" s="156" t="s">
        <v>8830</v>
      </c>
      <c r="I946" s="168" t="s">
        <v>32</v>
      </c>
      <c r="J946" s="169" t="s">
        <v>72</v>
      </c>
    </row>
    <row r="947" spans="1:11">
      <c r="A947" s="154" t="s">
        <v>20</v>
      </c>
      <c r="B947" s="155" t="s">
        <v>8831</v>
      </c>
      <c r="C947" s="133" t="s">
        <v>21</v>
      </c>
      <c r="D947" s="133" t="s">
        <v>8832</v>
      </c>
      <c r="E947" s="133" t="s">
        <v>8833</v>
      </c>
      <c r="F947" s="132" t="s">
        <v>40</v>
      </c>
      <c r="G947" s="156" t="s">
        <v>8834</v>
      </c>
      <c r="H947" s="156" t="s">
        <v>8835</v>
      </c>
      <c r="I947" s="168" t="s">
        <v>52</v>
      </c>
      <c r="J947" s="169" t="s">
        <v>72</v>
      </c>
    </row>
    <row r="948" spans="1:11">
      <c r="A948" s="154" t="s">
        <v>106</v>
      </c>
      <c r="B948" s="155" t="s">
        <v>8836</v>
      </c>
      <c r="C948" s="133" t="s">
        <v>108</v>
      </c>
      <c r="D948" s="133" t="s">
        <v>8837</v>
      </c>
      <c r="E948" s="133" t="s">
        <v>8838</v>
      </c>
      <c r="F948" s="132" t="s">
        <v>40</v>
      </c>
      <c r="G948" s="156" t="s">
        <v>8839</v>
      </c>
      <c r="H948" s="156" t="s">
        <v>8840</v>
      </c>
      <c r="I948" s="168" t="s">
        <v>111</v>
      </c>
      <c r="J948" s="169" t="s">
        <v>72</v>
      </c>
    </row>
    <row r="949" spans="1:11">
      <c r="A949" s="154" t="s">
        <v>95</v>
      </c>
      <c r="B949" s="155" t="s">
        <v>8841</v>
      </c>
      <c r="C949" s="133" t="s">
        <v>118</v>
      </c>
      <c r="D949" s="133" t="s">
        <v>8842</v>
      </c>
      <c r="E949" s="133" t="s">
        <v>8843</v>
      </c>
      <c r="F949" s="132" t="s">
        <v>40</v>
      </c>
      <c r="G949" s="156" t="s">
        <v>8844</v>
      </c>
      <c r="H949" s="156" t="s">
        <v>8845</v>
      </c>
      <c r="I949" s="168" t="s">
        <v>502</v>
      </c>
      <c r="J949" s="169" t="s">
        <v>72</v>
      </c>
    </row>
    <row r="950" spans="1:11">
      <c r="A950" s="154" t="s">
        <v>20</v>
      </c>
      <c r="B950" s="155" t="s">
        <v>8846</v>
      </c>
      <c r="C950" s="133" t="s">
        <v>21</v>
      </c>
      <c r="D950" s="133" t="s">
        <v>8847</v>
      </c>
      <c r="E950" s="133" t="s">
        <v>8848</v>
      </c>
      <c r="F950" s="132" t="s">
        <v>40</v>
      </c>
      <c r="G950" s="156" t="s">
        <v>8849</v>
      </c>
      <c r="H950" s="156" t="s">
        <v>8850</v>
      </c>
      <c r="I950" s="168" t="s">
        <v>8851</v>
      </c>
      <c r="J950" s="169" t="s">
        <v>72</v>
      </c>
    </row>
    <row r="951" spans="1:11">
      <c r="A951" s="154" t="s">
        <v>20</v>
      </c>
      <c r="B951" s="155" t="s">
        <v>8852</v>
      </c>
      <c r="C951" s="133" t="s">
        <v>49</v>
      </c>
      <c r="D951" s="133" t="s">
        <v>1166</v>
      </c>
      <c r="E951" s="133" t="s">
        <v>8853</v>
      </c>
      <c r="F951" s="132" t="s">
        <v>40</v>
      </c>
      <c r="G951" s="156" t="s">
        <v>8854</v>
      </c>
      <c r="H951" s="156" t="s">
        <v>8855</v>
      </c>
      <c r="I951" s="168" t="s">
        <v>8856</v>
      </c>
      <c r="J951" s="169" t="s">
        <v>72</v>
      </c>
    </row>
    <row r="952" spans="1:11">
      <c r="A952" s="154" t="s">
        <v>106</v>
      </c>
      <c r="B952" s="155" t="s">
        <v>8857</v>
      </c>
      <c r="C952" s="133" t="s">
        <v>108</v>
      </c>
      <c r="D952" s="133" t="s">
        <v>1391</v>
      </c>
      <c r="E952" s="133" t="s">
        <v>8725</v>
      </c>
      <c r="F952" s="132" t="s">
        <v>40</v>
      </c>
      <c r="G952" s="156" t="s">
        <v>8858</v>
      </c>
      <c r="H952" s="156" t="s">
        <v>8845</v>
      </c>
      <c r="I952" s="168" t="s">
        <v>32</v>
      </c>
      <c r="J952" s="169" t="s">
        <v>72</v>
      </c>
    </row>
    <row r="953" spans="1:11">
      <c r="A953" s="154" t="s">
        <v>20</v>
      </c>
      <c r="B953" s="155" t="s">
        <v>8859</v>
      </c>
      <c r="C953" s="133" t="s">
        <v>21</v>
      </c>
      <c r="D953" s="132" t="s">
        <v>8860</v>
      </c>
      <c r="E953" s="133" t="s">
        <v>8861</v>
      </c>
      <c r="F953" s="132" t="s">
        <v>40</v>
      </c>
      <c r="G953" s="156" t="s">
        <v>8862</v>
      </c>
      <c r="H953" s="156" t="s">
        <v>8863</v>
      </c>
      <c r="I953" s="168" t="s">
        <v>52</v>
      </c>
      <c r="J953" s="169" t="s">
        <v>72</v>
      </c>
    </row>
    <row r="954" spans="1:11">
      <c r="A954" s="154" t="s">
        <v>20</v>
      </c>
      <c r="B954" s="155" t="s">
        <v>8864</v>
      </c>
      <c r="C954" s="133" t="s">
        <v>21</v>
      </c>
      <c r="D954" s="133" t="s">
        <v>8865</v>
      </c>
      <c r="E954" s="132" t="s">
        <v>8866</v>
      </c>
      <c r="F954" s="132" t="s">
        <v>40</v>
      </c>
      <c r="G954" s="156" t="s">
        <v>8867</v>
      </c>
      <c r="H954" s="156" t="s">
        <v>8868</v>
      </c>
      <c r="I954" s="168" t="s">
        <v>4359</v>
      </c>
      <c r="J954" s="169" t="s">
        <v>94</v>
      </c>
    </row>
    <row r="955" spans="1:11">
      <c r="A955" s="154" t="s">
        <v>20</v>
      </c>
      <c r="B955" s="155" t="s">
        <v>8869</v>
      </c>
      <c r="C955" s="133" t="s">
        <v>21</v>
      </c>
      <c r="D955" s="133" t="s">
        <v>8870</v>
      </c>
      <c r="E955" s="133" t="s">
        <v>8871</v>
      </c>
      <c r="F955" s="132" t="s">
        <v>40</v>
      </c>
      <c r="G955" s="156" t="s">
        <v>8872</v>
      </c>
      <c r="H955" s="156" t="s">
        <v>8873</v>
      </c>
      <c r="I955" s="168" t="s">
        <v>4359</v>
      </c>
      <c r="J955" s="169" t="s">
        <v>94</v>
      </c>
    </row>
    <row r="956" spans="1:11" ht="29">
      <c r="A956" s="154" t="s">
        <v>20</v>
      </c>
      <c r="B956" s="155" t="s">
        <v>8874</v>
      </c>
      <c r="C956" s="133" t="s">
        <v>21</v>
      </c>
      <c r="D956" s="133" t="s">
        <v>8875</v>
      </c>
      <c r="E956" s="135" t="s">
        <v>8876</v>
      </c>
      <c r="F956" s="132" t="s">
        <v>40</v>
      </c>
      <c r="G956" s="156" t="s">
        <v>8877</v>
      </c>
      <c r="H956" s="156" t="s">
        <v>8878</v>
      </c>
      <c r="I956" s="168" t="s">
        <v>4359</v>
      </c>
      <c r="J956" s="169" t="s">
        <v>94</v>
      </c>
    </row>
    <row r="957" spans="1:11">
      <c r="A957" s="154" t="s">
        <v>106</v>
      </c>
      <c r="B957" s="155" t="s">
        <v>8879</v>
      </c>
      <c r="C957" s="133" t="s">
        <v>333</v>
      </c>
      <c r="D957" s="133" t="s">
        <v>8880</v>
      </c>
      <c r="E957" s="133" t="s">
        <v>8881</v>
      </c>
      <c r="F957" s="132" t="s">
        <v>40</v>
      </c>
      <c r="G957" s="156" t="s">
        <v>8882</v>
      </c>
      <c r="H957" s="156" t="s">
        <v>8883</v>
      </c>
      <c r="I957" s="168" t="s">
        <v>2351</v>
      </c>
      <c r="J957" s="169" t="s">
        <v>94</v>
      </c>
    </row>
    <row r="958" spans="1:11">
      <c r="A958" s="154" t="s">
        <v>20</v>
      </c>
      <c r="B958" s="155" t="s">
        <v>8884</v>
      </c>
      <c r="C958" s="133" t="s">
        <v>21</v>
      </c>
      <c r="D958" s="133" t="s">
        <v>8885</v>
      </c>
      <c r="E958" s="132" t="s">
        <v>8886</v>
      </c>
      <c r="F958" s="132" t="s">
        <v>40</v>
      </c>
      <c r="G958" s="156" t="s">
        <v>8887</v>
      </c>
      <c r="H958" s="156" t="s">
        <v>8888</v>
      </c>
      <c r="I958" s="168" t="s">
        <v>4359</v>
      </c>
      <c r="J958" s="169" t="s">
        <v>94</v>
      </c>
    </row>
    <row r="959" spans="1:11">
      <c r="A959" s="154" t="s">
        <v>20</v>
      </c>
      <c r="B959" s="155" t="s">
        <v>8889</v>
      </c>
      <c r="C959" s="133" t="s">
        <v>49</v>
      </c>
      <c r="D959" s="133" t="s">
        <v>8537</v>
      </c>
      <c r="E959" s="133" t="s">
        <v>8890</v>
      </c>
      <c r="F959" s="132" t="s">
        <v>40</v>
      </c>
      <c r="G959" s="156" t="s">
        <v>8891</v>
      </c>
      <c r="H959" s="156" t="s">
        <v>8892</v>
      </c>
      <c r="I959" s="168" t="s">
        <v>32</v>
      </c>
      <c r="J959" s="169" t="s">
        <v>94</v>
      </c>
    </row>
    <row r="960" spans="1:11">
      <c r="A960" s="154" t="s">
        <v>106</v>
      </c>
      <c r="B960" s="155" t="s">
        <v>8893</v>
      </c>
      <c r="C960" s="133" t="s">
        <v>333</v>
      </c>
      <c r="D960" s="133" t="s">
        <v>8894</v>
      </c>
      <c r="E960" s="133" t="s">
        <v>8895</v>
      </c>
      <c r="F960" s="132" t="s">
        <v>40</v>
      </c>
      <c r="G960" s="156" t="s">
        <v>8896</v>
      </c>
      <c r="H960" s="156" t="s">
        <v>8897</v>
      </c>
      <c r="I960" s="168" t="s">
        <v>6640</v>
      </c>
      <c r="J960" s="169" t="s">
        <v>88</v>
      </c>
      <c r="K960" s="169" t="s">
        <v>94</v>
      </c>
    </row>
    <row r="961" spans="1:11">
      <c r="A961" s="154" t="s">
        <v>95</v>
      </c>
      <c r="B961" s="155" t="s">
        <v>8898</v>
      </c>
      <c r="C961" s="133" t="s">
        <v>97</v>
      </c>
      <c r="D961" s="133" t="s">
        <v>8899</v>
      </c>
      <c r="E961" s="133" t="s">
        <v>8900</v>
      </c>
      <c r="F961" s="132" t="s">
        <v>40</v>
      </c>
      <c r="G961" s="156" t="s">
        <v>8901</v>
      </c>
      <c r="H961" s="156" t="s">
        <v>8897</v>
      </c>
      <c r="I961" s="168" t="s">
        <v>8902</v>
      </c>
      <c r="J961" s="169" t="s">
        <v>88</v>
      </c>
      <c r="K961" s="169" t="s">
        <v>94</v>
      </c>
    </row>
    <row r="962" spans="1:11">
      <c r="A962" s="154" t="s">
        <v>20</v>
      </c>
      <c r="B962" s="155" t="s">
        <v>8903</v>
      </c>
      <c r="C962" s="133" t="s">
        <v>21</v>
      </c>
      <c r="D962" s="133" t="s">
        <v>8904</v>
      </c>
      <c r="E962" s="133" t="s">
        <v>8905</v>
      </c>
      <c r="F962" s="132" t="s">
        <v>40</v>
      </c>
      <c r="G962" s="156" t="s">
        <v>8906</v>
      </c>
      <c r="H962" s="156" t="s">
        <v>8907</v>
      </c>
      <c r="I962" s="168" t="s">
        <v>1628</v>
      </c>
      <c r="J962" s="169" t="s">
        <v>88</v>
      </c>
    </row>
    <row r="963" spans="1:11">
      <c r="A963" s="154" t="s">
        <v>20</v>
      </c>
      <c r="B963" s="155" t="s">
        <v>8908</v>
      </c>
      <c r="C963" s="133" t="s">
        <v>21</v>
      </c>
      <c r="D963" s="133" t="s">
        <v>8909</v>
      </c>
      <c r="E963" s="133" t="s">
        <v>8910</v>
      </c>
      <c r="F963" s="132" t="s">
        <v>40</v>
      </c>
      <c r="G963" s="156" t="s">
        <v>8911</v>
      </c>
      <c r="H963" s="156" t="s">
        <v>8912</v>
      </c>
      <c r="I963" s="168" t="s">
        <v>629</v>
      </c>
      <c r="J963" s="169" t="s">
        <v>88</v>
      </c>
    </row>
    <row r="964" spans="1:11">
      <c r="A964" s="154" t="s">
        <v>20</v>
      </c>
      <c r="B964" s="155" t="s">
        <v>8913</v>
      </c>
      <c r="C964" s="133" t="s">
        <v>21</v>
      </c>
      <c r="D964" s="133" t="s">
        <v>8079</v>
      </c>
      <c r="E964" s="133" t="s">
        <v>8914</v>
      </c>
      <c r="F964" s="132" t="s">
        <v>40</v>
      </c>
      <c r="G964" s="156" t="s">
        <v>8915</v>
      </c>
      <c r="H964" s="156" t="s">
        <v>8916</v>
      </c>
      <c r="I964" s="168" t="s">
        <v>1628</v>
      </c>
      <c r="J964" s="169" t="s">
        <v>88</v>
      </c>
    </row>
    <row r="965" spans="1:11">
      <c r="A965" s="154" t="s">
        <v>20</v>
      </c>
      <c r="B965" s="155" t="s">
        <v>8917</v>
      </c>
      <c r="C965" s="133" t="s">
        <v>21</v>
      </c>
      <c r="D965" s="133" t="s">
        <v>8918</v>
      </c>
      <c r="E965" s="133" t="s">
        <v>8919</v>
      </c>
      <c r="F965" s="132" t="s">
        <v>40</v>
      </c>
      <c r="G965" s="156" t="s">
        <v>8920</v>
      </c>
      <c r="H965" s="156" t="s">
        <v>8921</v>
      </c>
      <c r="I965" s="168" t="s">
        <v>1628</v>
      </c>
      <c r="J965" s="169" t="s">
        <v>88</v>
      </c>
    </row>
    <row r="966" spans="1:11">
      <c r="A966" s="154" t="s">
        <v>20</v>
      </c>
      <c r="B966" s="155" t="s">
        <v>8922</v>
      </c>
      <c r="C966" s="133" t="s">
        <v>21</v>
      </c>
      <c r="D966" s="133" t="s">
        <v>8923</v>
      </c>
      <c r="E966" s="133" t="s">
        <v>8924</v>
      </c>
      <c r="F966" s="132" t="s">
        <v>40</v>
      </c>
      <c r="G966" s="156" t="s">
        <v>8925</v>
      </c>
      <c r="H966" s="156" t="s">
        <v>8926</v>
      </c>
      <c r="I966" s="168" t="s">
        <v>1628</v>
      </c>
      <c r="J966" s="169" t="s">
        <v>88</v>
      </c>
    </row>
    <row r="967" spans="1:11">
      <c r="A967" s="154" t="s">
        <v>20</v>
      </c>
      <c r="B967" s="155" t="s">
        <v>8927</v>
      </c>
      <c r="C967" s="133" t="s">
        <v>21</v>
      </c>
      <c r="D967" s="133" t="s">
        <v>8928</v>
      </c>
      <c r="E967" s="133" t="s">
        <v>8929</v>
      </c>
      <c r="F967" s="132" t="s">
        <v>40</v>
      </c>
      <c r="G967" s="156" t="s">
        <v>8930</v>
      </c>
      <c r="H967" s="156" t="s">
        <v>8931</v>
      </c>
      <c r="I967" s="168" t="s">
        <v>1628</v>
      </c>
      <c r="J967" s="169" t="s">
        <v>88</v>
      </c>
    </row>
    <row r="968" spans="1:11">
      <c r="A968" s="154" t="s">
        <v>106</v>
      </c>
      <c r="B968" s="155" t="s">
        <v>8932</v>
      </c>
      <c r="C968" s="133" t="s">
        <v>108</v>
      </c>
      <c r="D968" s="133" t="s">
        <v>8933</v>
      </c>
      <c r="E968" s="133" t="s">
        <v>8934</v>
      </c>
      <c r="F968" s="132" t="s">
        <v>40</v>
      </c>
      <c r="G968" s="156" t="s">
        <v>8935</v>
      </c>
      <c r="H968" s="156" t="s">
        <v>8936</v>
      </c>
      <c r="I968" s="168" t="s">
        <v>8937</v>
      </c>
      <c r="J968" s="169" t="s">
        <v>94</v>
      </c>
    </row>
    <row r="969" spans="1:11">
      <c r="A969" s="154" t="s">
        <v>106</v>
      </c>
      <c r="B969" s="155" t="s">
        <v>8938</v>
      </c>
      <c r="C969" s="133" t="s">
        <v>333</v>
      </c>
      <c r="D969" s="133" t="s">
        <v>8939</v>
      </c>
      <c r="E969" s="132" t="s">
        <v>8940</v>
      </c>
      <c r="F969" s="132" t="s">
        <v>40</v>
      </c>
      <c r="G969" s="156" t="s">
        <v>8941</v>
      </c>
      <c r="H969" s="156" t="s">
        <v>8936</v>
      </c>
      <c r="I969" s="168" t="s">
        <v>346</v>
      </c>
      <c r="J969" s="169" t="s">
        <v>94</v>
      </c>
    </row>
    <row r="970" spans="1:11">
      <c r="A970" s="154" t="s">
        <v>106</v>
      </c>
      <c r="B970" s="155" t="s">
        <v>8942</v>
      </c>
      <c r="C970" s="133" t="s">
        <v>333</v>
      </c>
      <c r="D970" s="133" t="s">
        <v>8943</v>
      </c>
      <c r="E970" s="133" t="s">
        <v>8944</v>
      </c>
      <c r="F970" s="132" t="s">
        <v>40</v>
      </c>
      <c r="G970" s="156" t="s">
        <v>8945</v>
      </c>
      <c r="H970" s="156" t="s">
        <v>8946</v>
      </c>
      <c r="I970" s="168" t="s">
        <v>32</v>
      </c>
      <c r="J970" s="169" t="s">
        <v>94</v>
      </c>
    </row>
    <row r="971" spans="1:11">
      <c r="A971" s="154" t="s">
        <v>95</v>
      </c>
      <c r="B971" s="155" t="s">
        <v>8947</v>
      </c>
      <c r="C971" s="133" t="s">
        <v>118</v>
      </c>
      <c r="D971" s="133" t="s">
        <v>8948</v>
      </c>
      <c r="E971" s="133" t="s">
        <v>8949</v>
      </c>
      <c r="F971" s="132" t="s">
        <v>40</v>
      </c>
      <c r="G971" s="156" t="s">
        <v>8950</v>
      </c>
      <c r="H971" s="156" t="s">
        <v>8951</v>
      </c>
      <c r="I971" s="168" t="s">
        <v>1241</v>
      </c>
      <c r="J971" s="169" t="s">
        <v>94</v>
      </c>
    </row>
    <row r="972" spans="1:11">
      <c r="A972" s="164" t="s">
        <v>20</v>
      </c>
      <c r="B972" s="155" t="s">
        <v>8952</v>
      </c>
      <c r="C972" s="133" t="s">
        <v>21</v>
      </c>
      <c r="D972" s="133" t="s">
        <v>8953</v>
      </c>
      <c r="E972" s="133" t="s">
        <v>8954</v>
      </c>
      <c r="F972" s="132" t="s">
        <v>40</v>
      </c>
      <c r="G972" s="156" t="s">
        <v>8955</v>
      </c>
      <c r="H972" s="156" t="s">
        <v>8956</v>
      </c>
      <c r="I972" s="168" t="s">
        <v>1628</v>
      </c>
      <c r="J972" s="169" t="s">
        <v>88</v>
      </c>
    </row>
    <row r="973" spans="1:11">
      <c r="A973" s="154" t="s">
        <v>20</v>
      </c>
      <c r="B973" s="159" t="s">
        <v>8957</v>
      </c>
      <c r="C973" s="132" t="s">
        <v>21</v>
      </c>
      <c r="D973" s="132" t="s">
        <v>2373</v>
      </c>
      <c r="E973" s="132" t="s">
        <v>8958</v>
      </c>
      <c r="F973" s="132" t="s">
        <v>40</v>
      </c>
      <c r="G973" s="156" t="s">
        <v>8959</v>
      </c>
      <c r="H973" s="156" t="s">
        <v>8960</v>
      </c>
      <c r="I973" s="168" t="s">
        <v>1628</v>
      </c>
      <c r="J973" s="169" t="s">
        <v>88</v>
      </c>
    </row>
    <row r="974" spans="1:11">
      <c r="A974" s="154" t="s">
        <v>20</v>
      </c>
      <c r="B974" s="155" t="s">
        <v>8961</v>
      </c>
      <c r="C974" s="132" t="s">
        <v>21</v>
      </c>
      <c r="D974" s="132" t="s">
        <v>8962</v>
      </c>
      <c r="E974" s="132" t="s">
        <v>8963</v>
      </c>
      <c r="F974" s="132" t="s">
        <v>40</v>
      </c>
      <c r="G974" s="156" t="s">
        <v>8964</v>
      </c>
      <c r="H974" s="156" t="s">
        <v>8965</v>
      </c>
      <c r="I974" s="168" t="s">
        <v>1628</v>
      </c>
      <c r="J974" s="169" t="s">
        <v>88</v>
      </c>
    </row>
    <row r="975" spans="1:11">
      <c r="A975" s="154" t="s">
        <v>20</v>
      </c>
      <c r="B975" s="155" t="s">
        <v>8966</v>
      </c>
      <c r="C975" s="132" t="s">
        <v>21</v>
      </c>
      <c r="D975" s="132" t="s">
        <v>8967</v>
      </c>
      <c r="E975" s="132" t="s">
        <v>8968</v>
      </c>
      <c r="F975" s="132" t="s">
        <v>40</v>
      </c>
      <c r="G975" s="156" t="s">
        <v>8969</v>
      </c>
      <c r="H975" s="156" t="s">
        <v>8970</v>
      </c>
      <c r="I975" s="168" t="s">
        <v>1628</v>
      </c>
      <c r="J975" s="169" t="s">
        <v>88</v>
      </c>
    </row>
    <row r="976" spans="1:11">
      <c r="A976" s="154" t="s">
        <v>95</v>
      </c>
      <c r="B976" s="155" t="s">
        <v>8971</v>
      </c>
      <c r="C976" s="132" t="s">
        <v>97</v>
      </c>
      <c r="D976" s="132" t="s">
        <v>6781</v>
      </c>
      <c r="E976" s="132" t="s">
        <v>8972</v>
      </c>
      <c r="F976" s="132" t="s">
        <v>40</v>
      </c>
      <c r="G976" s="156" t="s">
        <v>8973</v>
      </c>
      <c r="H976" s="156" t="s">
        <v>8974</v>
      </c>
      <c r="I976" s="168" t="s">
        <v>32</v>
      </c>
      <c r="J976" s="169" t="s">
        <v>94</v>
      </c>
    </row>
    <row r="977" spans="1:11" ht="43.5">
      <c r="A977" s="154" t="s">
        <v>106</v>
      </c>
      <c r="B977" s="155" t="s">
        <v>8975</v>
      </c>
      <c r="C977" s="132" t="s">
        <v>78</v>
      </c>
      <c r="D977" s="132" t="s">
        <v>8976</v>
      </c>
      <c r="E977" s="137" t="s">
        <v>8977</v>
      </c>
      <c r="F977" s="132" t="s">
        <v>40</v>
      </c>
      <c r="G977" s="156" t="s">
        <v>8978</v>
      </c>
      <c r="H977" s="156" t="s">
        <v>8706</v>
      </c>
      <c r="I977" s="168" t="s">
        <v>514</v>
      </c>
      <c r="J977" s="169" t="s">
        <v>94</v>
      </c>
    </row>
    <row r="978" spans="1:11" hidden="1">
      <c r="A978" s="154" t="s">
        <v>95</v>
      </c>
      <c r="B978" s="155" t="s">
        <v>8979</v>
      </c>
      <c r="C978" s="132" t="s">
        <v>97</v>
      </c>
      <c r="D978" s="132" t="s">
        <v>8980</v>
      </c>
      <c r="E978" s="132" t="s">
        <v>8981</v>
      </c>
      <c r="F978" s="132" t="s">
        <v>308</v>
      </c>
      <c r="G978" s="156" t="s">
        <v>8982</v>
      </c>
      <c r="I978" s="168" t="s">
        <v>1343</v>
      </c>
      <c r="J978" s="169" t="s">
        <v>94</v>
      </c>
    </row>
    <row r="979" spans="1:11">
      <c r="A979" s="154" t="s">
        <v>106</v>
      </c>
      <c r="B979" s="155" t="s">
        <v>8983</v>
      </c>
      <c r="C979" s="132" t="s">
        <v>108</v>
      </c>
      <c r="D979" s="132" t="s">
        <v>8984</v>
      </c>
      <c r="E979" s="132" t="s">
        <v>8985</v>
      </c>
      <c r="F979" s="132" t="s">
        <v>40</v>
      </c>
      <c r="G979" s="156" t="s">
        <v>8986</v>
      </c>
      <c r="H979" s="156" t="s">
        <v>8987</v>
      </c>
      <c r="I979" s="168" t="s">
        <v>1373</v>
      </c>
      <c r="J979" s="169" t="s">
        <v>94</v>
      </c>
    </row>
    <row r="980" spans="1:11">
      <c r="A980" s="154" t="s">
        <v>106</v>
      </c>
      <c r="B980" s="155" t="s">
        <v>8988</v>
      </c>
      <c r="C980" s="132" t="s">
        <v>37</v>
      </c>
      <c r="D980" s="132" t="s">
        <v>8989</v>
      </c>
      <c r="E980" s="132" t="s">
        <v>8990</v>
      </c>
      <c r="F980" s="132" t="s">
        <v>40</v>
      </c>
      <c r="G980" s="156" t="s">
        <v>8991</v>
      </c>
      <c r="H980" s="156" t="s">
        <v>8992</v>
      </c>
      <c r="I980" s="168" t="s">
        <v>32</v>
      </c>
      <c r="J980" s="169" t="s">
        <v>94</v>
      </c>
    </row>
    <row r="981" spans="1:11">
      <c r="A981" s="154" t="s">
        <v>106</v>
      </c>
      <c r="B981" s="155" t="s">
        <v>8993</v>
      </c>
      <c r="C981" s="132" t="s">
        <v>108</v>
      </c>
      <c r="D981" s="132" t="s">
        <v>8994</v>
      </c>
      <c r="E981" s="132" t="s">
        <v>8995</v>
      </c>
      <c r="F981" s="132" t="s">
        <v>40</v>
      </c>
      <c r="G981" s="156" t="s">
        <v>8996</v>
      </c>
      <c r="H981" s="156" t="s">
        <v>8997</v>
      </c>
      <c r="I981" s="168" t="s">
        <v>1373</v>
      </c>
      <c r="J981" s="169" t="s">
        <v>94</v>
      </c>
    </row>
    <row r="982" spans="1:11">
      <c r="A982" s="154" t="s">
        <v>106</v>
      </c>
      <c r="B982" s="155" t="s">
        <v>8998</v>
      </c>
      <c r="C982" s="132" t="s">
        <v>333</v>
      </c>
      <c r="D982" s="132" t="s">
        <v>8999</v>
      </c>
      <c r="E982" s="132" t="s">
        <v>9000</v>
      </c>
      <c r="F982" s="132" t="s">
        <v>40</v>
      </c>
      <c r="G982" s="156" t="s">
        <v>9001</v>
      </c>
      <c r="H982" s="156" t="s">
        <v>8740</v>
      </c>
      <c r="I982" s="168" t="s">
        <v>9002</v>
      </c>
      <c r="J982" s="169" t="s">
        <v>94</v>
      </c>
      <c r="K982" s="169" t="s">
        <v>88</v>
      </c>
    </row>
    <row r="983" spans="1:11">
      <c r="A983" s="154" t="s">
        <v>20</v>
      </c>
      <c r="B983" s="155" t="s">
        <v>9003</v>
      </c>
      <c r="C983" s="132" t="s">
        <v>21</v>
      </c>
      <c r="D983" s="132" t="s">
        <v>9004</v>
      </c>
      <c r="E983" s="132" t="s">
        <v>9005</v>
      </c>
      <c r="F983" s="132" t="s">
        <v>40</v>
      </c>
      <c r="G983" s="156" t="s">
        <v>9006</v>
      </c>
      <c r="H983" s="156" t="s">
        <v>9007</v>
      </c>
      <c r="I983" s="168" t="s">
        <v>1628</v>
      </c>
      <c r="J983" s="169" t="s">
        <v>88</v>
      </c>
    </row>
    <row r="984" spans="1:11" ht="43.5">
      <c r="A984" s="154" t="s">
        <v>20</v>
      </c>
      <c r="B984" s="155" t="s">
        <v>9008</v>
      </c>
      <c r="C984" s="132" t="s">
        <v>21</v>
      </c>
      <c r="D984" s="132" t="s">
        <v>9009</v>
      </c>
      <c r="E984" s="137" t="s">
        <v>9010</v>
      </c>
      <c r="F984" s="132" t="s">
        <v>40</v>
      </c>
      <c r="G984" s="156" t="s">
        <v>9011</v>
      </c>
      <c r="H984" s="156" t="s">
        <v>9012</v>
      </c>
      <c r="I984" s="168" t="s">
        <v>4359</v>
      </c>
      <c r="J984" s="169" t="s">
        <v>94</v>
      </c>
    </row>
    <row r="985" spans="1:11">
      <c r="A985" s="154" t="s">
        <v>95</v>
      </c>
      <c r="B985" s="155" t="s">
        <v>9013</v>
      </c>
      <c r="C985" s="132" t="s">
        <v>113</v>
      </c>
      <c r="D985" s="132" t="s">
        <v>9014</v>
      </c>
      <c r="E985" s="132" t="s">
        <v>9015</v>
      </c>
      <c r="F985" s="132" t="s">
        <v>40</v>
      </c>
      <c r="G985" s="156" t="s">
        <v>9016</v>
      </c>
      <c r="H985" s="156" t="s">
        <v>9017</v>
      </c>
      <c r="I985" s="168" t="s">
        <v>32</v>
      </c>
      <c r="J985" s="169" t="s">
        <v>94</v>
      </c>
    </row>
    <row r="986" spans="1:11">
      <c r="A986" s="154" t="s">
        <v>95</v>
      </c>
      <c r="B986" s="155" t="s">
        <v>9018</v>
      </c>
      <c r="C986" s="132" t="s">
        <v>113</v>
      </c>
      <c r="D986" s="132" t="s">
        <v>3416</v>
      </c>
      <c r="E986" s="132" t="s">
        <v>9019</v>
      </c>
      <c r="F986" s="132" t="s">
        <v>40</v>
      </c>
      <c r="G986" s="156" t="s">
        <v>9020</v>
      </c>
      <c r="H986" s="156" t="s">
        <v>9021</v>
      </c>
      <c r="I986" s="168" t="s">
        <v>32</v>
      </c>
      <c r="J986" s="169" t="s">
        <v>94</v>
      </c>
    </row>
    <row r="987" spans="1:11">
      <c r="A987" s="154" t="s">
        <v>106</v>
      </c>
      <c r="B987" s="155" t="s">
        <v>9022</v>
      </c>
      <c r="C987" s="132" t="s">
        <v>333</v>
      </c>
      <c r="D987" s="132" t="s">
        <v>9023</v>
      </c>
      <c r="E987" s="132" t="s">
        <v>9024</v>
      </c>
      <c r="F987" s="132" t="s">
        <v>40</v>
      </c>
      <c r="G987" s="156" t="s">
        <v>9025</v>
      </c>
      <c r="H987" s="156" t="s">
        <v>9026</v>
      </c>
      <c r="I987" s="168" t="s">
        <v>9027</v>
      </c>
      <c r="J987" s="169" t="s">
        <v>94</v>
      </c>
    </row>
    <row r="988" spans="1:11">
      <c r="A988" s="154" t="s">
        <v>106</v>
      </c>
      <c r="B988" s="155" t="s">
        <v>9028</v>
      </c>
      <c r="C988" s="132" t="s">
        <v>333</v>
      </c>
      <c r="D988" s="132" t="s">
        <v>9029</v>
      </c>
      <c r="E988" s="132" t="s">
        <v>9030</v>
      </c>
      <c r="F988" s="132" t="s">
        <v>40</v>
      </c>
      <c r="G988" s="156" t="s">
        <v>9031</v>
      </c>
      <c r="H988" s="156" t="s">
        <v>9032</v>
      </c>
      <c r="I988" s="168" t="s">
        <v>2351</v>
      </c>
      <c r="J988" s="169" t="s">
        <v>94</v>
      </c>
    </row>
    <row r="989" spans="1:11">
      <c r="A989" s="154" t="s">
        <v>95</v>
      </c>
      <c r="B989" s="155" t="s">
        <v>9033</v>
      </c>
      <c r="C989" s="132" t="s">
        <v>113</v>
      </c>
      <c r="D989" s="132" t="s">
        <v>9034</v>
      </c>
      <c r="E989" s="132" t="s">
        <v>9035</v>
      </c>
      <c r="F989" s="132" t="s">
        <v>40</v>
      </c>
      <c r="G989" s="156" t="s">
        <v>9036</v>
      </c>
      <c r="H989" s="156" t="s">
        <v>9037</v>
      </c>
      <c r="I989" s="168" t="s">
        <v>4677</v>
      </c>
      <c r="J989" s="169" t="s">
        <v>88</v>
      </c>
    </row>
    <row r="990" spans="1:11" ht="29">
      <c r="A990" s="154" t="s">
        <v>20</v>
      </c>
      <c r="B990" s="155" t="s">
        <v>9038</v>
      </c>
      <c r="C990" s="132" t="s">
        <v>21</v>
      </c>
      <c r="D990" s="132" t="s">
        <v>9039</v>
      </c>
      <c r="E990" s="132" t="s">
        <v>9040</v>
      </c>
      <c r="F990" s="132" t="s">
        <v>40</v>
      </c>
      <c r="G990" s="178" t="s">
        <v>9041</v>
      </c>
      <c r="H990" s="156" t="s">
        <v>9042</v>
      </c>
      <c r="I990" s="168" t="s">
        <v>1628</v>
      </c>
      <c r="J990" s="169" t="s">
        <v>88</v>
      </c>
    </row>
    <row r="991" spans="1:11">
      <c r="A991" s="154" t="s">
        <v>20</v>
      </c>
      <c r="B991" s="155" t="s">
        <v>9043</v>
      </c>
      <c r="C991" s="132" t="s">
        <v>21</v>
      </c>
      <c r="D991" s="132" t="s">
        <v>9044</v>
      </c>
      <c r="E991" s="132" t="s">
        <v>9045</v>
      </c>
      <c r="F991" s="132" t="s">
        <v>40</v>
      </c>
      <c r="G991" s="156" t="s">
        <v>9046</v>
      </c>
      <c r="H991" s="156" t="s">
        <v>9047</v>
      </c>
      <c r="I991" s="168" t="s">
        <v>1628</v>
      </c>
      <c r="J991" s="169" t="s">
        <v>88</v>
      </c>
    </row>
    <row r="992" spans="1:11">
      <c r="A992" s="154" t="s">
        <v>20</v>
      </c>
      <c r="B992" s="155" t="s">
        <v>9048</v>
      </c>
      <c r="C992" s="132" t="s">
        <v>49</v>
      </c>
      <c r="D992" s="132" t="s">
        <v>9049</v>
      </c>
      <c r="E992" s="132" t="s">
        <v>9050</v>
      </c>
      <c r="F992" s="132" t="s">
        <v>40</v>
      </c>
      <c r="G992" s="156" t="s">
        <v>9051</v>
      </c>
      <c r="H992" s="156" t="s">
        <v>9052</v>
      </c>
      <c r="I992" s="168" t="s">
        <v>3617</v>
      </c>
      <c r="J992" s="169" t="s">
        <v>94</v>
      </c>
    </row>
    <row r="993" spans="1:11">
      <c r="A993" s="154" t="s">
        <v>95</v>
      </c>
      <c r="B993" s="155" t="s">
        <v>9053</v>
      </c>
      <c r="C993" s="132" t="s">
        <v>28</v>
      </c>
      <c r="D993" s="132" t="s">
        <v>9054</v>
      </c>
      <c r="E993" s="132" t="s">
        <v>9055</v>
      </c>
      <c r="F993" s="132" t="s">
        <v>40</v>
      </c>
      <c r="G993" s="156" t="s">
        <v>9056</v>
      </c>
      <c r="H993" s="156" t="s">
        <v>9057</v>
      </c>
      <c r="I993" s="168" t="s">
        <v>32</v>
      </c>
      <c r="J993" s="169" t="s">
        <v>94</v>
      </c>
    </row>
    <row r="994" spans="1:11">
      <c r="A994" s="154" t="s">
        <v>20</v>
      </c>
      <c r="B994" s="155" t="s">
        <v>9058</v>
      </c>
      <c r="C994" s="132" t="s">
        <v>21</v>
      </c>
      <c r="D994" s="132" t="s">
        <v>9059</v>
      </c>
      <c r="E994" s="132" t="s">
        <v>9060</v>
      </c>
      <c r="F994" s="132" t="s">
        <v>40</v>
      </c>
      <c r="G994" s="156" t="s">
        <v>9061</v>
      </c>
      <c r="H994" s="156" t="s">
        <v>9057</v>
      </c>
      <c r="I994" s="168" t="s">
        <v>9062</v>
      </c>
      <c r="J994" s="169" t="s">
        <v>94</v>
      </c>
    </row>
    <row r="995" spans="1:11">
      <c r="A995" s="154" t="s">
        <v>20</v>
      </c>
      <c r="B995" s="155" t="s">
        <v>9063</v>
      </c>
      <c r="C995" s="132" t="s">
        <v>21</v>
      </c>
      <c r="D995" s="132" t="s">
        <v>8064</v>
      </c>
      <c r="E995" s="132" t="s">
        <v>9064</v>
      </c>
      <c r="F995" s="132" t="s">
        <v>40</v>
      </c>
      <c r="G995" s="156" t="s">
        <v>9065</v>
      </c>
      <c r="H995" s="156" t="s">
        <v>9066</v>
      </c>
      <c r="I995" s="168" t="s">
        <v>1628</v>
      </c>
      <c r="J995" s="169" t="s">
        <v>88</v>
      </c>
    </row>
    <row r="996" spans="1:11">
      <c r="A996" s="154" t="s">
        <v>20</v>
      </c>
      <c r="B996" s="155" t="s">
        <v>9067</v>
      </c>
      <c r="C996" s="132" t="s">
        <v>21</v>
      </c>
      <c r="D996" s="132" t="s">
        <v>2337</v>
      </c>
      <c r="E996" s="132" t="s">
        <v>9068</v>
      </c>
      <c r="F996" s="132" t="s">
        <v>40</v>
      </c>
      <c r="G996" s="156" t="s">
        <v>9069</v>
      </c>
      <c r="H996" s="156" t="s">
        <v>9070</v>
      </c>
      <c r="I996" s="168" t="s">
        <v>1628</v>
      </c>
      <c r="J996" s="169" t="s">
        <v>88</v>
      </c>
    </row>
    <row r="997" spans="1:11">
      <c r="A997" s="154" t="s">
        <v>95</v>
      </c>
      <c r="B997" s="155" t="s">
        <v>9071</v>
      </c>
      <c r="C997" s="132" t="s">
        <v>97</v>
      </c>
      <c r="D997" s="132" t="s">
        <v>2684</v>
      </c>
      <c r="E997" s="132" t="s">
        <v>9072</v>
      </c>
      <c r="F997" s="132" t="s">
        <v>40</v>
      </c>
      <c r="G997" s="156" t="s">
        <v>9073</v>
      </c>
      <c r="H997" s="156" t="s">
        <v>9074</v>
      </c>
      <c r="I997" s="168" t="s">
        <v>2585</v>
      </c>
      <c r="J997" s="169" t="s">
        <v>88</v>
      </c>
    </row>
    <row r="998" spans="1:11">
      <c r="A998" s="154" t="s">
        <v>20</v>
      </c>
      <c r="B998" s="155" t="s">
        <v>9075</v>
      </c>
      <c r="C998" s="132" t="s">
        <v>21</v>
      </c>
      <c r="D998" s="132" t="s">
        <v>9076</v>
      </c>
      <c r="E998" s="132" t="s">
        <v>9077</v>
      </c>
      <c r="F998" s="132" t="s">
        <v>40</v>
      </c>
      <c r="G998" s="156" t="s">
        <v>9078</v>
      </c>
      <c r="H998" s="156" t="s">
        <v>9079</v>
      </c>
      <c r="I998" s="168" t="s">
        <v>1628</v>
      </c>
      <c r="J998" s="169" t="s">
        <v>88</v>
      </c>
    </row>
    <row r="999" spans="1:11">
      <c r="A999" s="154" t="s">
        <v>20</v>
      </c>
      <c r="B999" s="155" t="s">
        <v>9080</v>
      </c>
      <c r="C999" s="132" t="s">
        <v>21</v>
      </c>
      <c r="D999" s="132" t="s">
        <v>9081</v>
      </c>
      <c r="E999" s="132" t="s">
        <v>9082</v>
      </c>
      <c r="F999" s="132" t="s">
        <v>40</v>
      </c>
      <c r="G999" s="156" t="s">
        <v>9083</v>
      </c>
      <c r="H999" s="156" t="s">
        <v>9084</v>
      </c>
      <c r="I999" s="168" t="s">
        <v>1628</v>
      </c>
      <c r="J999" s="169" t="s">
        <v>88</v>
      </c>
    </row>
    <row r="1000" spans="1:11">
      <c r="A1000" s="154" t="s">
        <v>20</v>
      </c>
      <c r="B1000" s="155" t="s">
        <v>9085</v>
      </c>
      <c r="C1000" s="132" t="s">
        <v>21</v>
      </c>
      <c r="D1000" s="132" t="s">
        <v>9086</v>
      </c>
      <c r="E1000" s="132" t="s">
        <v>9087</v>
      </c>
      <c r="F1000" s="132" t="s">
        <v>40</v>
      </c>
      <c r="G1000" s="156" t="s">
        <v>9088</v>
      </c>
      <c r="H1000" s="156" t="s">
        <v>9089</v>
      </c>
      <c r="I1000" s="168" t="s">
        <v>1628</v>
      </c>
      <c r="J1000" s="169" t="s">
        <v>88</v>
      </c>
    </row>
    <row r="1001" spans="1:11">
      <c r="A1001" s="154" t="s">
        <v>20</v>
      </c>
      <c r="B1001" s="155" t="s">
        <v>9090</v>
      </c>
      <c r="C1001" s="132" t="s">
        <v>21</v>
      </c>
      <c r="D1001" s="132" t="s">
        <v>9091</v>
      </c>
      <c r="E1001" s="132" t="s">
        <v>9092</v>
      </c>
      <c r="F1001" s="132" t="s">
        <v>40</v>
      </c>
      <c r="G1001" s="156" t="s">
        <v>9093</v>
      </c>
      <c r="H1001" s="156" t="s">
        <v>9094</v>
      </c>
      <c r="I1001" s="168" t="s">
        <v>4359</v>
      </c>
      <c r="J1001" s="169" t="s">
        <v>94</v>
      </c>
    </row>
    <row r="1002" spans="1:11">
      <c r="A1002" s="154" t="s">
        <v>95</v>
      </c>
      <c r="B1002" s="155" t="s">
        <v>9095</v>
      </c>
      <c r="C1002" s="132" t="s">
        <v>113</v>
      </c>
      <c r="D1002" s="132" t="s">
        <v>9096</v>
      </c>
      <c r="E1002" s="132" t="s">
        <v>9097</v>
      </c>
      <c r="F1002" s="132" t="s">
        <v>40</v>
      </c>
      <c r="G1002" s="156" t="s">
        <v>9098</v>
      </c>
      <c r="H1002" s="156" t="s">
        <v>9099</v>
      </c>
      <c r="I1002" s="168" t="s">
        <v>32</v>
      </c>
      <c r="J1002" s="169" t="s">
        <v>94</v>
      </c>
    </row>
    <row r="1003" spans="1:11">
      <c r="A1003" s="154" t="s">
        <v>106</v>
      </c>
      <c r="B1003" s="155" t="s">
        <v>9100</v>
      </c>
      <c r="C1003" s="132" t="s">
        <v>78</v>
      </c>
      <c r="D1003" s="132" t="s">
        <v>9101</v>
      </c>
      <c r="E1003" s="132" t="s">
        <v>9102</v>
      </c>
      <c r="F1003" s="132" t="s">
        <v>40</v>
      </c>
      <c r="G1003" s="156" t="s">
        <v>9103</v>
      </c>
      <c r="H1003" s="156" t="s">
        <v>9104</v>
      </c>
      <c r="I1003" s="168" t="s">
        <v>258</v>
      </c>
      <c r="J1003" s="169" t="s">
        <v>94</v>
      </c>
    </row>
    <row r="1004" spans="1:11">
      <c r="A1004" s="154" t="s">
        <v>95</v>
      </c>
      <c r="B1004" s="155" t="s">
        <v>9105</v>
      </c>
      <c r="C1004" s="132" t="s">
        <v>97</v>
      </c>
      <c r="D1004" s="132" t="s">
        <v>9106</v>
      </c>
      <c r="E1004" s="132" t="s">
        <v>9107</v>
      </c>
      <c r="F1004" s="132" t="s">
        <v>40</v>
      </c>
      <c r="G1004" s="156" t="s">
        <v>9108</v>
      </c>
      <c r="H1004" s="156">
        <v>45296.177777777775</v>
      </c>
      <c r="I1004" s="168" t="s">
        <v>32</v>
      </c>
      <c r="J1004" s="169" t="s">
        <v>94</v>
      </c>
    </row>
    <row r="1005" spans="1:11">
      <c r="A1005" s="154" t="s">
        <v>106</v>
      </c>
      <c r="B1005" s="155" t="s">
        <v>9109</v>
      </c>
      <c r="C1005" s="132" t="s">
        <v>108</v>
      </c>
      <c r="D1005" s="132" t="s">
        <v>8107</v>
      </c>
      <c r="E1005" s="132" t="s">
        <v>9110</v>
      </c>
      <c r="F1005" s="132" t="s">
        <v>40</v>
      </c>
      <c r="G1005" s="156" t="s">
        <v>9111</v>
      </c>
      <c r="H1005" s="156" t="s">
        <v>9112</v>
      </c>
      <c r="I1005" s="168" t="s">
        <v>111</v>
      </c>
      <c r="J1005" s="169" t="s">
        <v>94</v>
      </c>
      <c r="K1005" s="169" t="s">
        <v>88</v>
      </c>
    </row>
    <row r="1006" spans="1:11">
      <c r="A1006" s="154" t="s">
        <v>20</v>
      </c>
      <c r="B1006" s="155" t="s">
        <v>9113</v>
      </c>
      <c r="C1006" s="132" t="s">
        <v>21</v>
      </c>
      <c r="D1006" s="132" t="s">
        <v>9114</v>
      </c>
      <c r="E1006" s="132" t="s">
        <v>9115</v>
      </c>
      <c r="F1006" s="132" t="s">
        <v>40</v>
      </c>
      <c r="G1006" s="156" t="s">
        <v>9116</v>
      </c>
      <c r="H1006" s="156" t="s">
        <v>9117</v>
      </c>
      <c r="I1006" s="168" t="s">
        <v>1628</v>
      </c>
      <c r="J1006" s="169" t="s">
        <v>88</v>
      </c>
    </row>
    <row r="1007" spans="1:11">
      <c r="A1007" s="154" t="s">
        <v>95</v>
      </c>
      <c r="B1007" s="155" t="s">
        <v>9118</v>
      </c>
      <c r="C1007" s="132" t="s">
        <v>97</v>
      </c>
      <c r="D1007" s="132" t="s">
        <v>2684</v>
      </c>
      <c r="E1007" s="132" t="s">
        <v>9119</v>
      </c>
      <c r="F1007" s="132" t="s">
        <v>40</v>
      </c>
      <c r="G1007" s="156" t="s">
        <v>9120</v>
      </c>
      <c r="H1007" s="156" t="s">
        <v>9121</v>
      </c>
      <c r="I1007" s="168" t="s">
        <v>2585</v>
      </c>
      <c r="J1007" s="169" t="s">
        <v>88</v>
      </c>
    </row>
    <row r="1008" spans="1:11">
      <c r="A1008" s="154" t="s">
        <v>20</v>
      </c>
      <c r="B1008" s="155" t="s">
        <v>9122</v>
      </c>
      <c r="C1008" s="132" t="s">
        <v>13</v>
      </c>
      <c r="D1008" s="132" t="s">
        <v>9123</v>
      </c>
      <c r="E1008" s="132" t="s">
        <v>9124</v>
      </c>
      <c r="F1008" s="132" t="s">
        <v>40</v>
      </c>
      <c r="G1008" s="156" t="s">
        <v>9125</v>
      </c>
      <c r="H1008" s="156" t="s">
        <v>9126</v>
      </c>
      <c r="I1008" s="168" t="s">
        <v>8015</v>
      </c>
      <c r="J1008" s="169" t="s">
        <v>88</v>
      </c>
    </row>
    <row r="1009" spans="1:12">
      <c r="A1009" s="154" t="s">
        <v>20</v>
      </c>
      <c r="B1009" s="155" t="s">
        <v>9127</v>
      </c>
      <c r="C1009" s="132" t="s">
        <v>21</v>
      </c>
      <c r="D1009" s="132" t="s">
        <v>9128</v>
      </c>
      <c r="E1009" s="132" t="s">
        <v>9129</v>
      </c>
      <c r="F1009" s="132" t="s">
        <v>40</v>
      </c>
      <c r="G1009" s="156" t="s">
        <v>9126</v>
      </c>
      <c r="H1009" s="156" t="s">
        <v>9130</v>
      </c>
      <c r="I1009" s="168" t="s">
        <v>1628</v>
      </c>
      <c r="J1009" s="169" t="s">
        <v>88</v>
      </c>
    </row>
    <row r="1010" spans="1:12">
      <c r="A1010" s="154" t="s">
        <v>106</v>
      </c>
      <c r="B1010" s="155" t="s">
        <v>9131</v>
      </c>
      <c r="C1010" s="132" t="s">
        <v>108</v>
      </c>
      <c r="D1010" s="132" t="s">
        <v>9132</v>
      </c>
      <c r="E1010" s="132" t="s">
        <v>9133</v>
      </c>
      <c r="F1010" s="132" t="s">
        <v>40</v>
      </c>
      <c r="G1010" s="156" t="s">
        <v>9134</v>
      </c>
      <c r="H1010" s="156" t="s">
        <v>9135</v>
      </c>
      <c r="I1010" s="168" t="s">
        <v>6075</v>
      </c>
      <c r="J1010" s="169" t="s">
        <v>94</v>
      </c>
    </row>
    <row r="1011" spans="1:12" ht="43.5">
      <c r="A1011" s="154" t="s">
        <v>106</v>
      </c>
      <c r="B1011" s="155" t="s">
        <v>9136</v>
      </c>
      <c r="C1011" s="132" t="s">
        <v>333</v>
      </c>
      <c r="D1011" s="132" t="s">
        <v>9137</v>
      </c>
      <c r="E1011" s="137" t="s">
        <v>9138</v>
      </c>
      <c r="F1011" s="132" t="s">
        <v>40</v>
      </c>
      <c r="G1011" s="156">
        <v>45296.4</v>
      </c>
      <c r="H1011" s="156">
        <v>45356.65</v>
      </c>
      <c r="I1011" s="168" t="s">
        <v>346</v>
      </c>
      <c r="J1011" s="169" t="s">
        <v>72</v>
      </c>
    </row>
    <row r="1012" spans="1:12">
      <c r="A1012" s="154" t="s">
        <v>106</v>
      </c>
      <c r="B1012" s="155" t="s">
        <v>9139</v>
      </c>
      <c r="C1012" s="132" t="s">
        <v>333</v>
      </c>
      <c r="D1012" s="132" t="s">
        <v>9140</v>
      </c>
      <c r="E1012" s="132" t="s">
        <v>9141</v>
      </c>
      <c r="F1012" s="132" t="s">
        <v>40</v>
      </c>
      <c r="G1012" s="156" t="s">
        <v>9142</v>
      </c>
      <c r="H1012" s="156" t="s">
        <v>9143</v>
      </c>
      <c r="I1012" s="168" t="s">
        <v>4604</v>
      </c>
      <c r="J1012" s="169" t="s">
        <v>94</v>
      </c>
    </row>
    <row r="1013" spans="1:12">
      <c r="A1013" s="154" t="s">
        <v>20</v>
      </c>
      <c r="B1013" s="155" t="s">
        <v>9144</v>
      </c>
      <c r="C1013" s="132" t="s">
        <v>49</v>
      </c>
      <c r="D1013" s="132" t="s">
        <v>9145</v>
      </c>
      <c r="E1013" s="132" t="s">
        <v>9146</v>
      </c>
      <c r="F1013" s="132" t="s">
        <v>40</v>
      </c>
      <c r="G1013" s="156" t="s">
        <v>9147</v>
      </c>
      <c r="H1013" s="156" t="s">
        <v>9148</v>
      </c>
      <c r="I1013" s="168" t="s">
        <v>32</v>
      </c>
      <c r="J1013" s="169" t="s">
        <v>94</v>
      </c>
    </row>
    <row r="1014" spans="1:12" hidden="1">
      <c r="A1014" s="154" t="s">
        <v>20</v>
      </c>
      <c r="B1014" s="155" t="s">
        <v>9149</v>
      </c>
      <c r="C1014" s="132" t="s">
        <v>13</v>
      </c>
      <c r="D1014" s="132" t="s">
        <v>9150</v>
      </c>
      <c r="F1014" s="132" t="s">
        <v>214</v>
      </c>
      <c r="G1014" s="156" t="s">
        <v>9151</v>
      </c>
      <c r="I1014" s="168" t="s">
        <v>9152</v>
      </c>
      <c r="J1014" s="169" t="s">
        <v>94</v>
      </c>
      <c r="K1014" s="169" t="s">
        <v>88</v>
      </c>
      <c r="L1014" s="185">
        <v>45412</v>
      </c>
    </row>
    <row r="1015" spans="1:12">
      <c r="A1015" s="154" t="s">
        <v>20</v>
      </c>
      <c r="B1015" s="155" t="s">
        <v>9149</v>
      </c>
      <c r="C1015" s="132" t="s">
        <v>13</v>
      </c>
      <c r="D1015" s="132" t="s">
        <v>9150</v>
      </c>
      <c r="E1015" s="132" t="s">
        <v>9153</v>
      </c>
      <c r="F1015" s="132" t="s">
        <v>40</v>
      </c>
      <c r="G1015" s="156">
        <v>45296.333333333336</v>
      </c>
      <c r="I1015" s="168" t="s">
        <v>17</v>
      </c>
      <c r="J1015" s="169" t="s">
        <v>72</v>
      </c>
    </row>
    <row r="1016" spans="1:12">
      <c r="A1016" s="154" t="s">
        <v>106</v>
      </c>
      <c r="B1016" s="155" t="s">
        <v>9154</v>
      </c>
      <c r="C1016" s="132" t="s">
        <v>108</v>
      </c>
      <c r="D1016" s="132" t="s">
        <v>9155</v>
      </c>
      <c r="E1016" s="132" t="s">
        <v>9156</v>
      </c>
      <c r="F1016" s="132" t="s">
        <v>40</v>
      </c>
      <c r="G1016" s="156" t="s">
        <v>9157</v>
      </c>
      <c r="H1016" s="156" t="s">
        <v>9158</v>
      </c>
      <c r="I1016" s="168" t="s">
        <v>8105</v>
      </c>
      <c r="J1016" s="169" t="s">
        <v>94</v>
      </c>
    </row>
    <row r="1017" spans="1:12">
      <c r="A1017" s="154" t="s">
        <v>20</v>
      </c>
      <c r="B1017" s="155" t="s">
        <v>9159</v>
      </c>
      <c r="C1017" s="132" t="s">
        <v>13</v>
      </c>
      <c r="D1017" s="132" t="s">
        <v>9160</v>
      </c>
      <c r="E1017" s="132" t="s">
        <v>9161</v>
      </c>
      <c r="F1017" s="132" t="s">
        <v>40</v>
      </c>
      <c r="G1017" s="156" t="s">
        <v>9162</v>
      </c>
      <c r="H1017" s="156" t="s">
        <v>9163</v>
      </c>
      <c r="I1017" s="168" t="s">
        <v>8015</v>
      </c>
      <c r="J1017" s="169" t="s">
        <v>88</v>
      </c>
    </row>
    <row r="1018" spans="1:12">
      <c r="A1018" s="154" t="s">
        <v>20</v>
      </c>
      <c r="B1018" s="155" t="s">
        <v>9164</v>
      </c>
      <c r="C1018" s="132" t="s">
        <v>13</v>
      </c>
      <c r="D1018" s="132" t="s">
        <v>9165</v>
      </c>
      <c r="E1018" s="132" t="s">
        <v>9166</v>
      </c>
      <c r="F1018" s="132" t="s">
        <v>40</v>
      </c>
      <c r="G1018" s="156" t="s">
        <v>9167</v>
      </c>
      <c r="H1018" s="156" t="s">
        <v>9168</v>
      </c>
      <c r="I1018" s="168" t="s">
        <v>9169</v>
      </c>
      <c r="J1018" s="169" t="s">
        <v>88</v>
      </c>
    </row>
    <row r="1019" spans="1:12">
      <c r="A1019" s="154" t="s">
        <v>95</v>
      </c>
      <c r="B1019" s="155" t="s">
        <v>9170</v>
      </c>
      <c r="C1019" s="132" t="s">
        <v>97</v>
      </c>
      <c r="D1019" s="132" t="s">
        <v>9171</v>
      </c>
      <c r="E1019" s="132" t="s">
        <v>9172</v>
      </c>
      <c r="F1019" s="132" t="s">
        <v>40</v>
      </c>
      <c r="G1019" s="156" t="s">
        <v>9173</v>
      </c>
      <c r="H1019" s="156" t="s">
        <v>9174</v>
      </c>
      <c r="I1019" s="168" t="s">
        <v>4375</v>
      </c>
      <c r="J1019" s="169" t="s">
        <v>88</v>
      </c>
    </row>
    <row r="1020" spans="1:12">
      <c r="A1020" s="154" t="s">
        <v>95</v>
      </c>
      <c r="B1020" s="155" t="s">
        <v>9175</v>
      </c>
      <c r="C1020" s="132" t="s">
        <v>97</v>
      </c>
      <c r="D1020" s="132" t="s">
        <v>9176</v>
      </c>
      <c r="E1020" s="132" t="s">
        <v>9177</v>
      </c>
      <c r="F1020" s="132" t="s">
        <v>40</v>
      </c>
      <c r="G1020" s="156" t="s">
        <v>9178</v>
      </c>
      <c r="H1020" s="156" t="s">
        <v>9179</v>
      </c>
      <c r="I1020" s="168" t="s">
        <v>4375</v>
      </c>
      <c r="J1020" s="169" t="s">
        <v>88</v>
      </c>
    </row>
    <row r="1021" spans="1:12">
      <c r="A1021" s="154" t="s">
        <v>20</v>
      </c>
      <c r="B1021" s="155" t="s">
        <v>9180</v>
      </c>
      <c r="C1021" s="132" t="s">
        <v>21</v>
      </c>
      <c r="D1021" s="132" t="s">
        <v>9181</v>
      </c>
      <c r="E1021" s="132" t="s">
        <v>9182</v>
      </c>
      <c r="F1021" s="132" t="s">
        <v>40</v>
      </c>
      <c r="G1021" s="156" t="s">
        <v>9183</v>
      </c>
      <c r="H1021" s="156" t="s">
        <v>9184</v>
      </c>
      <c r="I1021" s="168" t="s">
        <v>1628</v>
      </c>
      <c r="J1021" s="169" t="s">
        <v>88</v>
      </c>
    </row>
    <row r="1022" spans="1:12">
      <c r="A1022" s="154" t="s">
        <v>20</v>
      </c>
      <c r="B1022" s="155" t="s">
        <v>9185</v>
      </c>
      <c r="C1022" s="132" t="s">
        <v>21</v>
      </c>
      <c r="D1022" s="132" t="s">
        <v>9186</v>
      </c>
      <c r="E1022" s="132" t="s">
        <v>9187</v>
      </c>
      <c r="F1022" s="132" t="s">
        <v>40</v>
      </c>
      <c r="G1022" s="156">
        <v>45296.104861111111</v>
      </c>
      <c r="H1022" s="156">
        <v>45296.175694444442</v>
      </c>
      <c r="I1022" s="168" t="s">
        <v>6245</v>
      </c>
      <c r="J1022" s="169" t="s">
        <v>88</v>
      </c>
    </row>
    <row r="1023" spans="1:12">
      <c r="A1023" s="154" t="s">
        <v>20</v>
      </c>
      <c r="B1023" s="155" t="s">
        <v>9188</v>
      </c>
      <c r="C1023" s="132" t="s">
        <v>21</v>
      </c>
      <c r="D1023" s="132" t="s">
        <v>9189</v>
      </c>
      <c r="E1023" s="132" t="s">
        <v>9190</v>
      </c>
      <c r="F1023" s="132" t="s">
        <v>40</v>
      </c>
      <c r="G1023" s="156">
        <v>45296.333333333336</v>
      </c>
      <c r="H1023" s="156">
        <v>45296.822916666664</v>
      </c>
      <c r="I1023" s="168" t="s">
        <v>32</v>
      </c>
      <c r="J1023" s="169" t="s">
        <v>72</v>
      </c>
    </row>
    <row r="1024" spans="1:12">
      <c r="A1024" s="154" t="s">
        <v>106</v>
      </c>
      <c r="B1024" s="155" t="s">
        <v>9191</v>
      </c>
      <c r="C1024" s="132" t="s">
        <v>108</v>
      </c>
      <c r="D1024" s="132" t="s">
        <v>9192</v>
      </c>
      <c r="E1024" s="132" t="s">
        <v>9193</v>
      </c>
      <c r="F1024" s="132" t="s">
        <v>40</v>
      </c>
      <c r="G1024" s="156">
        <v>45296.723611111112</v>
      </c>
      <c r="H1024" s="156">
        <v>45296.820138888892</v>
      </c>
      <c r="I1024" s="168" t="s">
        <v>9194</v>
      </c>
      <c r="J1024" s="169" t="s">
        <v>72</v>
      </c>
    </row>
    <row r="1025" spans="1:10">
      <c r="A1025" s="154" t="s">
        <v>20</v>
      </c>
      <c r="B1025" s="155" t="s">
        <v>9195</v>
      </c>
      <c r="C1025" s="132" t="s">
        <v>13</v>
      </c>
      <c r="D1025" s="132" t="s">
        <v>9196</v>
      </c>
      <c r="E1025" s="132" t="s">
        <v>2302</v>
      </c>
      <c r="F1025" s="132" t="s">
        <v>40</v>
      </c>
      <c r="G1025" s="156">
        <v>45296.722916666666</v>
      </c>
      <c r="H1025" s="156">
        <v>45296.830555555556</v>
      </c>
      <c r="I1025" s="168" t="s">
        <v>9197</v>
      </c>
      <c r="J1025" s="169" t="s">
        <v>72</v>
      </c>
    </row>
    <row r="1026" spans="1:10">
      <c r="A1026" s="154" t="s">
        <v>106</v>
      </c>
      <c r="B1026" s="155" t="s">
        <v>9198</v>
      </c>
      <c r="C1026" s="132" t="s">
        <v>108</v>
      </c>
      <c r="D1026" s="132" t="s">
        <v>9199</v>
      </c>
      <c r="E1026" s="132" t="s">
        <v>9200</v>
      </c>
      <c r="F1026" s="132" t="s">
        <v>40</v>
      </c>
      <c r="G1026" s="156">
        <v>45296.893750000003</v>
      </c>
      <c r="H1026" s="156">
        <v>45296.935416666667</v>
      </c>
      <c r="I1026" s="168" t="s">
        <v>9201</v>
      </c>
      <c r="J1026" s="169" t="s">
        <v>61</v>
      </c>
    </row>
    <row r="1027" spans="1:10">
      <c r="A1027" s="154" t="s">
        <v>20</v>
      </c>
      <c r="B1027" s="159" t="s">
        <v>9202</v>
      </c>
      <c r="C1027" s="155" t="s">
        <v>21</v>
      </c>
      <c r="D1027" s="132" t="s">
        <v>9203</v>
      </c>
      <c r="E1027" s="132" t="s">
        <v>9204</v>
      </c>
      <c r="F1027" s="132" t="s">
        <v>40</v>
      </c>
      <c r="G1027" s="156">
        <v>45296.963888888888</v>
      </c>
      <c r="H1027" s="156">
        <v>45327.005555555559</v>
      </c>
      <c r="I1027" s="168" t="s">
        <v>9205</v>
      </c>
      <c r="J1027" s="169" t="s">
        <v>61</v>
      </c>
    </row>
    <row r="1028" spans="1:10">
      <c r="A1028" s="154" t="s">
        <v>95</v>
      </c>
      <c r="B1028" s="155" t="s">
        <v>9206</v>
      </c>
      <c r="C1028" s="132" t="s">
        <v>97</v>
      </c>
      <c r="D1028" s="132" t="s">
        <v>9207</v>
      </c>
      <c r="E1028" s="132" t="s">
        <v>9208</v>
      </c>
      <c r="F1028" s="132" t="s">
        <v>40</v>
      </c>
      <c r="G1028" s="156">
        <v>45327.06527777778</v>
      </c>
      <c r="H1028" s="156">
        <v>45327.083333333336</v>
      </c>
      <c r="I1028" s="168" t="s">
        <v>2855</v>
      </c>
      <c r="J1028" s="169" t="s">
        <v>61</v>
      </c>
    </row>
    <row r="1029" spans="1:10" hidden="1">
      <c r="A1029" s="154" t="s">
        <v>20</v>
      </c>
      <c r="B1029" s="155" t="s">
        <v>9209</v>
      </c>
      <c r="C1029" s="132" t="s">
        <v>21</v>
      </c>
      <c r="D1029" s="132" t="s">
        <v>9210</v>
      </c>
      <c r="E1029" s="132" t="s">
        <v>9211</v>
      </c>
      <c r="F1029" s="132" t="s">
        <v>308</v>
      </c>
      <c r="G1029" s="156">
        <v>45327.263888888891</v>
      </c>
      <c r="I1029" s="168" t="s">
        <v>2003</v>
      </c>
      <c r="J1029" s="169" t="s">
        <v>61</v>
      </c>
    </row>
    <row r="1030" spans="1:10" ht="29">
      <c r="A1030" s="154" t="s">
        <v>95</v>
      </c>
      <c r="B1030" s="155" t="s">
        <v>9212</v>
      </c>
      <c r="C1030" s="132" t="s">
        <v>97</v>
      </c>
      <c r="D1030" s="132" t="s">
        <v>9213</v>
      </c>
      <c r="E1030" s="137" t="s">
        <v>9214</v>
      </c>
      <c r="F1030" s="132" t="s">
        <v>40</v>
      </c>
      <c r="G1030" s="156">
        <v>45327.334027777775</v>
      </c>
      <c r="I1030" s="168" t="s">
        <v>2814</v>
      </c>
      <c r="J1030" s="169" t="s">
        <v>72</v>
      </c>
    </row>
    <row r="1031" spans="1:10">
      <c r="A1031" s="154" t="s">
        <v>95</v>
      </c>
      <c r="B1031" s="155" t="s">
        <v>9215</v>
      </c>
      <c r="C1031" s="132" t="s">
        <v>113</v>
      </c>
      <c r="D1031" s="132" t="s">
        <v>9216</v>
      </c>
      <c r="E1031" s="132" t="s">
        <v>9217</v>
      </c>
      <c r="F1031" s="132" t="s">
        <v>40</v>
      </c>
      <c r="G1031" s="156">
        <v>45327.520833333336</v>
      </c>
      <c r="H1031" s="156">
        <v>45327.543055555558</v>
      </c>
      <c r="I1031" s="168" t="s">
        <v>8475</v>
      </c>
      <c r="J1031" s="169" t="s">
        <v>72</v>
      </c>
    </row>
    <row r="1032" spans="1:10">
      <c r="A1032" s="154" t="s">
        <v>106</v>
      </c>
      <c r="B1032" s="155" t="s">
        <v>9218</v>
      </c>
      <c r="C1032" s="132" t="s">
        <v>78</v>
      </c>
      <c r="D1032" s="132" t="s">
        <v>9219</v>
      </c>
      <c r="E1032" s="132" t="s">
        <v>9220</v>
      </c>
      <c r="F1032" s="132" t="s">
        <v>40</v>
      </c>
      <c r="G1032" s="156">
        <v>45327.530555555553</v>
      </c>
      <c r="H1032" s="156">
        <v>45327.564583333333</v>
      </c>
      <c r="I1032" s="168" t="s">
        <v>258</v>
      </c>
      <c r="J1032" s="169" t="s">
        <v>72</v>
      </c>
    </row>
    <row r="1033" spans="1:10">
      <c r="A1033" s="154" t="s">
        <v>95</v>
      </c>
      <c r="B1033" s="155" t="s">
        <v>9221</v>
      </c>
      <c r="C1033" s="132" t="s">
        <v>97</v>
      </c>
      <c r="D1033" s="132" t="s">
        <v>9222</v>
      </c>
      <c r="E1033" s="132" t="s">
        <v>9223</v>
      </c>
      <c r="F1033" s="132" t="s">
        <v>40</v>
      </c>
      <c r="G1033" s="156">
        <v>45327.677083333336</v>
      </c>
      <c r="H1033" s="156">
        <v>45327.709027777775</v>
      </c>
      <c r="I1033" s="168" t="s">
        <v>9224</v>
      </c>
      <c r="J1033" s="169" t="s">
        <v>72</v>
      </c>
    </row>
    <row r="1034" spans="1:10">
      <c r="A1034" s="154" t="s">
        <v>20</v>
      </c>
      <c r="B1034" s="155" t="s">
        <v>9225</v>
      </c>
      <c r="C1034" s="132" t="s">
        <v>13</v>
      </c>
      <c r="D1034" s="132" t="s">
        <v>9226</v>
      </c>
      <c r="E1034" s="132" t="s">
        <v>9227</v>
      </c>
      <c r="F1034" s="132" t="s">
        <v>40</v>
      </c>
      <c r="G1034" s="156">
        <v>45327.59375</v>
      </c>
      <c r="H1034" s="156">
        <v>45387.588888888888</v>
      </c>
      <c r="I1034" s="168" t="s">
        <v>149</v>
      </c>
      <c r="J1034" s="169" t="s">
        <v>72</v>
      </c>
    </row>
    <row r="1035" spans="1:10">
      <c r="A1035" s="154" t="s">
        <v>95</v>
      </c>
      <c r="B1035" s="159" t="s">
        <v>9228</v>
      </c>
      <c r="C1035" s="132" t="s">
        <v>113</v>
      </c>
      <c r="D1035" s="132" t="s">
        <v>9229</v>
      </c>
      <c r="E1035" s="132" t="s">
        <v>9230</v>
      </c>
      <c r="F1035" s="132" t="s">
        <v>40</v>
      </c>
      <c r="G1035" s="156">
        <v>45327.836805555555</v>
      </c>
      <c r="H1035" s="156">
        <v>45327.961805555555</v>
      </c>
      <c r="I1035" s="168" t="s">
        <v>866</v>
      </c>
      <c r="J1035" s="169" t="s">
        <v>61</v>
      </c>
    </row>
    <row r="1036" spans="1:10">
      <c r="A1036" s="154" t="s">
        <v>20</v>
      </c>
      <c r="B1036" s="155" t="s">
        <v>9231</v>
      </c>
      <c r="C1036" s="132" t="s">
        <v>13</v>
      </c>
      <c r="D1036" s="132" t="s">
        <v>9232</v>
      </c>
      <c r="E1036" s="132" t="s">
        <v>9233</v>
      </c>
      <c r="F1036" s="132" t="s">
        <v>40</v>
      </c>
      <c r="G1036" s="156">
        <v>45327.918749999997</v>
      </c>
      <c r="H1036" s="156">
        <v>45356.002083333333</v>
      </c>
      <c r="I1036" s="168" t="s">
        <v>1367</v>
      </c>
      <c r="J1036" s="169" t="s">
        <v>61</v>
      </c>
    </row>
    <row r="1037" spans="1:10">
      <c r="A1037" s="154" t="s">
        <v>20</v>
      </c>
      <c r="B1037" s="155" t="s">
        <v>9234</v>
      </c>
      <c r="C1037" s="132" t="s">
        <v>21</v>
      </c>
      <c r="D1037" s="132" t="s">
        <v>9235</v>
      </c>
      <c r="E1037" s="132" t="s">
        <v>9236</v>
      </c>
      <c r="F1037" s="132" t="s">
        <v>40</v>
      </c>
      <c r="G1037" s="156">
        <v>45356.03125</v>
      </c>
      <c r="H1037" s="156">
        <v>45356.072916666664</v>
      </c>
      <c r="I1037" s="168" t="s">
        <v>64</v>
      </c>
      <c r="J1037" s="169" t="s">
        <v>61</v>
      </c>
    </row>
    <row r="1038" spans="1:10">
      <c r="A1038" s="154" t="s">
        <v>20</v>
      </c>
      <c r="B1038" s="155" t="s">
        <v>9237</v>
      </c>
      <c r="C1038" s="132" t="s">
        <v>21</v>
      </c>
      <c r="D1038" s="132" t="s">
        <v>9238</v>
      </c>
      <c r="E1038" s="132" t="s">
        <v>9239</v>
      </c>
      <c r="F1038" s="132" t="s">
        <v>40</v>
      </c>
      <c r="G1038" s="156">
        <v>45356.26458333333</v>
      </c>
      <c r="H1038" s="156">
        <v>45356.291666666664</v>
      </c>
      <c r="I1038" s="168" t="s">
        <v>2071</v>
      </c>
      <c r="J1038" s="169" t="s">
        <v>61</v>
      </c>
    </row>
    <row r="1039" spans="1:10" hidden="1">
      <c r="A1039" s="154" t="s">
        <v>95</v>
      </c>
      <c r="B1039" s="155" t="s">
        <v>9240</v>
      </c>
      <c r="C1039" s="132" t="s">
        <v>1763</v>
      </c>
      <c r="D1039" s="132" t="s">
        <v>9241</v>
      </c>
      <c r="F1039" s="132" t="s">
        <v>214</v>
      </c>
      <c r="G1039" s="156">
        <v>45327.836805555555</v>
      </c>
      <c r="I1039" s="168" t="s">
        <v>866</v>
      </c>
      <c r="J1039" s="169" t="s">
        <v>61</v>
      </c>
    </row>
    <row r="1040" spans="1:10" hidden="1">
      <c r="A1040" s="154" t="s">
        <v>106</v>
      </c>
      <c r="B1040" s="155" t="s">
        <v>9242</v>
      </c>
      <c r="C1040" s="132" t="s">
        <v>78</v>
      </c>
      <c r="D1040" s="132" t="s">
        <v>9243</v>
      </c>
      <c r="F1040" s="132" t="s">
        <v>214</v>
      </c>
      <c r="G1040" s="156">
        <v>45356.32708333333</v>
      </c>
      <c r="I1040" s="168" t="s">
        <v>258</v>
      </c>
      <c r="J1040" s="169" t="s">
        <v>61</v>
      </c>
    </row>
    <row r="1041" spans="1:10">
      <c r="A1041" s="154" t="s">
        <v>20</v>
      </c>
      <c r="B1041" s="155" t="s">
        <v>9244</v>
      </c>
      <c r="C1041" s="132" t="s">
        <v>13</v>
      </c>
      <c r="D1041" s="132" t="s">
        <v>9196</v>
      </c>
      <c r="E1041" s="132" t="s">
        <v>276</v>
      </c>
      <c r="F1041" s="132" t="s">
        <v>40</v>
      </c>
      <c r="G1041" s="156">
        <v>45356.406944444447</v>
      </c>
      <c r="H1041" s="156">
        <v>45356.584722222222</v>
      </c>
      <c r="I1041" s="168" t="s">
        <v>9245</v>
      </c>
      <c r="J1041" s="169" t="s">
        <v>72</v>
      </c>
    </row>
    <row r="1042" spans="1:10">
      <c r="A1042" s="154" t="s">
        <v>106</v>
      </c>
      <c r="B1042" s="155" t="s">
        <v>9246</v>
      </c>
      <c r="C1042" s="132" t="s">
        <v>78</v>
      </c>
      <c r="D1042" s="132" t="s">
        <v>9247</v>
      </c>
      <c r="E1042" s="132" t="s">
        <v>9248</v>
      </c>
      <c r="F1042" s="132" t="s">
        <v>40</v>
      </c>
      <c r="G1042" s="156">
        <v>45356.445138888892</v>
      </c>
      <c r="H1042" s="156">
        <v>45356.464583333334</v>
      </c>
      <c r="I1042" s="168" t="s">
        <v>258</v>
      </c>
      <c r="J1042" s="169" t="s">
        <v>72</v>
      </c>
    </row>
    <row r="1043" spans="1:10">
      <c r="A1043" s="154" t="s">
        <v>106</v>
      </c>
      <c r="B1043" s="155" t="s">
        <v>9249</v>
      </c>
      <c r="C1043" s="132" t="s">
        <v>108</v>
      </c>
      <c r="D1043" s="132" t="s">
        <v>9250</v>
      </c>
      <c r="E1043" s="132" t="s">
        <v>9251</v>
      </c>
      <c r="F1043" s="132" t="s">
        <v>40</v>
      </c>
      <c r="G1043" s="156">
        <v>45356.46875</v>
      </c>
      <c r="H1043" s="156">
        <v>45356.602083333331</v>
      </c>
      <c r="I1043" s="168" t="s">
        <v>3041</v>
      </c>
      <c r="J1043" s="169" t="s">
        <v>72</v>
      </c>
    </row>
    <row r="1044" spans="1:10">
      <c r="A1044" s="164" t="s">
        <v>95</v>
      </c>
      <c r="B1044" s="155" t="s">
        <v>9252</v>
      </c>
      <c r="C1044" s="132" t="s">
        <v>97</v>
      </c>
      <c r="D1044" s="132" t="s">
        <v>9253</v>
      </c>
      <c r="E1044" s="132" t="s">
        <v>9254</v>
      </c>
      <c r="F1044" s="132" t="s">
        <v>40</v>
      </c>
      <c r="G1044" s="156">
        <v>45356.697916666664</v>
      </c>
      <c r="H1044" s="156">
        <v>45356.813888888886</v>
      </c>
      <c r="I1044" s="168" t="s">
        <v>9255</v>
      </c>
      <c r="J1044" s="169" t="s">
        <v>72</v>
      </c>
    </row>
    <row r="1045" spans="1:10">
      <c r="A1045" s="164" t="s">
        <v>95</v>
      </c>
      <c r="B1045" s="159" t="s">
        <v>9256</v>
      </c>
      <c r="C1045" s="132" t="s">
        <v>6047</v>
      </c>
      <c r="D1045" s="132" t="s">
        <v>9257</v>
      </c>
      <c r="E1045" s="132" t="s">
        <v>9258</v>
      </c>
      <c r="F1045" s="132" t="s">
        <v>40</v>
      </c>
      <c r="G1045" s="156">
        <v>45356.942361111112</v>
      </c>
      <c r="H1045" s="156">
        <v>45387.220833333333</v>
      </c>
      <c r="I1045" s="168" t="s">
        <v>6974</v>
      </c>
      <c r="J1045" s="169" t="s">
        <v>61</v>
      </c>
    </row>
    <row r="1046" spans="1:10">
      <c r="A1046" s="154" t="s">
        <v>20</v>
      </c>
      <c r="B1046" s="155" t="s">
        <v>9259</v>
      </c>
      <c r="C1046" s="132" t="s">
        <v>13</v>
      </c>
      <c r="D1046" s="132" t="s">
        <v>9260</v>
      </c>
      <c r="E1046" s="132" t="s">
        <v>9261</v>
      </c>
      <c r="F1046" s="132" t="s">
        <v>40</v>
      </c>
      <c r="G1046" s="156">
        <v>45356.994444444441</v>
      </c>
      <c r="H1046" s="156">
        <v>45387.036111111112</v>
      </c>
      <c r="I1046" s="168" t="s">
        <v>9262</v>
      </c>
      <c r="J1046" s="169" t="s">
        <v>61</v>
      </c>
    </row>
    <row r="1047" spans="1:10">
      <c r="A1047" s="154" t="s">
        <v>20</v>
      </c>
      <c r="B1047" s="155" t="s">
        <v>9263</v>
      </c>
      <c r="C1047" s="132" t="s">
        <v>21</v>
      </c>
      <c r="D1047" s="132" t="s">
        <v>9264</v>
      </c>
      <c r="E1047" s="132" t="s">
        <v>9265</v>
      </c>
      <c r="F1047" s="132" t="s">
        <v>40</v>
      </c>
      <c r="G1047" s="156">
        <v>45387.006249999999</v>
      </c>
      <c r="H1047" s="156">
        <v>45387.04791666667</v>
      </c>
      <c r="I1047" s="168" t="s">
        <v>64</v>
      </c>
      <c r="J1047" s="169" t="s">
        <v>61</v>
      </c>
    </row>
    <row r="1048" spans="1:10">
      <c r="A1048" s="154" t="s">
        <v>95</v>
      </c>
      <c r="B1048" s="155" t="s">
        <v>9266</v>
      </c>
      <c r="C1048" s="132" t="s">
        <v>97</v>
      </c>
      <c r="D1048" s="132" t="s">
        <v>1933</v>
      </c>
      <c r="E1048" s="132" t="s">
        <v>9267</v>
      </c>
      <c r="F1048" s="132" t="s">
        <v>40</v>
      </c>
      <c r="G1048" s="156">
        <v>45387.339583333334</v>
      </c>
      <c r="H1048" s="156">
        <v>45387.509722222225</v>
      </c>
      <c r="I1048" s="168" t="s">
        <v>32</v>
      </c>
      <c r="J1048" s="169" t="s">
        <v>72</v>
      </c>
    </row>
    <row r="1049" spans="1:10">
      <c r="A1049" s="154" t="s">
        <v>20</v>
      </c>
      <c r="B1049" s="155" t="s">
        <v>9268</v>
      </c>
      <c r="C1049" s="132" t="s">
        <v>21</v>
      </c>
      <c r="D1049" s="132" t="s">
        <v>9269</v>
      </c>
      <c r="E1049" s="132" t="s">
        <v>9270</v>
      </c>
      <c r="F1049" s="132" t="s">
        <v>40</v>
      </c>
      <c r="G1049" s="156">
        <v>45387.409722222219</v>
      </c>
      <c r="H1049" s="156">
        <v>45387.425000000003</v>
      </c>
      <c r="I1049" s="168" t="s">
        <v>9271</v>
      </c>
      <c r="J1049" s="169" t="s">
        <v>72</v>
      </c>
    </row>
    <row r="1050" spans="1:10" ht="43.5">
      <c r="A1050" s="154" t="s">
        <v>106</v>
      </c>
      <c r="B1050" s="159" t="s">
        <v>9272</v>
      </c>
      <c r="C1050" s="132" t="s">
        <v>333</v>
      </c>
      <c r="D1050" s="132" t="s">
        <v>9273</v>
      </c>
      <c r="E1050" s="137" t="s">
        <v>9274</v>
      </c>
      <c r="F1050" s="132" t="s">
        <v>40</v>
      </c>
      <c r="G1050" s="156">
        <v>45387.404861111114</v>
      </c>
      <c r="H1050" s="156">
        <v>45478.490277777775</v>
      </c>
      <c r="I1050" s="168" t="s">
        <v>9275</v>
      </c>
      <c r="J1050" s="169" t="s">
        <v>72</v>
      </c>
    </row>
    <row r="1051" spans="1:10">
      <c r="A1051" s="154" t="s">
        <v>95</v>
      </c>
      <c r="B1051" s="155" t="s">
        <v>9276</v>
      </c>
      <c r="C1051" s="132" t="s">
        <v>28</v>
      </c>
      <c r="D1051" s="132" t="s">
        <v>9277</v>
      </c>
      <c r="E1051" s="132" t="s">
        <v>9278</v>
      </c>
      <c r="F1051" s="132" t="s">
        <v>40</v>
      </c>
      <c r="G1051" s="156">
        <v>45387.481249999997</v>
      </c>
      <c r="H1051" s="156">
        <v>45387.493750000001</v>
      </c>
      <c r="I1051" s="168" t="s">
        <v>9279</v>
      </c>
      <c r="J1051" s="169" t="s">
        <v>72</v>
      </c>
    </row>
    <row r="1052" spans="1:10">
      <c r="A1052" s="154" t="s">
        <v>95</v>
      </c>
      <c r="B1052" s="155" t="s">
        <v>9280</v>
      </c>
      <c r="C1052" s="132" t="s">
        <v>113</v>
      </c>
      <c r="D1052" s="132" t="s">
        <v>9281</v>
      </c>
      <c r="E1052" s="132" t="s">
        <v>9282</v>
      </c>
      <c r="F1052" s="132" t="s">
        <v>40</v>
      </c>
      <c r="G1052" s="156">
        <v>45387.787499999999</v>
      </c>
      <c r="H1052" s="156">
        <v>45417.479861111111</v>
      </c>
      <c r="I1052" s="168" t="s">
        <v>498</v>
      </c>
      <c r="J1052" s="169" t="s">
        <v>72</v>
      </c>
    </row>
    <row r="1053" spans="1:10">
      <c r="A1053" s="154" t="s">
        <v>95</v>
      </c>
      <c r="B1053" s="155" t="s">
        <v>9283</v>
      </c>
      <c r="C1053" s="132" t="s">
        <v>1763</v>
      </c>
      <c r="D1053" s="132" t="s">
        <v>9284</v>
      </c>
      <c r="E1053" s="132" t="s">
        <v>9285</v>
      </c>
      <c r="F1053" s="132" t="s">
        <v>40</v>
      </c>
      <c r="G1053" s="156">
        <v>45387.787499999999</v>
      </c>
      <c r="H1053" s="156">
        <v>45387.8</v>
      </c>
      <c r="I1053" s="168" t="s">
        <v>498</v>
      </c>
      <c r="J1053" s="169" t="s">
        <v>72</v>
      </c>
    </row>
    <row r="1054" spans="1:10">
      <c r="A1054" s="154" t="s">
        <v>20</v>
      </c>
      <c r="B1054" s="155" t="s">
        <v>9286</v>
      </c>
      <c r="C1054" s="132" t="s">
        <v>21</v>
      </c>
      <c r="D1054" s="132" t="s">
        <v>9287</v>
      </c>
      <c r="E1054" s="132" t="s">
        <v>9288</v>
      </c>
      <c r="F1054" s="132" t="s">
        <v>40</v>
      </c>
      <c r="G1054" s="156">
        <v>45387.857638888891</v>
      </c>
      <c r="H1054" s="156">
        <v>45387.982638888891</v>
      </c>
      <c r="I1054" s="168" t="s">
        <v>8690</v>
      </c>
      <c r="J1054" s="169" t="s">
        <v>61</v>
      </c>
    </row>
    <row r="1055" spans="1:10">
      <c r="A1055" s="154" t="s">
        <v>95</v>
      </c>
      <c r="B1055" s="155" t="s">
        <v>9289</v>
      </c>
      <c r="C1055" s="132" t="s">
        <v>6047</v>
      </c>
      <c r="D1055" s="132" t="s">
        <v>9290</v>
      </c>
      <c r="E1055" s="132" t="s">
        <v>9291</v>
      </c>
      <c r="F1055" s="132" t="s">
        <v>40</v>
      </c>
      <c r="G1055" s="156">
        <v>45417.024305555555</v>
      </c>
      <c r="H1055" s="156">
        <v>45417.065972222219</v>
      </c>
      <c r="I1055" s="168" t="s">
        <v>6974</v>
      </c>
      <c r="J1055" s="169" t="s">
        <v>61</v>
      </c>
    </row>
    <row r="1056" spans="1:10">
      <c r="A1056" s="154" t="s">
        <v>95</v>
      </c>
      <c r="B1056" s="155" t="s">
        <v>9292</v>
      </c>
      <c r="C1056" s="132" t="s">
        <v>97</v>
      </c>
      <c r="D1056" s="132" t="s">
        <v>1933</v>
      </c>
      <c r="E1056" s="132" t="s">
        <v>9293</v>
      </c>
      <c r="F1056" s="132" t="s">
        <v>40</v>
      </c>
      <c r="G1056" s="156">
        <v>45417.406944444447</v>
      </c>
      <c r="H1056" s="156">
        <v>45417.406944444447</v>
      </c>
      <c r="I1056" s="168" t="s">
        <v>32</v>
      </c>
      <c r="J1056" s="169" t="s">
        <v>72</v>
      </c>
    </row>
    <row r="1057" spans="1:10">
      <c r="A1057" s="154" t="s">
        <v>20</v>
      </c>
      <c r="B1057" s="155" t="s">
        <v>9294</v>
      </c>
      <c r="C1057" s="132" t="s">
        <v>21</v>
      </c>
      <c r="D1057" s="132" t="s">
        <v>9295</v>
      </c>
      <c r="E1057" s="132" t="s">
        <v>9296</v>
      </c>
      <c r="F1057" s="132" t="s">
        <v>40</v>
      </c>
      <c r="G1057" s="156">
        <v>45417.797222222223</v>
      </c>
      <c r="H1057" s="156">
        <v>45417.8</v>
      </c>
      <c r="I1057" s="168" t="s">
        <v>9271</v>
      </c>
      <c r="J1057" s="169" t="s">
        <v>72</v>
      </c>
    </row>
    <row r="1058" spans="1:10">
      <c r="A1058" s="154" t="s">
        <v>95</v>
      </c>
      <c r="B1058" s="155" t="s">
        <v>9297</v>
      </c>
      <c r="C1058" s="132" t="s">
        <v>97</v>
      </c>
      <c r="D1058" s="132" t="s">
        <v>1120</v>
      </c>
      <c r="E1058" s="132" t="s">
        <v>9298</v>
      </c>
      <c r="F1058" s="132" t="s">
        <v>40</v>
      </c>
      <c r="G1058" s="156">
        <v>45417.807638888888</v>
      </c>
      <c r="H1058" s="156">
        <v>45417.810416666667</v>
      </c>
      <c r="I1058" s="168" t="s">
        <v>9255</v>
      </c>
      <c r="J1058" s="169" t="s">
        <v>72</v>
      </c>
    </row>
    <row r="1059" spans="1:10">
      <c r="A1059" s="154" t="s">
        <v>20</v>
      </c>
      <c r="B1059" s="155" t="s">
        <v>9299</v>
      </c>
      <c r="C1059" s="132" t="s">
        <v>21</v>
      </c>
      <c r="D1059" s="132" t="s">
        <v>9300</v>
      </c>
      <c r="E1059" s="132" t="s">
        <v>9301</v>
      </c>
      <c r="F1059" s="132" t="s">
        <v>40</v>
      </c>
      <c r="G1059" s="156">
        <v>45417.962500000001</v>
      </c>
      <c r="H1059" s="156">
        <v>45448.004166666666</v>
      </c>
      <c r="I1059" s="168" t="s">
        <v>64</v>
      </c>
      <c r="J1059" s="169" t="s">
        <v>61</v>
      </c>
    </row>
    <row r="1060" spans="1:10">
      <c r="A1060" s="154" t="s">
        <v>20</v>
      </c>
      <c r="B1060" s="155" t="s">
        <v>9302</v>
      </c>
      <c r="C1060" s="132" t="s">
        <v>21</v>
      </c>
      <c r="D1060" s="132" t="s">
        <v>9303</v>
      </c>
      <c r="E1060" s="132" t="s">
        <v>9304</v>
      </c>
      <c r="F1060" s="132" t="s">
        <v>40</v>
      </c>
      <c r="G1060" s="156">
        <v>45417.969444444447</v>
      </c>
      <c r="H1060" s="156">
        <v>45448.011111111111</v>
      </c>
      <c r="I1060" s="168" t="s">
        <v>64</v>
      </c>
      <c r="J1060" s="169" t="s">
        <v>61</v>
      </c>
    </row>
    <row r="1061" spans="1:10">
      <c r="A1061" s="154" t="s">
        <v>95</v>
      </c>
      <c r="B1061" s="155" t="s">
        <v>9305</v>
      </c>
      <c r="C1061" s="132" t="s">
        <v>6047</v>
      </c>
      <c r="D1061" s="132" t="s">
        <v>9290</v>
      </c>
      <c r="E1061" s="132" t="s">
        <v>9306</v>
      </c>
      <c r="F1061" s="132" t="s">
        <v>40</v>
      </c>
      <c r="G1061" s="156">
        <v>45448.038888888892</v>
      </c>
      <c r="H1061" s="156">
        <v>45448.080555555556</v>
      </c>
      <c r="I1061" s="168" t="s">
        <v>6974</v>
      </c>
      <c r="J1061" s="169" t="s">
        <v>61</v>
      </c>
    </row>
    <row r="1062" spans="1:10">
      <c r="A1062" s="154" t="s">
        <v>20</v>
      </c>
      <c r="B1062" s="155" t="s">
        <v>9307</v>
      </c>
      <c r="C1062" s="132" t="s">
        <v>13</v>
      </c>
      <c r="D1062" s="132" t="s">
        <v>9308</v>
      </c>
      <c r="E1062" s="132" t="s">
        <v>9309</v>
      </c>
      <c r="F1062" s="132" t="s">
        <v>40</v>
      </c>
      <c r="G1062" s="156">
        <v>45448.164583333331</v>
      </c>
      <c r="H1062" s="156">
        <v>45448.206250000003</v>
      </c>
      <c r="I1062" s="168" t="s">
        <v>2902</v>
      </c>
      <c r="J1062" s="169" t="s">
        <v>61</v>
      </c>
    </row>
    <row r="1063" spans="1:10" hidden="1">
      <c r="A1063" s="154" t="s">
        <v>106</v>
      </c>
      <c r="B1063" s="155" t="s">
        <v>9310</v>
      </c>
      <c r="C1063" s="132" t="s">
        <v>333</v>
      </c>
      <c r="D1063" s="132" t="s">
        <v>9311</v>
      </c>
      <c r="F1063" s="132" t="s">
        <v>214</v>
      </c>
      <c r="G1063" s="156">
        <v>45448.248611111114</v>
      </c>
      <c r="I1063" s="168" t="s">
        <v>3296</v>
      </c>
      <c r="J1063" s="169" t="s">
        <v>61</v>
      </c>
    </row>
    <row r="1064" spans="1:10">
      <c r="A1064" s="154" t="s">
        <v>20</v>
      </c>
      <c r="B1064" s="155" t="s">
        <v>9312</v>
      </c>
      <c r="C1064" s="132" t="s">
        <v>21</v>
      </c>
      <c r="D1064" s="132" t="s">
        <v>9313</v>
      </c>
      <c r="E1064" s="132" t="s">
        <v>9314</v>
      </c>
      <c r="F1064" s="132" t="s">
        <v>40</v>
      </c>
      <c r="G1064" s="156">
        <v>45448.277777777781</v>
      </c>
      <c r="H1064" s="156">
        <v>45448.319444444445</v>
      </c>
      <c r="I1064" s="168" t="s">
        <v>64</v>
      </c>
      <c r="J1064" s="169" t="s">
        <v>61</v>
      </c>
    </row>
    <row r="1065" spans="1:10">
      <c r="A1065" s="154" t="s">
        <v>106</v>
      </c>
      <c r="B1065" s="155" t="s">
        <v>9315</v>
      </c>
      <c r="C1065" s="132" t="s">
        <v>108</v>
      </c>
      <c r="D1065" s="132" t="s">
        <v>4266</v>
      </c>
      <c r="E1065" s="132" t="s">
        <v>9316</v>
      </c>
      <c r="F1065" s="132" t="s">
        <v>40</v>
      </c>
      <c r="G1065" s="156">
        <v>45448.368055555555</v>
      </c>
      <c r="H1065" s="156">
        <v>45448.381944444445</v>
      </c>
      <c r="I1065" s="168" t="s">
        <v>111</v>
      </c>
      <c r="J1065" s="169" t="s">
        <v>72</v>
      </c>
    </row>
    <row r="1066" spans="1:10">
      <c r="A1066" s="154" t="s">
        <v>106</v>
      </c>
      <c r="B1066" s="155" t="s">
        <v>9317</v>
      </c>
      <c r="C1066" s="132" t="s">
        <v>108</v>
      </c>
      <c r="D1066" s="132" t="s">
        <v>9318</v>
      </c>
      <c r="E1066" s="132" t="s">
        <v>9319</v>
      </c>
      <c r="F1066" s="132" t="s">
        <v>40</v>
      </c>
      <c r="G1066" s="156">
        <v>45448.534722222219</v>
      </c>
      <c r="H1066" s="156">
        <v>45448.683333333334</v>
      </c>
      <c r="I1066" s="168" t="s">
        <v>111</v>
      </c>
      <c r="J1066" s="169" t="s">
        <v>72</v>
      </c>
    </row>
    <row r="1067" spans="1:10">
      <c r="A1067" s="154" t="s">
        <v>106</v>
      </c>
      <c r="B1067" s="155" t="s">
        <v>9320</v>
      </c>
      <c r="C1067" s="132" t="s">
        <v>108</v>
      </c>
      <c r="D1067" s="132" t="s">
        <v>9321</v>
      </c>
      <c r="F1067" s="132" t="s">
        <v>40</v>
      </c>
      <c r="G1067" s="156">
        <v>45448.599305555559</v>
      </c>
      <c r="I1067" s="168" t="s">
        <v>2168</v>
      </c>
      <c r="J1067" s="169" t="s">
        <v>72</v>
      </c>
    </row>
    <row r="1068" spans="1:10">
      <c r="A1068" s="154" t="s">
        <v>20</v>
      </c>
      <c r="B1068" s="155" t="s">
        <v>9322</v>
      </c>
      <c r="C1068" s="132" t="s">
        <v>13</v>
      </c>
      <c r="D1068" s="132" t="s">
        <v>9323</v>
      </c>
      <c r="E1068" s="132" t="s">
        <v>9324</v>
      </c>
      <c r="F1068" s="132" t="s">
        <v>40</v>
      </c>
      <c r="G1068" s="156">
        <v>45448.857638888891</v>
      </c>
      <c r="H1068" s="156">
        <v>45448.940972222219</v>
      </c>
      <c r="I1068" s="168" t="s">
        <v>2902</v>
      </c>
      <c r="J1068" s="169" t="s">
        <v>61</v>
      </c>
    </row>
    <row r="1069" spans="1:10">
      <c r="A1069" s="154" t="s">
        <v>20</v>
      </c>
      <c r="B1069" s="155" t="s">
        <v>9325</v>
      </c>
      <c r="C1069" s="132" t="s">
        <v>13</v>
      </c>
      <c r="D1069" s="132" t="s">
        <v>9326</v>
      </c>
      <c r="E1069" s="132" t="s">
        <v>9327</v>
      </c>
      <c r="F1069" s="132" t="s">
        <v>40</v>
      </c>
      <c r="G1069" s="156">
        <v>45448.875</v>
      </c>
      <c r="H1069" s="156">
        <v>45478.035416666666</v>
      </c>
      <c r="I1069" s="168" t="s">
        <v>2855</v>
      </c>
      <c r="J1069" s="169" t="s">
        <v>61</v>
      </c>
    </row>
    <row r="1070" spans="1:10">
      <c r="A1070" s="154" t="s">
        <v>20</v>
      </c>
      <c r="B1070" s="155" t="s">
        <v>9328</v>
      </c>
      <c r="C1070" s="132" t="s">
        <v>21</v>
      </c>
      <c r="D1070" s="132" t="s">
        <v>9329</v>
      </c>
      <c r="E1070" s="132" t="s">
        <v>9330</v>
      </c>
      <c r="F1070" s="132" t="s">
        <v>40</v>
      </c>
      <c r="G1070" s="156">
        <v>45478.25</v>
      </c>
      <c r="H1070" s="156">
        <v>45478.291666666664</v>
      </c>
      <c r="I1070" s="168" t="s">
        <v>64</v>
      </c>
      <c r="J1070" s="169" t="s">
        <v>61</v>
      </c>
    </row>
    <row r="1071" spans="1:10">
      <c r="A1071" s="154" t="s">
        <v>106</v>
      </c>
      <c r="B1071" s="155" t="s">
        <v>9331</v>
      </c>
      <c r="C1071" s="132" t="s">
        <v>108</v>
      </c>
      <c r="D1071" s="132" t="s">
        <v>9332</v>
      </c>
      <c r="E1071" s="132" t="s">
        <v>9333</v>
      </c>
      <c r="F1071" s="132" t="s">
        <v>40</v>
      </c>
      <c r="G1071" s="156">
        <v>45509.354166666664</v>
      </c>
      <c r="H1071" s="156">
        <v>45509.381249999999</v>
      </c>
      <c r="I1071" s="168" t="s">
        <v>9334</v>
      </c>
      <c r="J1071" s="169" t="s">
        <v>88</v>
      </c>
    </row>
    <row r="1072" spans="1:10">
      <c r="A1072" s="154" t="s">
        <v>106</v>
      </c>
      <c r="B1072" s="155" t="s">
        <v>9335</v>
      </c>
      <c r="C1072" s="132" t="s">
        <v>333</v>
      </c>
      <c r="D1072" s="132" t="s">
        <v>9336</v>
      </c>
      <c r="E1072" s="132" t="s">
        <v>9337</v>
      </c>
      <c r="F1072" s="132" t="s">
        <v>40</v>
      </c>
      <c r="G1072" s="156">
        <v>45509.454861111109</v>
      </c>
      <c r="H1072" s="156">
        <v>45509.625</v>
      </c>
      <c r="I1072" s="168" t="s">
        <v>346</v>
      </c>
      <c r="J1072" s="169" t="s">
        <v>88</v>
      </c>
    </row>
    <row r="1073" spans="1:11">
      <c r="A1073" s="154" t="s">
        <v>95</v>
      </c>
      <c r="B1073" s="155" t="s">
        <v>9338</v>
      </c>
      <c r="C1073" s="132" t="s">
        <v>97</v>
      </c>
      <c r="D1073" s="132" t="s">
        <v>2684</v>
      </c>
      <c r="E1073" s="132" t="s">
        <v>9339</v>
      </c>
      <c r="F1073" s="132" t="s">
        <v>40</v>
      </c>
      <c r="G1073" s="156">
        <v>45509.513888888891</v>
      </c>
      <c r="H1073" s="156">
        <v>45509.529861111114</v>
      </c>
      <c r="I1073" s="168" t="s">
        <v>32</v>
      </c>
      <c r="J1073" s="169" t="s">
        <v>88</v>
      </c>
    </row>
    <row r="1074" spans="1:11">
      <c r="A1074" s="154" t="s">
        <v>20</v>
      </c>
      <c r="B1074" s="155" t="s">
        <v>9340</v>
      </c>
      <c r="C1074" s="132" t="s">
        <v>21</v>
      </c>
      <c r="D1074" s="132" t="s">
        <v>9341</v>
      </c>
      <c r="E1074" s="132" t="s">
        <v>9342</v>
      </c>
      <c r="F1074" s="132" t="s">
        <v>40</v>
      </c>
      <c r="G1074" s="156">
        <v>45509.530555555553</v>
      </c>
      <c r="H1074" s="156">
        <v>45509.566666666666</v>
      </c>
      <c r="I1074" s="168" t="s">
        <v>32</v>
      </c>
      <c r="J1074" s="169" t="s">
        <v>88</v>
      </c>
    </row>
    <row r="1075" spans="1:11">
      <c r="A1075" s="154" t="s">
        <v>20</v>
      </c>
      <c r="B1075" s="155" t="s">
        <v>9343</v>
      </c>
      <c r="C1075" s="132" t="s">
        <v>21</v>
      </c>
      <c r="D1075" s="132" t="s">
        <v>9344</v>
      </c>
      <c r="E1075" s="132" t="s">
        <v>9345</v>
      </c>
      <c r="F1075" s="132" t="s">
        <v>40</v>
      </c>
      <c r="G1075" s="156">
        <v>45509.779166666667</v>
      </c>
      <c r="H1075" s="156">
        <v>45509.829861111109</v>
      </c>
      <c r="I1075" s="168" t="s">
        <v>7473</v>
      </c>
      <c r="J1075" s="169" t="s">
        <v>94</v>
      </c>
    </row>
    <row r="1076" spans="1:11">
      <c r="A1076" s="154" t="s">
        <v>106</v>
      </c>
      <c r="B1076" s="155" t="s">
        <v>9346</v>
      </c>
      <c r="C1076" s="132" t="s">
        <v>108</v>
      </c>
      <c r="D1076" s="132" t="s">
        <v>9347</v>
      </c>
      <c r="E1076" s="132" t="s">
        <v>9348</v>
      </c>
      <c r="F1076" s="132" t="s">
        <v>40</v>
      </c>
      <c r="G1076" s="156">
        <v>45509.781944444447</v>
      </c>
      <c r="H1076" s="156">
        <v>45509.829861111109</v>
      </c>
      <c r="I1076" s="168" t="s">
        <v>3848</v>
      </c>
      <c r="J1076" s="169" t="s">
        <v>94</v>
      </c>
    </row>
    <row r="1077" spans="1:11">
      <c r="A1077" s="154" t="s">
        <v>20</v>
      </c>
      <c r="B1077" s="155" t="s">
        <v>9349</v>
      </c>
      <c r="C1077" s="132" t="s">
        <v>21</v>
      </c>
      <c r="D1077" s="132" t="s">
        <v>9350</v>
      </c>
      <c r="E1077" s="132" t="s">
        <v>9351</v>
      </c>
      <c r="F1077" s="132" t="s">
        <v>40</v>
      </c>
      <c r="G1077" s="156">
        <v>45509.81527777778</v>
      </c>
      <c r="H1077" s="156">
        <v>45509.859722222223</v>
      </c>
      <c r="I1077" s="168" t="s">
        <v>7473</v>
      </c>
      <c r="J1077" s="169" t="s">
        <v>94</v>
      </c>
    </row>
    <row r="1078" spans="1:11">
      <c r="A1078" s="154" t="s">
        <v>20</v>
      </c>
      <c r="B1078" s="155" t="s">
        <v>9352</v>
      </c>
      <c r="C1078" s="132" t="s">
        <v>21</v>
      </c>
      <c r="D1078" s="132" t="s">
        <v>9353</v>
      </c>
      <c r="E1078" s="132" t="s">
        <v>9354</v>
      </c>
      <c r="F1078" s="132" t="s">
        <v>40</v>
      </c>
      <c r="G1078" s="156">
        <v>45509.835416666669</v>
      </c>
      <c r="H1078" s="156">
        <v>45540.052083333336</v>
      </c>
      <c r="I1078" s="168" t="s">
        <v>32</v>
      </c>
      <c r="J1078" s="169" t="s">
        <v>94</v>
      </c>
    </row>
    <row r="1079" spans="1:11" hidden="1">
      <c r="A1079" s="154" t="s">
        <v>20</v>
      </c>
      <c r="B1079" s="155" t="s">
        <v>9355</v>
      </c>
      <c r="C1079" s="132" t="s">
        <v>49</v>
      </c>
      <c r="D1079" s="132" t="s">
        <v>9356</v>
      </c>
      <c r="F1079" s="132" t="s">
        <v>214</v>
      </c>
      <c r="G1079" s="156">
        <v>45509.854166666664</v>
      </c>
      <c r="I1079" s="168" t="s">
        <v>32</v>
      </c>
      <c r="J1079" s="169" t="s">
        <v>94</v>
      </c>
      <c r="K1079" s="169" t="s">
        <v>88</v>
      </c>
    </row>
    <row r="1080" spans="1:11">
      <c r="A1080" s="154" t="s">
        <v>95</v>
      </c>
      <c r="B1080" s="155" t="s">
        <v>9357</v>
      </c>
      <c r="C1080" s="132" t="s">
        <v>97</v>
      </c>
      <c r="D1080" s="132" t="s">
        <v>2684</v>
      </c>
      <c r="E1080" s="132" t="s">
        <v>7986</v>
      </c>
      <c r="F1080" s="132" t="s">
        <v>40</v>
      </c>
      <c r="G1080" s="156">
        <v>45540.050694444442</v>
      </c>
      <c r="H1080" s="156">
        <v>45540.09652777778</v>
      </c>
      <c r="I1080" s="168" t="s">
        <v>32</v>
      </c>
      <c r="J1080" s="169" t="s">
        <v>94</v>
      </c>
    </row>
    <row r="1081" spans="1:11">
      <c r="A1081" s="154" t="s">
        <v>20</v>
      </c>
      <c r="B1081" s="155" t="s">
        <v>9358</v>
      </c>
      <c r="C1081" s="132" t="s">
        <v>49</v>
      </c>
      <c r="D1081" s="132" t="s">
        <v>9359</v>
      </c>
      <c r="E1081" s="132" t="s">
        <v>9360</v>
      </c>
      <c r="F1081" s="132" t="s">
        <v>40</v>
      </c>
      <c r="G1081" s="156">
        <v>45540.09375</v>
      </c>
      <c r="H1081" s="156">
        <v>45540.123611111114</v>
      </c>
      <c r="I1081" s="168" t="s">
        <v>6672</v>
      </c>
      <c r="J1081" s="169" t="s">
        <v>94</v>
      </c>
    </row>
    <row r="1082" spans="1:11">
      <c r="A1082" s="154" t="s">
        <v>20</v>
      </c>
      <c r="B1082" s="155" t="s">
        <v>9361</v>
      </c>
      <c r="C1082" s="132" t="s">
        <v>21</v>
      </c>
      <c r="D1082" s="132" t="s">
        <v>9362</v>
      </c>
      <c r="E1082" s="132" t="s">
        <v>9363</v>
      </c>
      <c r="F1082" s="132" t="s">
        <v>40</v>
      </c>
      <c r="G1082" s="156">
        <v>45540.122916666667</v>
      </c>
      <c r="H1082" s="156">
        <v>45540.166666666664</v>
      </c>
      <c r="I1082" s="168" t="s">
        <v>7473</v>
      </c>
      <c r="J1082" s="169" t="s">
        <v>94</v>
      </c>
    </row>
    <row r="1083" spans="1:11">
      <c r="A1083" s="154" t="s">
        <v>106</v>
      </c>
      <c r="B1083" s="155" t="s">
        <v>9364</v>
      </c>
      <c r="C1083" s="132" t="s">
        <v>333</v>
      </c>
      <c r="D1083" s="132" t="s">
        <v>9365</v>
      </c>
      <c r="E1083" s="132" t="s">
        <v>9366</v>
      </c>
      <c r="F1083" s="132" t="s">
        <v>40</v>
      </c>
      <c r="G1083" s="156">
        <v>45540.225694444445</v>
      </c>
      <c r="H1083" s="156">
        <v>45570.364583333336</v>
      </c>
      <c r="I1083" s="168" t="s">
        <v>346</v>
      </c>
      <c r="J1083" s="169" t="s">
        <v>9367</v>
      </c>
      <c r="K1083" s="169" t="s">
        <v>88</v>
      </c>
    </row>
    <row r="1084" spans="1:11">
      <c r="A1084" s="154" t="s">
        <v>106</v>
      </c>
      <c r="B1084" s="155" t="s">
        <v>9368</v>
      </c>
      <c r="C1084" s="132" t="s">
        <v>333</v>
      </c>
      <c r="D1084" s="132" t="s">
        <v>9369</v>
      </c>
      <c r="E1084" s="132" t="s">
        <v>9370</v>
      </c>
      <c r="F1084" s="132" t="s">
        <v>40</v>
      </c>
      <c r="G1084" s="156">
        <v>45540.432638888888</v>
      </c>
      <c r="H1084" s="156">
        <v>45418.232638888891</v>
      </c>
      <c r="I1084" s="168" t="s">
        <v>9371</v>
      </c>
      <c r="J1084" s="169" t="s">
        <v>88</v>
      </c>
    </row>
    <row r="1085" spans="1:11">
      <c r="A1085" s="154" t="s">
        <v>106</v>
      </c>
      <c r="B1085" s="155" t="s">
        <v>9372</v>
      </c>
      <c r="C1085" s="132" t="s">
        <v>28</v>
      </c>
      <c r="D1085" s="132" t="s">
        <v>9373</v>
      </c>
      <c r="E1085" s="132" t="s">
        <v>9374</v>
      </c>
      <c r="F1085" s="132" t="s">
        <v>40</v>
      </c>
      <c r="G1085" s="156">
        <v>45540.442361111112</v>
      </c>
      <c r="H1085" s="156">
        <v>45540.506249999999</v>
      </c>
      <c r="I1085" s="168" t="s">
        <v>9375</v>
      </c>
      <c r="J1085" s="169" t="s">
        <v>88</v>
      </c>
    </row>
    <row r="1086" spans="1:11">
      <c r="A1086" s="154" t="s">
        <v>106</v>
      </c>
      <c r="B1086" s="155" t="s">
        <v>9376</v>
      </c>
      <c r="C1086" s="132" t="s">
        <v>333</v>
      </c>
      <c r="D1086" s="132" t="s">
        <v>9377</v>
      </c>
      <c r="E1086" s="132" t="s">
        <v>9378</v>
      </c>
      <c r="F1086" s="132" t="s">
        <v>40</v>
      </c>
      <c r="G1086" s="156">
        <v>45540.604861111111</v>
      </c>
      <c r="H1086" s="156">
        <v>45540.677083333336</v>
      </c>
      <c r="I1086" s="168" t="s">
        <v>6640</v>
      </c>
      <c r="J1086" s="169" t="s">
        <v>88</v>
      </c>
    </row>
    <row r="1087" spans="1:11">
      <c r="A1087" s="154" t="s">
        <v>95</v>
      </c>
      <c r="B1087" s="155" t="s">
        <v>9379</v>
      </c>
      <c r="C1087" s="132" t="s">
        <v>118</v>
      </c>
      <c r="D1087" s="132" t="s">
        <v>9380</v>
      </c>
      <c r="E1087" s="132" t="s">
        <v>9381</v>
      </c>
      <c r="F1087" s="132" t="s">
        <v>40</v>
      </c>
      <c r="G1087" s="156">
        <v>45540.618750000001</v>
      </c>
      <c r="H1087" s="156">
        <v>45540.675694444442</v>
      </c>
      <c r="I1087" s="168" t="s">
        <v>9382</v>
      </c>
      <c r="J1087" s="169" t="s">
        <v>88</v>
      </c>
    </row>
    <row r="1088" spans="1:11">
      <c r="A1088" s="154" t="s">
        <v>20</v>
      </c>
      <c r="B1088" s="155" t="s">
        <v>9383</v>
      </c>
      <c r="C1088" s="132" t="s">
        <v>21</v>
      </c>
      <c r="D1088" s="132" t="s">
        <v>9384</v>
      </c>
      <c r="E1088" s="132" t="s">
        <v>9385</v>
      </c>
      <c r="F1088" s="132" t="s">
        <v>40</v>
      </c>
      <c r="G1088" s="156">
        <v>45540.779861111114</v>
      </c>
      <c r="H1088" s="156">
        <v>45570.09375</v>
      </c>
      <c r="I1088" s="168" t="s">
        <v>7473</v>
      </c>
      <c r="J1088" s="169" t="s">
        <v>94</v>
      </c>
    </row>
    <row r="1089" spans="1:11">
      <c r="A1089" s="154" t="s">
        <v>106</v>
      </c>
      <c r="B1089" s="155" t="s">
        <v>9386</v>
      </c>
      <c r="C1089" s="132" t="s">
        <v>108</v>
      </c>
      <c r="D1089" s="132" t="s">
        <v>9387</v>
      </c>
      <c r="E1089" s="132" t="s">
        <v>9388</v>
      </c>
      <c r="F1089" s="132" t="s">
        <v>40</v>
      </c>
      <c r="G1089" s="156">
        <v>45540.803472222222</v>
      </c>
      <c r="H1089" s="156">
        <v>45570.007638888892</v>
      </c>
      <c r="I1089" s="168" t="s">
        <v>1373</v>
      </c>
      <c r="J1089" s="169" t="s">
        <v>94</v>
      </c>
    </row>
    <row r="1090" spans="1:11">
      <c r="A1090" s="154" t="s">
        <v>106</v>
      </c>
      <c r="B1090" s="155" t="s">
        <v>9389</v>
      </c>
      <c r="C1090" s="132" t="s">
        <v>108</v>
      </c>
      <c r="D1090" s="132" t="s">
        <v>9390</v>
      </c>
      <c r="E1090" s="132" t="s">
        <v>9391</v>
      </c>
      <c r="F1090" s="132" t="s">
        <v>40</v>
      </c>
      <c r="G1090" s="156">
        <v>45570.006944444445</v>
      </c>
      <c r="H1090" s="156">
        <v>45570.269444444442</v>
      </c>
      <c r="I1090" s="168" t="s">
        <v>1373</v>
      </c>
      <c r="J1090" s="169" t="s">
        <v>94</v>
      </c>
      <c r="K1090" s="169" t="s">
        <v>88</v>
      </c>
    </row>
    <row r="1091" spans="1:11" ht="43.5">
      <c r="A1091" s="154" t="s">
        <v>106</v>
      </c>
      <c r="B1091" s="155" t="s">
        <v>9392</v>
      </c>
      <c r="C1091" s="132" t="s">
        <v>108</v>
      </c>
      <c r="D1091" s="132" t="s">
        <v>9393</v>
      </c>
      <c r="E1091" s="137" t="s">
        <v>9394</v>
      </c>
      <c r="F1091" s="132" t="s">
        <v>40</v>
      </c>
      <c r="G1091" s="156">
        <v>45570.103472222225</v>
      </c>
      <c r="H1091" s="156">
        <v>45570.75277777778</v>
      </c>
      <c r="I1091" s="168" t="s">
        <v>1373</v>
      </c>
      <c r="J1091" s="169" t="s">
        <v>94</v>
      </c>
    </row>
    <row r="1092" spans="1:11">
      <c r="A1092" s="154" t="s">
        <v>106</v>
      </c>
      <c r="B1092" s="155" t="s">
        <v>9395</v>
      </c>
      <c r="C1092" s="132" t="s">
        <v>108</v>
      </c>
      <c r="D1092" s="132" t="s">
        <v>1428</v>
      </c>
      <c r="E1092" s="132" t="s">
        <v>9396</v>
      </c>
      <c r="F1092" s="132" t="s">
        <v>40</v>
      </c>
      <c r="G1092" s="156">
        <v>45570.140972222223</v>
      </c>
      <c r="H1092" s="156">
        <v>45570.20416666667</v>
      </c>
      <c r="I1092" s="168" t="s">
        <v>32</v>
      </c>
      <c r="J1092" s="169" t="s">
        <v>94</v>
      </c>
    </row>
    <row r="1093" spans="1:11">
      <c r="A1093" s="154" t="s">
        <v>106</v>
      </c>
      <c r="B1093" s="155" t="s">
        <v>9397</v>
      </c>
      <c r="C1093" s="132" t="s">
        <v>108</v>
      </c>
      <c r="D1093" s="132" t="s">
        <v>1767</v>
      </c>
      <c r="E1093" s="132" t="s">
        <v>9398</v>
      </c>
      <c r="F1093" s="132" t="s">
        <v>40</v>
      </c>
      <c r="G1093" s="156">
        <v>45570.395138888889</v>
      </c>
      <c r="H1093" s="156">
        <v>45570.590277777781</v>
      </c>
      <c r="I1093" s="168" t="s">
        <v>111</v>
      </c>
      <c r="J1093" s="169" t="s">
        <v>88</v>
      </c>
    </row>
    <row r="1094" spans="1:11">
      <c r="A1094" s="154" t="s">
        <v>106</v>
      </c>
      <c r="B1094" s="155" t="s">
        <v>9399</v>
      </c>
      <c r="C1094" s="132" t="s">
        <v>108</v>
      </c>
      <c r="D1094" s="132" t="s">
        <v>9400</v>
      </c>
      <c r="E1094" s="132" t="s">
        <v>9401</v>
      </c>
      <c r="F1094" s="132" t="s">
        <v>40</v>
      </c>
      <c r="G1094" s="156">
        <v>45570.661805555559</v>
      </c>
      <c r="H1094" s="156">
        <v>45570.682638888888</v>
      </c>
      <c r="I1094" s="168" t="s">
        <v>396</v>
      </c>
      <c r="J1094" s="169" t="s">
        <v>88</v>
      </c>
    </row>
    <row r="1095" spans="1:11">
      <c r="A1095" s="154" t="s">
        <v>95</v>
      </c>
      <c r="B1095" s="155" t="s">
        <v>9402</v>
      </c>
      <c r="C1095" s="132" t="s">
        <v>97</v>
      </c>
      <c r="D1095" s="132" t="s">
        <v>9403</v>
      </c>
      <c r="E1095" s="132" t="s">
        <v>9404</v>
      </c>
      <c r="F1095" s="132" t="s">
        <v>40</v>
      </c>
      <c r="G1095" s="156">
        <v>45570.785416666666</v>
      </c>
      <c r="H1095" s="156">
        <v>45601.012499999997</v>
      </c>
      <c r="I1095" s="168" t="s">
        <v>2544</v>
      </c>
      <c r="J1095" s="169" t="s">
        <v>94</v>
      </c>
    </row>
    <row r="1096" spans="1:11">
      <c r="A1096" s="154" t="s">
        <v>20</v>
      </c>
      <c r="B1096" s="155" t="s">
        <v>9405</v>
      </c>
      <c r="C1096" s="132" t="s">
        <v>21</v>
      </c>
      <c r="D1096" s="132" t="s">
        <v>5745</v>
      </c>
      <c r="E1096" s="132" t="s">
        <v>9406</v>
      </c>
      <c r="F1096" s="132" t="s">
        <v>40</v>
      </c>
      <c r="G1096" s="156">
        <v>45570.811805555553</v>
      </c>
      <c r="H1096" s="156">
        <v>45601.013194444444</v>
      </c>
      <c r="I1096" s="168" t="s">
        <v>7473</v>
      </c>
      <c r="J1096" s="169" t="s">
        <v>94</v>
      </c>
    </row>
    <row r="1097" spans="1:11">
      <c r="A1097" s="154" t="s">
        <v>106</v>
      </c>
      <c r="B1097" s="155" t="s">
        <v>9407</v>
      </c>
      <c r="C1097" s="132" t="s">
        <v>108</v>
      </c>
      <c r="D1097" s="132" t="s">
        <v>9387</v>
      </c>
      <c r="E1097" s="132" t="s">
        <v>9408</v>
      </c>
      <c r="F1097" s="132" t="s">
        <v>40</v>
      </c>
      <c r="G1097" s="156">
        <v>45570.867361111108</v>
      </c>
      <c r="H1097" s="156">
        <v>45601.013888888891</v>
      </c>
      <c r="I1097" s="168" t="s">
        <v>1373</v>
      </c>
      <c r="J1097" s="169" t="s">
        <v>94</v>
      </c>
    </row>
    <row r="1098" spans="1:11">
      <c r="A1098" s="154" t="s">
        <v>95</v>
      </c>
      <c r="B1098" s="155" t="s">
        <v>9409</v>
      </c>
      <c r="C1098" s="132" t="s">
        <v>97</v>
      </c>
      <c r="D1098" s="132" t="s">
        <v>9410</v>
      </c>
      <c r="E1098" s="132" t="s">
        <v>9411</v>
      </c>
      <c r="F1098" s="132" t="s">
        <v>40</v>
      </c>
      <c r="G1098" s="156">
        <v>45601.374305555553</v>
      </c>
      <c r="H1098" s="156">
        <v>45601.613194444442</v>
      </c>
      <c r="I1098" s="168" t="s">
        <v>2814</v>
      </c>
      <c r="J1098" s="169" t="s">
        <v>88</v>
      </c>
    </row>
    <row r="1099" spans="1:11">
      <c r="A1099" s="154" t="s">
        <v>20</v>
      </c>
      <c r="B1099" s="155" t="s">
        <v>9412</v>
      </c>
      <c r="C1099" s="132" t="s">
        <v>21</v>
      </c>
      <c r="D1099" s="132" t="s">
        <v>9413</v>
      </c>
      <c r="E1099" s="132" t="s">
        <v>9414</v>
      </c>
      <c r="F1099" s="132" t="s">
        <v>40</v>
      </c>
      <c r="G1099" s="156">
        <v>45601.513888888891</v>
      </c>
      <c r="H1099" s="156" t="s">
        <v>9415</v>
      </c>
      <c r="I1099" s="168" t="s">
        <v>4359</v>
      </c>
      <c r="J1099" s="169" t="s">
        <v>88</v>
      </c>
    </row>
    <row r="1100" spans="1:11">
      <c r="A1100" s="154" t="s">
        <v>95</v>
      </c>
      <c r="B1100" s="155" t="s">
        <v>9416</v>
      </c>
      <c r="C1100" s="132" t="s">
        <v>118</v>
      </c>
      <c r="D1100" s="132" t="s">
        <v>9417</v>
      </c>
      <c r="E1100" s="132" t="s">
        <v>9418</v>
      </c>
      <c r="F1100" s="132" t="s">
        <v>40</v>
      </c>
      <c r="G1100" s="156">
        <v>45601.515277777777</v>
      </c>
      <c r="H1100" s="156">
        <v>45601.613888888889</v>
      </c>
      <c r="I1100" s="168" t="s">
        <v>1241</v>
      </c>
      <c r="J1100" s="169" t="s">
        <v>88</v>
      </c>
    </row>
    <row r="1101" spans="1:11">
      <c r="A1101" s="154" t="s">
        <v>20</v>
      </c>
      <c r="B1101" s="155" t="s">
        <v>9419</v>
      </c>
      <c r="C1101" s="132" t="s">
        <v>21</v>
      </c>
      <c r="D1101" s="132" t="s">
        <v>9420</v>
      </c>
      <c r="E1101" s="132" t="s">
        <v>9421</v>
      </c>
      <c r="F1101" s="132" t="s">
        <v>40</v>
      </c>
      <c r="G1101" s="156">
        <v>45601.563194444447</v>
      </c>
      <c r="H1101" s="156">
        <v>45601.615277777775</v>
      </c>
      <c r="I1101" s="168" t="s">
        <v>4359</v>
      </c>
      <c r="J1101" s="169" t="s">
        <v>88</v>
      </c>
    </row>
    <row r="1102" spans="1:11">
      <c r="A1102" s="154" t="s">
        <v>95</v>
      </c>
      <c r="B1102" s="155" t="s">
        <v>9422</v>
      </c>
      <c r="C1102" s="132" t="s">
        <v>97</v>
      </c>
      <c r="D1102" s="132" t="s">
        <v>9423</v>
      </c>
      <c r="E1102" s="132" t="s">
        <v>9424</v>
      </c>
      <c r="F1102" s="132" t="s">
        <v>40</v>
      </c>
      <c r="G1102" s="156">
        <v>45601.574999999997</v>
      </c>
      <c r="H1102" s="156">
        <v>45601.611111111109</v>
      </c>
      <c r="I1102" s="168" t="s">
        <v>2814</v>
      </c>
      <c r="J1102" s="169" t="s">
        <v>88</v>
      </c>
    </row>
    <row r="1103" spans="1:11">
      <c r="A1103" s="154" t="s">
        <v>106</v>
      </c>
      <c r="B1103" s="155" t="s">
        <v>9425</v>
      </c>
      <c r="C1103" s="132" t="s">
        <v>333</v>
      </c>
      <c r="D1103" s="132" t="s">
        <v>9426</v>
      </c>
      <c r="E1103" s="132" t="s">
        <v>9427</v>
      </c>
      <c r="F1103" s="132" t="s">
        <v>40</v>
      </c>
      <c r="G1103" s="156">
        <v>45601.612500000003</v>
      </c>
      <c r="H1103" s="156">
        <v>45601.636111111111</v>
      </c>
      <c r="I1103" s="168" t="s">
        <v>9197</v>
      </c>
      <c r="J1103" s="169" t="s">
        <v>88</v>
      </c>
    </row>
    <row r="1104" spans="1:11">
      <c r="A1104" s="154" t="s">
        <v>95</v>
      </c>
      <c r="B1104" s="155" t="s">
        <v>9428</v>
      </c>
      <c r="C1104" s="132" t="s">
        <v>6047</v>
      </c>
      <c r="D1104" s="132" t="s">
        <v>9429</v>
      </c>
      <c r="E1104" s="132" t="s">
        <v>9430</v>
      </c>
      <c r="F1104" s="132" t="s">
        <v>40</v>
      </c>
      <c r="G1104" s="156">
        <v>45601.62777777778</v>
      </c>
      <c r="H1104" s="156" t="s">
        <v>9431</v>
      </c>
      <c r="I1104" s="168" t="s">
        <v>7455</v>
      </c>
      <c r="J1104" s="169" t="s">
        <v>88</v>
      </c>
    </row>
    <row r="1105" spans="1:11" hidden="1">
      <c r="A1105" s="154" t="s">
        <v>95</v>
      </c>
      <c r="B1105" s="155" t="s">
        <v>9432</v>
      </c>
      <c r="C1105" s="132" t="s">
        <v>97</v>
      </c>
      <c r="D1105" s="132" t="s">
        <v>9433</v>
      </c>
      <c r="F1105" s="132" t="s">
        <v>214</v>
      </c>
      <c r="G1105" s="156">
        <v>45601.634027777778</v>
      </c>
      <c r="I1105" s="168" t="s">
        <v>9434</v>
      </c>
      <c r="J1105" s="169" t="s">
        <v>88</v>
      </c>
    </row>
    <row r="1106" spans="1:11">
      <c r="A1106" s="154" t="s">
        <v>20</v>
      </c>
      <c r="B1106" s="155" t="s">
        <v>9435</v>
      </c>
      <c r="C1106" s="132" t="s">
        <v>21</v>
      </c>
      <c r="D1106" s="132" t="s">
        <v>9436</v>
      </c>
      <c r="E1106" s="132" t="s">
        <v>9437</v>
      </c>
      <c r="F1106" s="132" t="s">
        <v>40</v>
      </c>
      <c r="G1106" s="156">
        <v>45601.67083333333</v>
      </c>
      <c r="H1106" s="156">
        <v>45631.13958333333</v>
      </c>
      <c r="I1106" s="168" t="s">
        <v>32</v>
      </c>
      <c r="J1106" s="169" t="s">
        <v>88</v>
      </c>
    </row>
    <row r="1107" spans="1:11">
      <c r="A1107" s="154" t="s">
        <v>20</v>
      </c>
      <c r="B1107" s="155" t="s">
        <v>9438</v>
      </c>
      <c r="C1107" s="132" t="s">
        <v>21</v>
      </c>
      <c r="D1107" s="132" t="s">
        <v>9439</v>
      </c>
      <c r="E1107" s="132" t="s">
        <v>9440</v>
      </c>
      <c r="F1107" s="132" t="s">
        <v>40</v>
      </c>
      <c r="G1107" s="156">
        <v>45601.822222222225</v>
      </c>
      <c r="H1107" s="156">
        <v>45631.137499999997</v>
      </c>
      <c r="I1107" s="168" t="s">
        <v>32</v>
      </c>
      <c r="J1107" s="169" t="s">
        <v>94</v>
      </c>
    </row>
    <row r="1108" spans="1:11">
      <c r="A1108" s="154" t="s">
        <v>106</v>
      </c>
      <c r="B1108" s="155" t="s">
        <v>9441</v>
      </c>
      <c r="C1108" s="132" t="s">
        <v>108</v>
      </c>
      <c r="D1108" s="132" t="s">
        <v>9442</v>
      </c>
      <c r="E1108" s="132" t="s">
        <v>9443</v>
      </c>
      <c r="F1108" s="132" t="s">
        <v>40</v>
      </c>
      <c r="G1108" s="156">
        <v>45601.877083333333</v>
      </c>
      <c r="H1108" s="156">
        <v>45601.958333333336</v>
      </c>
      <c r="I1108" s="168" t="s">
        <v>3510</v>
      </c>
      <c r="J1108" s="169" t="s">
        <v>94</v>
      </c>
    </row>
    <row r="1109" spans="1:11">
      <c r="A1109" s="154" t="s">
        <v>106</v>
      </c>
      <c r="B1109" s="155" t="s">
        <v>9444</v>
      </c>
      <c r="C1109" s="132" t="s">
        <v>333</v>
      </c>
      <c r="D1109" s="132" t="s">
        <v>9445</v>
      </c>
      <c r="E1109" s="132" t="s">
        <v>9446</v>
      </c>
      <c r="F1109" s="132" t="s">
        <v>40</v>
      </c>
      <c r="G1109" s="156">
        <v>45631.410416666666</v>
      </c>
      <c r="H1109" s="156">
        <v>45631.427083333336</v>
      </c>
      <c r="I1109" s="168" t="s">
        <v>9447</v>
      </c>
      <c r="J1109" s="169" t="s">
        <v>88</v>
      </c>
    </row>
    <row r="1110" spans="1:11">
      <c r="A1110" s="154" t="s">
        <v>20</v>
      </c>
      <c r="B1110" s="155" t="s">
        <v>9448</v>
      </c>
      <c r="C1110" s="132" t="s">
        <v>13</v>
      </c>
      <c r="D1110" s="132" t="s">
        <v>9449</v>
      </c>
      <c r="E1110" s="132" t="s">
        <v>9450</v>
      </c>
      <c r="F1110" s="132" t="s">
        <v>40</v>
      </c>
      <c r="G1110" s="156">
        <v>45631.411805555559</v>
      </c>
      <c r="H1110" s="156">
        <v>45631.49722222222</v>
      </c>
      <c r="I1110" s="168" t="s">
        <v>8015</v>
      </c>
      <c r="J1110" s="169" t="s">
        <v>88</v>
      </c>
    </row>
    <row r="1111" spans="1:11">
      <c r="A1111" s="154" t="s">
        <v>20</v>
      </c>
      <c r="B1111" s="155" t="s">
        <v>9451</v>
      </c>
      <c r="C1111" s="132" t="s">
        <v>13</v>
      </c>
      <c r="D1111" s="132" t="s">
        <v>9452</v>
      </c>
      <c r="E1111" s="132" t="s">
        <v>9453</v>
      </c>
      <c r="F1111" s="132" t="s">
        <v>40</v>
      </c>
      <c r="G1111" s="156">
        <v>45631.695833333331</v>
      </c>
      <c r="H1111" s="156" t="s">
        <v>9454</v>
      </c>
      <c r="I1111" s="168" t="s">
        <v>5020</v>
      </c>
      <c r="J1111" s="169" t="s">
        <v>94</v>
      </c>
    </row>
    <row r="1112" spans="1:11">
      <c r="A1112" s="154" t="s">
        <v>20</v>
      </c>
      <c r="B1112" s="155" t="s">
        <v>9455</v>
      </c>
      <c r="C1112" s="132" t="s">
        <v>21</v>
      </c>
      <c r="D1112" s="132" t="s">
        <v>9456</v>
      </c>
      <c r="E1112" s="132" t="s">
        <v>9457</v>
      </c>
      <c r="F1112" s="132" t="s">
        <v>40</v>
      </c>
      <c r="G1112" s="156">
        <v>45631.813194444447</v>
      </c>
      <c r="H1112" s="156">
        <v>45631.951388888891</v>
      </c>
      <c r="I1112" s="168" t="s">
        <v>7473</v>
      </c>
      <c r="J1112" s="169" t="s">
        <v>94</v>
      </c>
    </row>
    <row r="1113" spans="1:11">
      <c r="A1113" s="154" t="s">
        <v>106</v>
      </c>
      <c r="B1113" s="155" t="s">
        <v>9458</v>
      </c>
      <c r="C1113" s="132" t="s">
        <v>108</v>
      </c>
      <c r="D1113" s="132" t="s">
        <v>9459</v>
      </c>
      <c r="E1113" s="132" t="s">
        <v>9460</v>
      </c>
      <c r="F1113" s="132" t="s">
        <v>40</v>
      </c>
      <c r="G1113" s="156">
        <v>45631.818055555559</v>
      </c>
      <c r="H1113" s="156">
        <v>45631.879166666666</v>
      </c>
      <c r="I1113" s="168" t="s">
        <v>32</v>
      </c>
      <c r="J1113" s="169" t="s">
        <v>94</v>
      </c>
    </row>
    <row r="1114" spans="1:11">
      <c r="A1114" s="154" t="s">
        <v>106</v>
      </c>
      <c r="B1114" s="155" t="s">
        <v>9461</v>
      </c>
      <c r="C1114" s="132" t="s">
        <v>108</v>
      </c>
      <c r="D1114" s="132" t="s">
        <v>9462</v>
      </c>
      <c r="E1114" s="132" t="s">
        <v>9463</v>
      </c>
      <c r="F1114" s="132" t="s">
        <v>40</v>
      </c>
      <c r="G1114" s="156">
        <v>45631.884027777778</v>
      </c>
      <c r="H1114" s="156">
        <v>45631.95416666667</v>
      </c>
      <c r="I1114" s="168" t="s">
        <v>1373</v>
      </c>
      <c r="J1114" s="169" t="s">
        <v>94</v>
      </c>
    </row>
    <row r="1115" spans="1:11">
      <c r="A1115" s="154" t="s">
        <v>106</v>
      </c>
      <c r="B1115" s="155" t="s">
        <v>9464</v>
      </c>
      <c r="C1115" s="132" t="s">
        <v>108</v>
      </c>
      <c r="D1115" s="132" t="s">
        <v>8540</v>
      </c>
      <c r="E1115" s="132" t="s">
        <v>9465</v>
      </c>
      <c r="F1115" s="132" t="s">
        <v>40</v>
      </c>
      <c r="G1115" s="156" t="s">
        <v>9466</v>
      </c>
      <c r="H1115" s="156" t="s">
        <v>9467</v>
      </c>
      <c r="I1115" s="168" t="s">
        <v>1373</v>
      </c>
      <c r="J1115" s="169" t="s">
        <v>94</v>
      </c>
    </row>
    <row r="1116" spans="1:11">
      <c r="A1116" s="154" t="s">
        <v>106</v>
      </c>
      <c r="B1116" s="155" t="s">
        <v>9468</v>
      </c>
      <c r="C1116" s="132" t="s">
        <v>333</v>
      </c>
      <c r="D1116" s="132" t="s">
        <v>9469</v>
      </c>
      <c r="E1116" s="132" t="s">
        <v>9470</v>
      </c>
      <c r="F1116" s="132" t="s">
        <v>40</v>
      </c>
      <c r="G1116" s="156" t="s">
        <v>9471</v>
      </c>
      <c r="H1116" s="156" t="s">
        <v>9472</v>
      </c>
      <c r="I1116" s="168" t="s">
        <v>346</v>
      </c>
      <c r="J1116" s="169" t="s">
        <v>88</v>
      </c>
    </row>
    <row r="1117" spans="1:11">
      <c r="A1117" s="154" t="s">
        <v>106</v>
      </c>
      <c r="B1117" s="155" t="s">
        <v>9473</v>
      </c>
      <c r="C1117" s="132" t="s">
        <v>333</v>
      </c>
      <c r="D1117" s="132" t="s">
        <v>9474</v>
      </c>
      <c r="E1117" s="132" t="s">
        <v>9475</v>
      </c>
      <c r="F1117" s="132" t="s">
        <v>40</v>
      </c>
      <c r="G1117" s="156" t="s">
        <v>9476</v>
      </c>
      <c r="H1117" s="156" t="s">
        <v>9477</v>
      </c>
      <c r="I1117" s="168" t="s">
        <v>9478</v>
      </c>
      <c r="J1117" s="169" t="s">
        <v>88</v>
      </c>
    </row>
    <row r="1118" spans="1:11">
      <c r="A1118" s="154" t="s">
        <v>20</v>
      </c>
      <c r="B1118" s="155" t="s">
        <v>9479</v>
      </c>
      <c r="C1118" s="132" t="s">
        <v>21</v>
      </c>
      <c r="D1118" s="132" t="s">
        <v>9480</v>
      </c>
      <c r="E1118" s="132" t="s">
        <v>9481</v>
      </c>
      <c r="F1118" s="132" t="s">
        <v>40</v>
      </c>
      <c r="G1118" s="156" t="s">
        <v>9482</v>
      </c>
      <c r="H1118" s="156" t="s">
        <v>9483</v>
      </c>
      <c r="I1118" s="168" t="s">
        <v>4359</v>
      </c>
      <c r="J1118" s="169" t="s">
        <v>88</v>
      </c>
    </row>
    <row r="1119" spans="1:11" hidden="1">
      <c r="A1119" s="154" t="s">
        <v>20</v>
      </c>
      <c r="B1119" s="155" t="s">
        <v>9484</v>
      </c>
      <c r="C1119" s="132" t="s">
        <v>13</v>
      </c>
      <c r="D1119" s="132" t="s">
        <v>9485</v>
      </c>
      <c r="E1119" s="132" t="s">
        <v>9486</v>
      </c>
      <c r="F1119" s="132" t="s">
        <v>308</v>
      </c>
      <c r="G1119" s="156" t="s">
        <v>9487</v>
      </c>
      <c r="I1119" s="168" t="s">
        <v>17</v>
      </c>
      <c r="J1119" s="169" t="s">
        <v>94</v>
      </c>
    </row>
    <row r="1120" spans="1:11">
      <c r="A1120" s="154" t="s">
        <v>20</v>
      </c>
      <c r="B1120" s="155" t="s">
        <v>9488</v>
      </c>
      <c r="C1120" s="132" t="s">
        <v>13</v>
      </c>
      <c r="D1120" s="132" t="s">
        <v>9489</v>
      </c>
      <c r="E1120" s="132" t="s">
        <v>9490</v>
      </c>
      <c r="F1120" s="132" t="s">
        <v>40</v>
      </c>
      <c r="G1120" s="156" t="s">
        <v>9491</v>
      </c>
      <c r="H1120" s="156" t="s">
        <v>9492</v>
      </c>
      <c r="I1120" s="168" t="s">
        <v>17</v>
      </c>
      <c r="J1120" s="169" t="s">
        <v>94</v>
      </c>
      <c r="K1120" s="169" t="s">
        <v>88</v>
      </c>
    </row>
    <row r="1121" spans="1:10">
      <c r="A1121" s="154" t="s">
        <v>20</v>
      </c>
      <c r="B1121" s="155" t="s">
        <v>9493</v>
      </c>
      <c r="C1121" s="132" t="s">
        <v>21</v>
      </c>
      <c r="D1121" s="132" t="s">
        <v>9494</v>
      </c>
      <c r="E1121" s="132" t="s">
        <v>9495</v>
      </c>
      <c r="F1121" s="132" t="s">
        <v>40</v>
      </c>
      <c r="G1121" s="156" t="s">
        <v>9496</v>
      </c>
      <c r="H1121" s="156" t="s">
        <v>9497</v>
      </c>
      <c r="I1121" s="168" t="s">
        <v>7473</v>
      </c>
      <c r="J1121" s="169" t="s">
        <v>94</v>
      </c>
    </row>
    <row r="1122" spans="1:10">
      <c r="A1122" s="154" t="s">
        <v>20</v>
      </c>
      <c r="B1122" s="155" t="s">
        <v>9498</v>
      </c>
      <c r="C1122" s="132" t="s">
        <v>21</v>
      </c>
      <c r="D1122" s="132" t="s">
        <v>9499</v>
      </c>
      <c r="E1122" s="132" t="s">
        <v>9500</v>
      </c>
      <c r="F1122" s="132" t="s">
        <v>40</v>
      </c>
      <c r="G1122" s="156" t="s">
        <v>9501</v>
      </c>
      <c r="H1122" s="156" t="s">
        <v>9502</v>
      </c>
      <c r="I1122" s="168" t="s">
        <v>9503</v>
      </c>
      <c r="J1122" s="169" t="s">
        <v>94</v>
      </c>
    </row>
    <row r="1123" spans="1:10">
      <c r="A1123" s="154" t="s">
        <v>20</v>
      </c>
      <c r="B1123" s="155" t="s">
        <v>9504</v>
      </c>
      <c r="C1123" s="132" t="s">
        <v>49</v>
      </c>
      <c r="D1123" s="132" t="s">
        <v>9505</v>
      </c>
      <c r="E1123" s="132" t="s">
        <v>9506</v>
      </c>
      <c r="F1123" s="132" t="s">
        <v>40</v>
      </c>
      <c r="G1123" s="156" t="s">
        <v>9507</v>
      </c>
      <c r="H1123" s="156" t="s">
        <v>9508</v>
      </c>
      <c r="I1123" s="168" t="s">
        <v>5279</v>
      </c>
      <c r="J1123" s="169" t="s">
        <v>94</v>
      </c>
    </row>
    <row r="1124" spans="1:10">
      <c r="A1124" s="154" t="s">
        <v>106</v>
      </c>
      <c r="B1124" s="155" t="s">
        <v>9509</v>
      </c>
      <c r="C1124" s="132" t="s">
        <v>108</v>
      </c>
      <c r="D1124" s="132" t="s">
        <v>8540</v>
      </c>
      <c r="E1124" s="132" t="s">
        <v>9510</v>
      </c>
      <c r="F1124" s="132" t="s">
        <v>40</v>
      </c>
      <c r="G1124" s="156" t="s">
        <v>9511</v>
      </c>
      <c r="H1124" s="156" t="s">
        <v>9512</v>
      </c>
      <c r="I1124" s="168" t="s">
        <v>1373</v>
      </c>
      <c r="J1124" s="169" t="s">
        <v>94</v>
      </c>
    </row>
    <row r="1125" spans="1:10">
      <c r="A1125" s="154" t="s">
        <v>95</v>
      </c>
      <c r="B1125" s="155" t="s">
        <v>9513</v>
      </c>
      <c r="C1125" s="132" t="s">
        <v>113</v>
      </c>
      <c r="D1125" s="132" t="s">
        <v>9514</v>
      </c>
      <c r="E1125" s="132" t="s">
        <v>9515</v>
      </c>
      <c r="F1125" s="132" t="s">
        <v>40</v>
      </c>
      <c r="G1125" s="156" t="s">
        <v>9516</v>
      </c>
      <c r="H1125" s="156" t="s">
        <v>9517</v>
      </c>
      <c r="I1125" s="168" t="s">
        <v>9518</v>
      </c>
      <c r="J1125" s="169" t="s">
        <v>88</v>
      </c>
    </row>
    <row r="1126" spans="1:10">
      <c r="A1126" s="154" t="s">
        <v>106</v>
      </c>
      <c r="B1126" s="155" t="s">
        <v>9519</v>
      </c>
      <c r="C1126" s="132" t="s">
        <v>108</v>
      </c>
      <c r="D1126" s="132" t="s">
        <v>4412</v>
      </c>
      <c r="E1126" s="132" t="s">
        <v>9520</v>
      </c>
      <c r="F1126" s="132" t="s">
        <v>40</v>
      </c>
      <c r="G1126" s="156" t="s">
        <v>9521</v>
      </c>
      <c r="H1126" s="156" t="s">
        <v>9522</v>
      </c>
      <c r="I1126" s="168" t="s">
        <v>387</v>
      </c>
      <c r="J1126" s="169" t="s">
        <v>88</v>
      </c>
    </row>
    <row r="1127" spans="1:10">
      <c r="A1127" s="154" t="s">
        <v>20</v>
      </c>
      <c r="B1127" s="155" t="s">
        <v>9523</v>
      </c>
      <c r="C1127" s="132" t="s">
        <v>21</v>
      </c>
      <c r="D1127" s="132" t="s">
        <v>9524</v>
      </c>
      <c r="E1127" s="132" t="s">
        <v>9525</v>
      </c>
      <c r="F1127" s="132" t="s">
        <v>40</v>
      </c>
      <c r="G1127" s="156" t="s">
        <v>9526</v>
      </c>
      <c r="H1127" s="156" t="s">
        <v>9527</v>
      </c>
      <c r="I1127" s="168" t="s">
        <v>6116</v>
      </c>
      <c r="J1127" s="169" t="s">
        <v>88</v>
      </c>
    </row>
    <row r="1128" spans="1:10">
      <c r="A1128" s="154" t="s">
        <v>20</v>
      </c>
      <c r="B1128" s="155" t="s">
        <v>9528</v>
      </c>
      <c r="C1128" s="132" t="s">
        <v>13</v>
      </c>
      <c r="D1128" s="132" t="s">
        <v>9529</v>
      </c>
      <c r="E1128" s="132" t="s">
        <v>9530</v>
      </c>
      <c r="F1128" s="132" t="s">
        <v>40</v>
      </c>
      <c r="G1128" s="156" t="s">
        <v>9531</v>
      </c>
      <c r="H1128" s="156" t="s">
        <v>9532</v>
      </c>
      <c r="I1128" s="168" t="s">
        <v>7328</v>
      </c>
      <c r="J1128" s="169" t="s">
        <v>88</v>
      </c>
    </row>
    <row r="1129" spans="1:10">
      <c r="A1129" s="154" t="s">
        <v>106</v>
      </c>
      <c r="B1129" s="155" t="s">
        <v>9533</v>
      </c>
      <c r="C1129" s="132" t="s">
        <v>333</v>
      </c>
      <c r="D1129" s="132" t="s">
        <v>9534</v>
      </c>
      <c r="E1129" s="132" t="s">
        <v>9535</v>
      </c>
      <c r="F1129" s="132" t="s">
        <v>40</v>
      </c>
      <c r="G1129" s="156" t="s">
        <v>9536</v>
      </c>
      <c r="H1129" s="156" t="s">
        <v>9537</v>
      </c>
      <c r="I1129" s="168" t="s">
        <v>9538</v>
      </c>
      <c r="J1129" s="169" t="s">
        <v>88</v>
      </c>
    </row>
    <row r="1130" spans="1:10">
      <c r="A1130" s="154" t="s">
        <v>106</v>
      </c>
      <c r="B1130" s="155" t="s">
        <v>9539</v>
      </c>
      <c r="C1130" s="132" t="s">
        <v>333</v>
      </c>
      <c r="D1130" s="132" t="s">
        <v>9540</v>
      </c>
      <c r="E1130" s="132" t="s">
        <v>9541</v>
      </c>
      <c r="F1130" s="132" t="s">
        <v>40</v>
      </c>
      <c r="G1130" s="156" t="s">
        <v>9542</v>
      </c>
      <c r="H1130" s="156" t="s">
        <v>9532</v>
      </c>
      <c r="I1130" s="168" t="s">
        <v>6640</v>
      </c>
      <c r="J1130" s="169" t="s">
        <v>88</v>
      </c>
    </row>
    <row r="1131" spans="1:10">
      <c r="A1131" s="154" t="s">
        <v>95</v>
      </c>
      <c r="B1131" s="155" t="s">
        <v>9543</v>
      </c>
      <c r="C1131" s="132" t="s">
        <v>1763</v>
      </c>
      <c r="D1131" s="132" t="s">
        <v>9544</v>
      </c>
      <c r="E1131" s="132" t="s">
        <v>9545</v>
      </c>
      <c r="F1131" s="132" t="s">
        <v>40</v>
      </c>
      <c r="G1131" s="156" t="s">
        <v>9546</v>
      </c>
      <c r="H1131" s="156" t="s">
        <v>9547</v>
      </c>
      <c r="I1131" s="168" t="s">
        <v>9548</v>
      </c>
      <c r="J1131" s="169" t="s">
        <v>94</v>
      </c>
    </row>
    <row r="1132" spans="1:10">
      <c r="A1132" s="154" t="s">
        <v>20</v>
      </c>
      <c r="B1132" s="155" t="s">
        <v>9549</v>
      </c>
      <c r="C1132" s="132" t="s">
        <v>21</v>
      </c>
      <c r="D1132" s="132" t="s">
        <v>9550</v>
      </c>
      <c r="E1132" s="132" t="s">
        <v>9551</v>
      </c>
      <c r="F1132" s="132" t="s">
        <v>40</v>
      </c>
      <c r="G1132" s="156" t="s">
        <v>9552</v>
      </c>
      <c r="H1132" s="156" t="s">
        <v>9553</v>
      </c>
      <c r="I1132" s="168" t="s">
        <v>7473</v>
      </c>
      <c r="J1132" s="169" t="s">
        <v>94</v>
      </c>
    </row>
    <row r="1133" spans="1:10">
      <c r="A1133" s="154" t="s">
        <v>20</v>
      </c>
      <c r="B1133" s="155" t="s">
        <v>9554</v>
      </c>
      <c r="C1133" s="132" t="s">
        <v>21</v>
      </c>
      <c r="D1133" s="132" t="s">
        <v>9555</v>
      </c>
      <c r="E1133" s="132" t="s">
        <v>9556</v>
      </c>
      <c r="F1133" s="132" t="s">
        <v>40</v>
      </c>
      <c r="G1133" s="156" t="s">
        <v>9557</v>
      </c>
      <c r="H1133" s="156" t="s">
        <v>9558</v>
      </c>
      <c r="I1133" s="168" t="s">
        <v>2909</v>
      </c>
      <c r="J1133" s="169" t="s">
        <v>61</v>
      </c>
    </row>
    <row r="1134" spans="1:10">
      <c r="A1134" s="154" t="s">
        <v>106</v>
      </c>
      <c r="B1134" s="155" t="s">
        <v>9559</v>
      </c>
      <c r="C1134" s="132" t="s">
        <v>108</v>
      </c>
      <c r="D1134" s="132" t="s">
        <v>9560</v>
      </c>
      <c r="E1134" s="132" t="s">
        <v>9561</v>
      </c>
      <c r="F1134" s="132" t="s">
        <v>40</v>
      </c>
      <c r="G1134" s="156" t="s">
        <v>9562</v>
      </c>
      <c r="H1134" s="156" t="s">
        <v>9563</v>
      </c>
      <c r="I1134" s="168" t="s">
        <v>1173</v>
      </c>
      <c r="J1134" s="169" t="s">
        <v>61</v>
      </c>
    </row>
    <row r="1135" spans="1:10">
      <c r="A1135" s="154" t="s">
        <v>106</v>
      </c>
      <c r="B1135" s="159" t="s">
        <v>9564</v>
      </c>
      <c r="C1135" s="132" t="s">
        <v>108</v>
      </c>
      <c r="D1135" s="132" t="s">
        <v>9565</v>
      </c>
      <c r="E1135" s="132" t="s">
        <v>9566</v>
      </c>
      <c r="F1135" s="132" t="s">
        <v>40</v>
      </c>
      <c r="G1135" s="156" t="s">
        <v>9567</v>
      </c>
      <c r="H1135" s="156" t="s">
        <v>9568</v>
      </c>
      <c r="I1135" s="168" t="s">
        <v>111</v>
      </c>
      <c r="J1135" s="169" t="s">
        <v>61</v>
      </c>
    </row>
    <row r="1136" spans="1:10">
      <c r="A1136" s="154" t="s">
        <v>106</v>
      </c>
      <c r="B1136" s="186" t="s">
        <v>9569</v>
      </c>
      <c r="C1136" s="132" t="s">
        <v>108</v>
      </c>
      <c r="D1136" s="187" t="s">
        <v>9570</v>
      </c>
      <c r="E1136" s="132" t="s">
        <v>9571</v>
      </c>
      <c r="F1136" s="132" t="s">
        <v>40</v>
      </c>
      <c r="G1136" s="156" t="s">
        <v>9558</v>
      </c>
      <c r="H1136" s="156" t="s">
        <v>9572</v>
      </c>
      <c r="I1136" s="168" t="s">
        <v>6006</v>
      </c>
      <c r="J1136" s="169" t="s">
        <v>9367</v>
      </c>
    </row>
    <row r="1137" spans="1:12">
      <c r="A1137" s="154" t="s">
        <v>95</v>
      </c>
      <c r="B1137" s="155" t="s">
        <v>9573</v>
      </c>
      <c r="C1137" s="132" t="s">
        <v>97</v>
      </c>
      <c r="D1137" s="132" t="s">
        <v>9574</v>
      </c>
      <c r="E1137" s="132" t="s">
        <v>9575</v>
      </c>
      <c r="F1137" s="132" t="s">
        <v>40</v>
      </c>
      <c r="G1137" s="156" t="s">
        <v>9576</v>
      </c>
      <c r="H1137" s="156" t="s">
        <v>9577</v>
      </c>
      <c r="I1137" s="168" t="s">
        <v>9578</v>
      </c>
      <c r="J1137" s="169" t="s">
        <v>61</v>
      </c>
    </row>
    <row r="1138" spans="1:12">
      <c r="A1138" s="154" t="s">
        <v>95</v>
      </c>
      <c r="B1138" s="167" t="s">
        <v>9579</v>
      </c>
      <c r="C1138" s="132" t="s">
        <v>118</v>
      </c>
      <c r="D1138" s="132" t="s">
        <v>9580</v>
      </c>
      <c r="E1138" s="132" t="s">
        <v>9581</v>
      </c>
      <c r="F1138" s="132" t="s">
        <v>40</v>
      </c>
      <c r="G1138" s="156" t="s">
        <v>9582</v>
      </c>
      <c r="H1138" s="156" t="s">
        <v>9583</v>
      </c>
      <c r="I1138" s="168" t="s">
        <v>502</v>
      </c>
      <c r="J1138" s="169" t="s">
        <v>72</v>
      </c>
    </row>
    <row r="1139" spans="1:12">
      <c r="A1139" s="154" t="s">
        <v>20</v>
      </c>
      <c r="B1139" s="155" t="s">
        <v>9584</v>
      </c>
      <c r="C1139" s="132" t="s">
        <v>13</v>
      </c>
      <c r="D1139" s="132" t="s">
        <v>9585</v>
      </c>
      <c r="E1139" s="132" t="s">
        <v>9586</v>
      </c>
      <c r="F1139" s="132" t="s">
        <v>40</v>
      </c>
      <c r="G1139" s="156" t="s">
        <v>9587</v>
      </c>
      <c r="H1139" s="156" t="s">
        <v>9588</v>
      </c>
      <c r="I1139" s="168" t="s">
        <v>17</v>
      </c>
      <c r="J1139" s="169" t="s">
        <v>72</v>
      </c>
      <c r="K1139" s="169" t="s">
        <v>9367</v>
      </c>
      <c r="L1139" s="169" t="s">
        <v>9589</v>
      </c>
    </row>
    <row r="1140" spans="1:12">
      <c r="A1140" s="154" t="s">
        <v>106</v>
      </c>
      <c r="B1140" s="155" t="s">
        <v>9590</v>
      </c>
      <c r="C1140" s="132" t="s">
        <v>108</v>
      </c>
      <c r="D1140" s="132" t="s">
        <v>9591</v>
      </c>
      <c r="E1140" s="132" t="s">
        <v>9592</v>
      </c>
      <c r="F1140" s="132" t="s">
        <v>40</v>
      </c>
      <c r="G1140" s="156" t="s">
        <v>9593</v>
      </c>
      <c r="H1140" s="156" t="s">
        <v>9594</v>
      </c>
      <c r="I1140" s="168" t="s">
        <v>6006</v>
      </c>
      <c r="J1140" s="169" t="s">
        <v>9367</v>
      </c>
    </row>
    <row r="1141" spans="1:12">
      <c r="A1141" s="154" t="s">
        <v>106</v>
      </c>
      <c r="B1141" s="155" t="s">
        <v>9595</v>
      </c>
      <c r="C1141" s="132" t="s">
        <v>108</v>
      </c>
      <c r="D1141" s="132" t="s">
        <v>9596</v>
      </c>
      <c r="E1141" s="132" t="s">
        <v>9597</v>
      </c>
      <c r="F1141" s="132" t="s">
        <v>40</v>
      </c>
      <c r="G1141" s="156" t="s">
        <v>9598</v>
      </c>
      <c r="H1141" s="156" t="s">
        <v>9599</v>
      </c>
      <c r="I1141" s="168" t="s">
        <v>6006</v>
      </c>
      <c r="J1141" s="169" t="s">
        <v>9367</v>
      </c>
    </row>
    <row r="1142" spans="1:12">
      <c r="A1142" s="154" t="s">
        <v>95</v>
      </c>
      <c r="B1142" s="155" t="s">
        <v>9600</v>
      </c>
      <c r="C1142" s="132" t="s">
        <v>28</v>
      </c>
      <c r="D1142" s="132" t="s">
        <v>9601</v>
      </c>
      <c r="E1142" s="132" t="s">
        <v>9602</v>
      </c>
      <c r="F1142" s="132" t="s">
        <v>40</v>
      </c>
      <c r="G1142" s="156" t="s">
        <v>9603</v>
      </c>
      <c r="H1142" s="156" t="s">
        <v>9604</v>
      </c>
      <c r="I1142" s="168" t="s">
        <v>980</v>
      </c>
      <c r="J1142" s="169" t="s">
        <v>9367</v>
      </c>
    </row>
    <row r="1143" spans="1:12">
      <c r="A1143" s="154" t="s">
        <v>106</v>
      </c>
      <c r="B1143" s="155" t="s">
        <v>9605</v>
      </c>
      <c r="C1143" s="132" t="s">
        <v>6047</v>
      </c>
      <c r="D1143" s="132" t="s">
        <v>9606</v>
      </c>
      <c r="E1143" s="132" t="s">
        <v>9607</v>
      </c>
      <c r="F1143" s="132" t="s">
        <v>40</v>
      </c>
      <c r="G1143" s="156" t="s">
        <v>9608</v>
      </c>
      <c r="H1143" s="156" t="s">
        <v>9609</v>
      </c>
      <c r="I1143" s="168" t="s">
        <v>378</v>
      </c>
      <c r="J1143" s="169" t="s">
        <v>9367</v>
      </c>
    </row>
    <row r="1144" spans="1:12">
      <c r="A1144" s="154" t="s">
        <v>106</v>
      </c>
      <c r="B1144" s="155" t="s">
        <v>9610</v>
      </c>
      <c r="C1144" s="132" t="s">
        <v>108</v>
      </c>
      <c r="D1144" s="132" t="s">
        <v>8467</v>
      </c>
      <c r="E1144" s="132" t="s">
        <v>9611</v>
      </c>
      <c r="F1144" s="132" t="s">
        <v>40</v>
      </c>
      <c r="G1144" s="156" t="s">
        <v>9612</v>
      </c>
      <c r="H1144" s="156" t="s">
        <v>9612</v>
      </c>
      <c r="I1144" s="168" t="s">
        <v>32</v>
      </c>
      <c r="J1144" s="169" t="s">
        <v>72</v>
      </c>
    </row>
    <row r="1145" spans="1:12">
      <c r="A1145" s="154" t="s">
        <v>20</v>
      </c>
      <c r="B1145" s="155" t="s">
        <v>9613</v>
      </c>
      <c r="C1145" s="132" t="s">
        <v>21</v>
      </c>
      <c r="D1145" s="132" t="s">
        <v>9614</v>
      </c>
      <c r="E1145" s="132" t="s">
        <v>9615</v>
      </c>
      <c r="F1145" s="132" t="s">
        <v>40</v>
      </c>
      <c r="G1145" s="156" t="s">
        <v>9616</v>
      </c>
      <c r="H1145" s="156" t="s">
        <v>9617</v>
      </c>
      <c r="I1145" s="168" t="s">
        <v>52</v>
      </c>
      <c r="J1145" s="169" t="s">
        <v>72</v>
      </c>
    </row>
    <row r="1146" spans="1:12">
      <c r="A1146" s="154" t="s">
        <v>20</v>
      </c>
      <c r="B1146" s="155" t="s">
        <v>9618</v>
      </c>
      <c r="C1146" s="132" t="s">
        <v>21</v>
      </c>
      <c r="D1146" s="132" t="s">
        <v>9619</v>
      </c>
      <c r="E1146" s="132" t="s">
        <v>9620</v>
      </c>
      <c r="F1146" s="132" t="s">
        <v>40</v>
      </c>
      <c r="G1146" s="156" t="s">
        <v>9621</v>
      </c>
      <c r="H1146" s="156" t="s">
        <v>9622</v>
      </c>
      <c r="I1146" s="168" t="s">
        <v>52</v>
      </c>
      <c r="J1146" s="169" t="s">
        <v>72</v>
      </c>
    </row>
    <row r="1147" spans="1:12">
      <c r="A1147" s="154" t="s">
        <v>95</v>
      </c>
      <c r="B1147" s="155" t="s">
        <v>9623</v>
      </c>
      <c r="C1147" s="132" t="s">
        <v>97</v>
      </c>
      <c r="D1147" s="132" t="s">
        <v>9624</v>
      </c>
      <c r="E1147" s="132" t="s">
        <v>9625</v>
      </c>
      <c r="F1147" s="132" t="s">
        <v>40</v>
      </c>
      <c r="G1147" s="156" t="s">
        <v>9626</v>
      </c>
      <c r="H1147" s="156" t="s">
        <v>9627</v>
      </c>
      <c r="I1147" s="168" t="s">
        <v>32</v>
      </c>
      <c r="J1147" s="169" t="s">
        <v>72</v>
      </c>
    </row>
    <row r="1148" spans="1:12">
      <c r="A1148" s="154" t="s">
        <v>95</v>
      </c>
      <c r="B1148" s="155" t="s">
        <v>9628</v>
      </c>
      <c r="C1148" s="132" t="s">
        <v>97</v>
      </c>
      <c r="D1148" s="132" t="s">
        <v>9629</v>
      </c>
      <c r="E1148" s="132" t="s">
        <v>9630</v>
      </c>
      <c r="F1148" s="132" t="s">
        <v>40</v>
      </c>
      <c r="G1148" s="156" t="s">
        <v>9631</v>
      </c>
      <c r="H1148" s="156" t="s">
        <v>9632</v>
      </c>
      <c r="I1148" s="168" t="s">
        <v>1343</v>
      </c>
      <c r="J1148" s="169" t="s">
        <v>9367</v>
      </c>
    </row>
    <row r="1149" spans="1:12">
      <c r="A1149" s="154" t="s">
        <v>106</v>
      </c>
      <c r="B1149" s="155" t="s">
        <v>9633</v>
      </c>
      <c r="C1149" s="132" t="s">
        <v>108</v>
      </c>
      <c r="D1149" s="132" t="s">
        <v>9634</v>
      </c>
      <c r="E1149" s="132" t="s">
        <v>9635</v>
      </c>
      <c r="F1149" s="132" t="s">
        <v>40</v>
      </c>
      <c r="G1149" s="156" t="s">
        <v>9636</v>
      </c>
      <c r="H1149" s="156" t="s">
        <v>9637</v>
      </c>
      <c r="I1149" s="168" t="s">
        <v>9638</v>
      </c>
      <c r="J1149" s="169" t="s">
        <v>9367</v>
      </c>
    </row>
    <row r="1150" spans="1:12">
      <c r="A1150" s="154" t="s">
        <v>20</v>
      </c>
      <c r="B1150" s="155" t="s">
        <v>9639</v>
      </c>
      <c r="C1150" s="132" t="s">
        <v>21</v>
      </c>
      <c r="D1150" s="132" t="s">
        <v>9640</v>
      </c>
      <c r="E1150" s="132" t="s">
        <v>9641</v>
      </c>
      <c r="F1150" s="132" t="s">
        <v>40</v>
      </c>
      <c r="G1150" s="156" t="s">
        <v>9642</v>
      </c>
      <c r="H1150" s="156" t="s">
        <v>9643</v>
      </c>
      <c r="I1150" s="168" t="s">
        <v>2909</v>
      </c>
      <c r="J1150" s="169" t="s">
        <v>9367</v>
      </c>
    </row>
    <row r="1151" spans="1:12">
      <c r="A1151" s="154" t="s">
        <v>106</v>
      </c>
      <c r="B1151" s="155" t="s">
        <v>9644</v>
      </c>
      <c r="C1151" s="132" t="s">
        <v>108</v>
      </c>
      <c r="D1151" s="132" t="s">
        <v>9645</v>
      </c>
      <c r="E1151" s="132" t="s">
        <v>9646</v>
      </c>
      <c r="F1151" s="132" t="s">
        <v>40</v>
      </c>
      <c r="G1151" s="156" t="s">
        <v>9647</v>
      </c>
      <c r="H1151" s="156" t="s">
        <v>9648</v>
      </c>
      <c r="I1151" s="168" t="s">
        <v>111</v>
      </c>
      <c r="J1151" s="169" t="s">
        <v>9367</v>
      </c>
    </row>
    <row r="1152" spans="1:12">
      <c r="A1152" s="154" t="s">
        <v>106</v>
      </c>
      <c r="B1152" s="155" t="s">
        <v>9649</v>
      </c>
      <c r="C1152" s="132" t="s">
        <v>108</v>
      </c>
      <c r="D1152" s="132" t="s">
        <v>9650</v>
      </c>
      <c r="E1152" s="132" t="s">
        <v>9651</v>
      </c>
      <c r="F1152" s="132" t="s">
        <v>40</v>
      </c>
      <c r="G1152" s="156" t="s">
        <v>9652</v>
      </c>
      <c r="H1152" s="156" t="s">
        <v>9653</v>
      </c>
      <c r="I1152" s="168" t="s">
        <v>9654</v>
      </c>
      <c r="J1152" s="169" t="s">
        <v>9367</v>
      </c>
    </row>
    <row r="1153" spans="1:12">
      <c r="A1153" s="154" t="s">
        <v>95</v>
      </c>
      <c r="B1153" s="155" t="s">
        <v>9655</v>
      </c>
      <c r="C1153" s="132" t="s">
        <v>97</v>
      </c>
      <c r="D1153" s="132" t="s">
        <v>9656</v>
      </c>
      <c r="E1153" s="132" t="s">
        <v>9657</v>
      </c>
      <c r="F1153" s="132" t="s">
        <v>40</v>
      </c>
      <c r="G1153" s="156" t="s">
        <v>9658</v>
      </c>
      <c r="H1153" s="156" t="s">
        <v>9659</v>
      </c>
      <c r="I1153" s="168" t="s">
        <v>6855</v>
      </c>
      <c r="J1153" s="169" t="s">
        <v>9367</v>
      </c>
    </row>
    <row r="1154" spans="1:12">
      <c r="A1154" s="154" t="s">
        <v>20</v>
      </c>
      <c r="B1154" s="155" t="s">
        <v>9660</v>
      </c>
      <c r="C1154" s="132" t="s">
        <v>21</v>
      </c>
      <c r="D1154" s="132" t="s">
        <v>5199</v>
      </c>
      <c r="E1154" s="132" t="s">
        <v>6892</v>
      </c>
      <c r="F1154" s="132" t="s">
        <v>40</v>
      </c>
      <c r="G1154" s="156" t="s">
        <v>9661</v>
      </c>
      <c r="H1154" s="156" t="s">
        <v>9662</v>
      </c>
      <c r="I1154" s="168" t="s">
        <v>52</v>
      </c>
      <c r="J1154" s="169" t="s">
        <v>72</v>
      </c>
    </row>
    <row r="1155" spans="1:12">
      <c r="A1155" s="154" t="s">
        <v>20</v>
      </c>
      <c r="B1155" s="155" t="s">
        <v>9663</v>
      </c>
      <c r="C1155" s="132" t="s">
        <v>21</v>
      </c>
      <c r="D1155" s="132" t="s">
        <v>8832</v>
      </c>
      <c r="E1155" s="132" t="s">
        <v>9664</v>
      </c>
      <c r="F1155" s="132" t="s">
        <v>40</v>
      </c>
      <c r="G1155" s="156" t="s">
        <v>9665</v>
      </c>
      <c r="H1155" s="156" t="s">
        <v>9666</v>
      </c>
      <c r="I1155" s="168" t="s">
        <v>52</v>
      </c>
      <c r="J1155" s="169" t="s">
        <v>72</v>
      </c>
    </row>
    <row r="1156" spans="1:12">
      <c r="A1156" s="154" t="s">
        <v>95</v>
      </c>
      <c r="B1156" s="155" t="s">
        <v>9667</v>
      </c>
      <c r="C1156" s="132" t="s">
        <v>97</v>
      </c>
      <c r="D1156" s="132" t="s">
        <v>9624</v>
      </c>
      <c r="E1156" s="132" t="s">
        <v>9668</v>
      </c>
      <c r="F1156" s="132" t="s">
        <v>40</v>
      </c>
      <c r="G1156" s="156" t="s">
        <v>9669</v>
      </c>
      <c r="H1156" s="156" t="s">
        <v>9670</v>
      </c>
      <c r="I1156" s="168" t="s">
        <v>32</v>
      </c>
      <c r="J1156" s="169" t="s">
        <v>72</v>
      </c>
    </row>
    <row r="1157" spans="1:12">
      <c r="A1157" s="154" t="s">
        <v>20</v>
      </c>
      <c r="B1157" s="155" t="s">
        <v>9671</v>
      </c>
      <c r="C1157" s="132" t="s">
        <v>21</v>
      </c>
      <c r="D1157" s="132" t="s">
        <v>9672</v>
      </c>
      <c r="E1157" s="132" t="s">
        <v>9673</v>
      </c>
      <c r="F1157" s="132" t="s">
        <v>40</v>
      </c>
      <c r="G1157" s="156" t="s">
        <v>9674</v>
      </c>
      <c r="H1157" s="156" t="s">
        <v>9675</v>
      </c>
      <c r="I1157" s="168" t="s">
        <v>52</v>
      </c>
      <c r="J1157" s="169" t="s">
        <v>72</v>
      </c>
    </row>
    <row r="1158" spans="1:12">
      <c r="A1158" s="154" t="s">
        <v>20</v>
      </c>
      <c r="B1158" s="155" t="s">
        <v>9676</v>
      </c>
      <c r="C1158" s="132" t="s">
        <v>21</v>
      </c>
      <c r="D1158" s="132" t="s">
        <v>9677</v>
      </c>
      <c r="E1158" s="132" t="s">
        <v>9678</v>
      </c>
      <c r="F1158" s="132" t="s">
        <v>40</v>
      </c>
      <c r="G1158" s="156" t="s">
        <v>9679</v>
      </c>
      <c r="H1158" s="156" t="s">
        <v>9680</v>
      </c>
      <c r="I1158" s="168" t="s">
        <v>52</v>
      </c>
      <c r="J1158" s="169" t="s">
        <v>72</v>
      </c>
    </row>
    <row r="1159" spans="1:12">
      <c r="A1159" s="154" t="s">
        <v>20</v>
      </c>
      <c r="B1159" s="155" t="s">
        <v>9681</v>
      </c>
      <c r="C1159" s="132" t="s">
        <v>21</v>
      </c>
      <c r="D1159" s="132" t="s">
        <v>9682</v>
      </c>
      <c r="E1159" s="132" t="s">
        <v>9683</v>
      </c>
      <c r="F1159" s="132" t="s">
        <v>40</v>
      </c>
      <c r="G1159" s="156" t="s">
        <v>9679</v>
      </c>
      <c r="H1159" s="156" t="s">
        <v>9680</v>
      </c>
      <c r="I1159" s="168" t="s">
        <v>52</v>
      </c>
      <c r="J1159" s="169" t="s">
        <v>72</v>
      </c>
    </row>
    <row r="1160" spans="1:12">
      <c r="A1160" s="154" t="s">
        <v>106</v>
      </c>
      <c r="B1160" s="155" t="s">
        <v>9684</v>
      </c>
      <c r="C1160" s="132" t="s">
        <v>108</v>
      </c>
      <c r="D1160" s="132" t="s">
        <v>9685</v>
      </c>
      <c r="E1160" s="132" t="s">
        <v>9686</v>
      </c>
      <c r="F1160" s="132" t="s">
        <v>40</v>
      </c>
      <c r="G1160" s="156" t="s">
        <v>9687</v>
      </c>
      <c r="H1160" s="156" t="s">
        <v>9688</v>
      </c>
      <c r="I1160" s="168" t="s">
        <v>616</v>
      </c>
      <c r="J1160" s="169" t="s">
        <v>72</v>
      </c>
    </row>
    <row r="1161" spans="1:12">
      <c r="A1161" s="154" t="s">
        <v>20</v>
      </c>
      <c r="B1161" s="155" t="s">
        <v>9689</v>
      </c>
      <c r="C1161" s="132" t="s">
        <v>49</v>
      </c>
      <c r="D1161" s="132" t="s">
        <v>9690</v>
      </c>
      <c r="E1161" s="132" t="s">
        <v>9691</v>
      </c>
      <c r="F1161" s="132" t="s">
        <v>40</v>
      </c>
      <c r="G1161" s="156" t="s">
        <v>9692</v>
      </c>
      <c r="H1161" s="156" t="s">
        <v>9693</v>
      </c>
      <c r="I1161" s="168" t="s">
        <v>2220</v>
      </c>
      <c r="J1161" s="169" t="s">
        <v>9367</v>
      </c>
    </row>
    <row r="1162" spans="1:12">
      <c r="A1162" s="154" t="s">
        <v>95</v>
      </c>
      <c r="B1162" s="155" t="s">
        <v>9694</v>
      </c>
      <c r="C1162" s="132" t="s">
        <v>97</v>
      </c>
      <c r="D1162" s="132" t="s">
        <v>9695</v>
      </c>
      <c r="E1162" s="132" t="s">
        <v>9696</v>
      </c>
      <c r="F1162" s="132" t="s">
        <v>40</v>
      </c>
      <c r="G1162" s="156" t="s">
        <v>9697</v>
      </c>
      <c r="H1162" s="156" t="s">
        <v>9698</v>
      </c>
      <c r="I1162" s="168" t="s">
        <v>991</v>
      </c>
      <c r="J1162" s="169" t="s">
        <v>9367</v>
      </c>
    </row>
    <row r="1163" spans="1:12">
      <c r="A1163" s="154" t="s">
        <v>95</v>
      </c>
      <c r="B1163" s="155" t="s">
        <v>9699</v>
      </c>
      <c r="C1163" s="132" t="s">
        <v>97</v>
      </c>
      <c r="D1163" s="132" t="s">
        <v>9700</v>
      </c>
      <c r="E1163" s="132" t="s">
        <v>9701</v>
      </c>
      <c r="F1163" s="132" t="s">
        <v>40</v>
      </c>
      <c r="G1163" s="156" t="s">
        <v>9702</v>
      </c>
      <c r="H1163" s="156" t="s">
        <v>9703</v>
      </c>
      <c r="I1163" s="168" t="s">
        <v>991</v>
      </c>
      <c r="J1163" s="169" t="s">
        <v>9367</v>
      </c>
    </row>
    <row r="1164" spans="1:12" hidden="1">
      <c r="A1164" s="154" t="s">
        <v>20</v>
      </c>
      <c r="B1164" s="155" t="s">
        <v>9704</v>
      </c>
      <c r="C1164" s="132" t="s">
        <v>49</v>
      </c>
      <c r="D1164" s="132" t="s">
        <v>9705</v>
      </c>
      <c r="E1164" s="132" t="s">
        <v>9706</v>
      </c>
      <c r="F1164" s="132" t="s">
        <v>308</v>
      </c>
      <c r="G1164" s="156" t="s">
        <v>9707</v>
      </c>
      <c r="H1164" s="156" t="s">
        <v>9708</v>
      </c>
      <c r="I1164" s="168" t="s">
        <v>32</v>
      </c>
      <c r="J1164" s="169" t="s">
        <v>9367</v>
      </c>
    </row>
    <row r="1165" spans="1:12">
      <c r="A1165" s="154" t="s">
        <v>106</v>
      </c>
      <c r="B1165" s="155" t="s">
        <v>9709</v>
      </c>
      <c r="C1165" s="132" t="s">
        <v>108</v>
      </c>
      <c r="D1165" s="132" t="s">
        <v>9710</v>
      </c>
      <c r="E1165" s="132" t="s">
        <v>9711</v>
      </c>
      <c r="F1165" s="132" t="s">
        <v>40</v>
      </c>
      <c r="G1165" s="156" t="s">
        <v>9712</v>
      </c>
      <c r="H1165" s="156" t="s">
        <v>9713</v>
      </c>
      <c r="I1165" s="168" t="s">
        <v>32</v>
      </c>
      <c r="J1165" s="169" t="s">
        <v>9367</v>
      </c>
    </row>
    <row r="1166" spans="1:12">
      <c r="A1166" s="154" t="s">
        <v>106</v>
      </c>
      <c r="B1166" s="155" t="s">
        <v>9714</v>
      </c>
      <c r="C1166" s="132" t="s">
        <v>333</v>
      </c>
      <c r="D1166" s="132" t="s">
        <v>9715</v>
      </c>
      <c r="E1166" s="132" t="s">
        <v>9716</v>
      </c>
      <c r="F1166" s="132" t="s">
        <v>40</v>
      </c>
      <c r="G1166" s="156" t="s">
        <v>9717</v>
      </c>
      <c r="H1166" s="156" t="s">
        <v>9718</v>
      </c>
      <c r="I1166" s="168" t="s">
        <v>9719</v>
      </c>
      <c r="J1166" s="169" t="s">
        <v>9367</v>
      </c>
    </row>
    <row r="1167" spans="1:12" hidden="1">
      <c r="A1167" s="154" t="s">
        <v>95</v>
      </c>
      <c r="B1167" s="155" t="s">
        <v>9720</v>
      </c>
      <c r="C1167" s="132" t="s">
        <v>97</v>
      </c>
      <c r="D1167" s="132" t="s">
        <v>9721</v>
      </c>
      <c r="E1167" s="132" t="s">
        <v>9722</v>
      </c>
      <c r="F1167" s="132" t="s">
        <v>214</v>
      </c>
      <c r="G1167" s="156" t="s">
        <v>9723</v>
      </c>
      <c r="I1167" s="168" t="s">
        <v>32</v>
      </c>
      <c r="J1167" s="169" t="s">
        <v>9367</v>
      </c>
      <c r="K1167" s="169" t="s">
        <v>94</v>
      </c>
      <c r="L1167" s="185">
        <v>45433</v>
      </c>
    </row>
    <row r="1168" spans="1:12">
      <c r="A1168" s="154" t="s">
        <v>106</v>
      </c>
      <c r="B1168" s="155" t="s">
        <v>9724</v>
      </c>
      <c r="C1168" s="132" t="s">
        <v>333</v>
      </c>
      <c r="D1168" s="132" t="s">
        <v>9725</v>
      </c>
      <c r="E1168" s="132" t="s">
        <v>9726</v>
      </c>
      <c r="F1168" s="132" t="s">
        <v>40</v>
      </c>
      <c r="G1168" s="156" t="s">
        <v>9727</v>
      </c>
      <c r="H1168" s="156" t="s">
        <v>9728</v>
      </c>
      <c r="I1168" s="168" t="s">
        <v>9729</v>
      </c>
      <c r="J1168" s="169" t="s">
        <v>9367</v>
      </c>
    </row>
    <row r="1169" spans="1:12">
      <c r="A1169" s="154" t="s">
        <v>20</v>
      </c>
      <c r="B1169" s="159" t="s">
        <v>9730</v>
      </c>
      <c r="C1169" s="132" t="s">
        <v>49</v>
      </c>
      <c r="D1169" s="132" t="s">
        <v>9731</v>
      </c>
      <c r="E1169" s="132" t="s">
        <v>9732</v>
      </c>
      <c r="F1169" s="132" t="s">
        <v>40</v>
      </c>
      <c r="G1169" s="156" t="s">
        <v>9733</v>
      </c>
      <c r="H1169" s="156" t="s">
        <v>9734</v>
      </c>
      <c r="I1169" s="168" t="s">
        <v>2220</v>
      </c>
      <c r="J1169" s="169" t="s">
        <v>9367</v>
      </c>
      <c r="K1169" s="169" t="s">
        <v>72</v>
      </c>
      <c r="L1169" s="185">
        <v>45430</v>
      </c>
    </row>
    <row r="1170" spans="1:12">
      <c r="A1170" s="154" t="s">
        <v>20</v>
      </c>
      <c r="B1170" s="155" t="s">
        <v>9735</v>
      </c>
      <c r="C1170" s="132" t="s">
        <v>21</v>
      </c>
      <c r="D1170" s="132" t="s">
        <v>9736</v>
      </c>
      <c r="E1170" s="132" t="s">
        <v>9737</v>
      </c>
      <c r="F1170" s="132" t="s">
        <v>40</v>
      </c>
      <c r="G1170" s="156" t="s">
        <v>9738</v>
      </c>
      <c r="H1170" s="156" t="s">
        <v>9739</v>
      </c>
      <c r="I1170" s="168" t="s">
        <v>52</v>
      </c>
      <c r="J1170" s="169" t="s">
        <v>72</v>
      </c>
    </row>
    <row r="1171" spans="1:12">
      <c r="A1171" s="154" t="s">
        <v>95</v>
      </c>
      <c r="B1171" s="155" t="s">
        <v>9740</v>
      </c>
      <c r="C1171" s="132" t="s">
        <v>118</v>
      </c>
      <c r="D1171" s="132" t="s">
        <v>9741</v>
      </c>
      <c r="E1171" s="132" t="s">
        <v>9742</v>
      </c>
      <c r="F1171" s="132" t="s">
        <v>40</v>
      </c>
      <c r="G1171" s="156" t="s">
        <v>9743</v>
      </c>
      <c r="H1171" s="156" t="s">
        <v>9744</v>
      </c>
      <c r="I1171" s="168" t="s">
        <v>502</v>
      </c>
      <c r="J1171" s="169" t="s">
        <v>72</v>
      </c>
    </row>
    <row r="1172" spans="1:12">
      <c r="A1172" s="154" t="s">
        <v>95</v>
      </c>
      <c r="B1172" s="155" t="s">
        <v>9745</v>
      </c>
      <c r="C1172" s="132" t="s">
        <v>28</v>
      </c>
      <c r="D1172" s="132" t="s">
        <v>9746</v>
      </c>
      <c r="E1172" s="132" t="s">
        <v>9747</v>
      </c>
      <c r="F1172" s="132" t="s">
        <v>40</v>
      </c>
      <c r="G1172" s="156" t="s">
        <v>9748</v>
      </c>
      <c r="H1172" s="156" t="s">
        <v>9749</v>
      </c>
      <c r="I1172" s="168" t="s">
        <v>2582</v>
      </c>
      <c r="J1172" s="169" t="s">
        <v>72</v>
      </c>
    </row>
    <row r="1173" spans="1:12">
      <c r="A1173" s="154" t="s">
        <v>106</v>
      </c>
      <c r="B1173" s="155" t="s">
        <v>9750</v>
      </c>
      <c r="C1173" s="132" t="s">
        <v>108</v>
      </c>
      <c r="D1173" s="132" t="s">
        <v>8467</v>
      </c>
      <c r="E1173" s="132" t="s">
        <v>9751</v>
      </c>
      <c r="F1173" s="132" t="s">
        <v>40</v>
      </c>
      <c r="G1173" s="156" t="s">
        <v>9752</v>
      </c>
      <c r="H1173" s="156" t="s">
        <v>9753</v>
      </c>
      <c r="I1173" s="168" t="s">
        <v>32</v>
      </c>
      <c r="J1173" s="169" t="s">
        <v>72</v>
      </c>
    </row>
    <row r="1174" spans="1:12">
      <c r="A1174" s="154" t="s">
        <v>20</v>
      </c>
      <c r="B1174" s="155" t="s">
        <v>9754</v>
      </c>
      <c r="C1174" s="132" t="s">
        <v>21</v>
      </c>
      <c r="D1174" s="132" t="s">
        <v>9755</v>
      </c>
      <c r="E1174" s="132" t="s">
        <v>9756</v>
      </c>
      <c r="F1174" s="132" t="s">
        <v>40</v>
      </c>
      <c r="G1174" s="156" t="s">
        <v>9757</v>
      </c>
      <c r="H1174" s="156" t="s">
        <v>9758</v>
      </c>
      <c r="I1174" s="168" t="s">
        <v>52</v>
      </c>
      <c r="J1174" s="169" t="s">
        <v>72</v>
      </c>
    </row>
    <row r="1175" spans="1:12">
      <c r="A1175" s="154" t="s">
        <v>106</v>
      </c>
      <c r="B1175" s="155" t="s">
        <v>9759</v>
      </c>
      <c r="C1175" s="132" t="s">
        <v>108</v>
      </c>
      <c r="D1175" s="132" t="s">
        <v>9760</v>
      </c>
      <c r="E1175" s="132" t="s">
        <v>9761</v>
      </c>
      <c r="F1175" s="132" t="s">
        <v>40</v>
      </c>
      <c r="G1175" s="156" t="s">
        <v>9762</v>
      </c>
      <c r="H1175" s="156" t="s">
        <v>9763</v>
      </c>
      <c r="I1175" s="168" t="s">
        <v>946</v>
      </c>
      <c r="J1175" s="169" t="s">
        <v>72</v>
      </c>
    </row>
    <row r="1176" spans="1:12">
      <c r="A1176" s="154" t="s">
        <v>95</v>
      </c>
      <c r="B1176" s="155" t="s">
        <v>9764</v>
      </c>
      <c r="C1176" s="132" t="s">
        <v>97</v>
      </c>
      <c r="D1176" s="132" t="s">
        <v>9765</v>
      </c>
      <c r="E1176" s="132" t="s">
        <v>9766</v>
      </c>
      <c r="F1176" s="132" t="s">
        <v>40</v>
      </c>
      <c r="G1176" s="156" t="s">
        <v>9767</v>
      </c>
      <c r="H1176" s="156" t="s">
        <v>9768</v>
      </c>
      <c r="I1176" s="168" t="s">
        <v>8815</v>
      </c>
      <c r="J1176" s="169" t="s">
        <v>9367</v>
      </c>
    </row>
    <row r="1177" spans="1:12">
      <c r="A1177" s="154" t="s">
        <v>106</v>
      </c>
      <c r="B1177" s="155" t="s">
        <v>9769</v>
      </c>
      <c r="C1177" s="132" t="s">
        <v>37</v>
      </c>
      <c r="D1177" s="132" t="s">
        <v>9770</v>
      </c>
      <c r="E1177" s="132" t="s">
        <v>9771</v>
      </c>
      <c r="F1177" s="132" t="s">
        <v>40</v>
      </c>
      <c r="G1177" s="156" t="s">
        <v>9772</v>
      </c>
      <c r="H1177" s="156" t="s">
        <v>9773</v>
      </c>
      <c r="I1177" s="168" t="s">
        <v>32</v>
      </c>
      <c r="J1177" s="169" t="s">
        <v>9367</v>
      </c>
    </row>
    <row r="1178" spans="1:12">
      <c r="A1178" s="154" t="s">
        <v>95</v>
      </c>
      <c r="B1178" s="155" t="s">
        <v>9774</v>
      </c>
      <c r="C1178" s="132" t="s">
        <v>97</v>
      </c>
      <c r="D1178" s="132" t="s">
        <v>9775</v>
      </c>
      <c r="E1178" s="132" t="s">
        <v>9776</v>
      </c>
      <c r="F1178" s="132" t="s">
        <v>40</v>
      </c>
      <c r="G1178" s="156" t="s">
        <v>9777</v>
      </c>
      <c r="H1178" s="156" t="s">
        <v>9768</v>
      </c>
      <c r="I1178" s="168" t="s">
        <v>8815</v>
      </c>
      <c r="J1178" s="169" t="s">
        <v>9367</v>
      </c>
    </row>
    <row r="1179" spans="1:12" hidden="1">
      <c r="A1179" s="154" t="s">
        <v>20</v>
      </c>
      <c r="B1179" s="155" t="s">
        <v>9778</v>
      </c>
      <c r="C1179" s="132" t="s">
        <v>21</v>
      </c>
      <c r="D1179" s="132" t="s">
        <v>9779</v>
      </c>
      <c r="E1179" s="132" t="s">
        <v>9780</v>
      </c>
      <c r="F1179" s="132" t="s">
        <v>308</v>
      </c>
      <c r="G1179" s="156" t="s">
        <v>9767</v>
      </c>
      <c r="H1179" s="156" t="s">
        <v>9781</v>
      </c>
      <c r="I1179" s="168" t="s">
        <v>32</v>
      </c>
      <c r="J1179" s="169" t="s">
        <v>9367</v>
      </c>
    </row>
    <row r="1180" spans="1:12" hidden="1">
      <c r="A1180" s="154" t="s">
        <v>106</v>
      </c>
      <c r="B1180" s="155" t="s">
        <v>9782</v>
      </c>
      <c r="C1180" s="132" t="s">
        <v>333</v>
      </c>
      <c r="D1180" s="132" t="s">
        <v>9783</v>
      </c>
      <c r="E1180" s="132" t="s">
        <v>9784</v>
      </c>
      <c r="F1180" s="132" t="s">
        <v>308</v>
      </c>
      <c r="G1180" s="156" t="s">
        <v>9767</v>
      </c>
      <c r="H1180" s="156" t="s">
        <v>9785</v>
      </c>
      <c r="I1180" s="168" t="s">
        <v>9786</v>
      </c>
      <c r="J1180" s="169" t="s">
        <v>9367</v>
      </c>
    </row>
    <row r="1181" spans="1:12">
      <c r="A1181" s="154" t="s">
        <v>95</v>
      </c>
      <c r="B1181" s="155" t="s">
        <v>9787</v>
      </c>
      <c r="C1181" s="132" t="s">
        <v>97</v>
      </c>
      <c r="D1181" s="132" t="s">
        <v>9788</v>
      </c>
      <c r="E1181" s="132" t="s">
        <v>9789</v>
      </c>
      <c r="F1181" s="132" t="s">
        <v>40</v>
      </c>
      <c r="G1181" s="156" t="s">
        <v>9790</v>
      </c>
      <c r="H1181" s="156" t="s">
        <v>9791</v>
      </c>
      <c r="I1181" s="168" t="s">
        <v>991</v>
      </c>
      <c r="J1181" s="169" t="s">
        <v>9367</v>
      </c>
    </row>
    <row r="1182" spans="1:12">
      <c r="A1182" s="154" t="s">
        <v>20</v>
      </c>
      <c r="B1182" s="155" t="s">
        <v>9792</v>
      </c>
      <c r="C1182" s="132" t="s">
        <v>21</v>
      </c>
      <c r="D1182" s="132" t="s">
        <v>9793</v>
      </c>
      <c r="E1182" s="132" t="s">
        <v>9794</v>
      </c>
      <c r="F1182" s="132" t="s">
        <v>40</v>
      </c>
      <c r="G1182" s="156" t="s">
        <v>9795</v>
      </c>
      <c r="H1182" s="156" t="s">
        <v>9796</v>
      </c>
      <c r="I1182" s="168" t="s">
        <v>52</v>
      </c>
      <c r="J1182" s="169" t="s">
        <v>72</v>
      </c>
    </row>
    <row r="1183" spans="1:12">
      <c r="A1183" s="154" t="s">
        <v>20</v>
      </c>
      <c r="B1183" s="155" t="s">
        <v>9797</v>
      </c>
      <c r="C1183" s="132" t="s">
        <v>49</v>
      </c>
      <c r="D1183" s="132" t="s">
        <v>9798</v>
      </c>
      <c r="E1183" s="132" t="s">
        <v>9799</v>
      </c>
      <c r="F1183" s="132" t="s">
        <v>40</v>
      </c>
      <c r="G1183" s="156" t="s">
        <v>9800</v>
      </c>
      <c r="H1183" s="156" t="s">
        <v>9801</v>
      </c>
      <c r="I1183" s="168" t="s">
        <v>9802</v>
      </c>
      <c r="J1183" s="169" t="s">
        <v>72</v>
      </c>
    </row>
    <row r="1184" spans="1:12">
      <c r="A1184" s="154" t="s">
        <v>95</v>
      </c>
      <c r="B1184" s="155" t="s">
        <v>9803</v>
      </c>
      <c r="C1184" s="132" t="s">
        <v>118</v>
      </c>
      <c r="D1184" s="132" t="s">
        <v>9804</v>
      </c>
      <c r="E1184" s="132" t="s">
        <v>9805</v>
      </c>
      <c r="F1184" s="132" t="s">
        <v>40</v>
      </c>
      <c r="G1184" s="156" t="s">
        <v>9806</v>
      </c>
      <c r="H1184" s="156" t="s">
        <v>9807</v>
      </c>
      <c r="I1184" s="168" t="s">
        <v>502</v>
      </c>
      <c r="J1184" s="169" t="s">
        <v>72</v>
      </c>
    </row>
    <row r="1185" spans="1:10">
      <c r="A1185" s="154" t="s">
        <v>95</v>
      </c>
      <c r="B1185" s="155" t="s">
        <v>9808</v>
      </c>
      <c r="C1185" s="132" t="s">
        <v>97</v>
      </c>
      <c r="D1185" s="132" t="s">
        <v>9624</v>
      </c>
      <c r="E1185" s="132" t="s">
        <v>9668</v>
      </c>
      <c r="F1185" s="132" t="s">
        <v>40</v>
      </c>
      <c r="G1185" s="156" t="s">
        <v>9809</v>
      </c>
      <c r="H1185" s="156" t="s">
        <v>9810</v>
      </c>
      <c r="I1185" s="168" t="s">
        <v>32</v>
      </c>
      <c r="J1185" s="169" t="s">
        <v>72</v>
      </c>
    </row>
    <row r="1186" spans="1:10">
      <c r="A1186" s="154" t="s">
        <v>95</v>
      </c>
      <c r="B1186" s="155" t="s">
        <v>9811</v>
      </c>
      <c r="C1186" s="132" t="s">
        <v>113</v>
      </c>
      <c r="D1186" s="132" t="s">
        <v>9812</v>
      </c>
      <c r="E1186" s="132" t="s">
        <v>9813</v>
      </c>
      <c r="F1186" s="132" t="s">
        <v>40</v>
      </c>
      <c r="G1186" s="156" t="s">
        <v>9814</v>
      </c>
      <c r="H1186" s="156" t="s">
        <v>9815</v>
      </c>
      <c r="I1186" s="168" t="s">
        <v>502</v>
      </c>
      <c r="J1186" s="169" t="s">
        <v>72</v>
      </c>
    </row>
    <row r="1187" spans="1:10">
      <c r="A1187" s="154" t="s">
        <v>106</v>
      </c>
      <c r="B1187" s="155" t="s">
        <v>9816</v>
      </c>
      <c r="C1187" s="132" t="s">
        <v>108</v>
      </c>
      <c r="D1187" s="132" t="s">
        <v>1428</v>
      </c>
      <c r="E1187" s="132" t="s">
        <v>9817</v>
      </c>
      <c r="F1187" s="132" t="s">
        <v>40</v>
      </c>
      <c r="G1187" s="156" t="s">
        <v>9818</v>
      </c>
      <c r="H1187" s="156" t="s">
        <v>9819</v>
      </c>
      <c r="I1187" s="168" t="s">
        <v>32</v>
      </c>
      <c r="J1187" s="169" t="s">
        <v>72</v>
      </c>
    </row>
    <row r="1188" spans="1:10">
      <c r="A1188" s="154" t="s">
        <v>20</v>
      </c>
      <c r="B1188" s="155" t="s">
        <v>9820</v>
      </c>
      <c r="C1188" s="132" t="s">
        <v>21</v>
      </c>
      <c r="D1188" s="132" t="s">
        <v>9821</v>
      </c>
      <c r="E1188" s="132" t="s">
        <v>9822</v>
      </c>
      <c r="F1188" s="132" t="s">
        <v>40</v>
      </c>
      <c r="G1188" s="156" t="s">
        <v>9823</v>
      </c>
      <c r="H1188" s="156" t="s">
        <v>9824</v>
      </c>
      <c r="I1188" s="168" t="s">
        <v>9825</v>
      </c>
      <c r="J1188" s="169" t="s">
        <v>72</v>
      </c>
    </row>
    <row r="1189" spans="1:10">
      <c r="A1189" s="154" t="s">
        <v>20</v>
      </c>
      <c r="B1189" s="155" t="s">
        <v>9826</v>
      </c>
      <c r="C1189" s="132" t="s">
        <v>21</v>
      </c>
      <c r="D1189" s="132" t="s">
        <v>9827</v>
      </c>
      <c r="E1189" s="132" t="s">
        <v>9828</v>
      </c>
      <c r="F1189" s="132" t="s">
        <v>40</v>
      </c>
      <c r="G1189" s="156" t="s">
        <v>9829</v>
      </c>
      <c r="H1189" s="156" t="s">
        <v>9830</v>
      </c>
      <c r="I1189" s="168" t="s">
        <v>32</v>
      </c>
      <c r="J1189" s="169" t="s">
        <v>9367</v>
      </c>
    </row>
    <row r="1190" spans="1:10">
      <c r="A1190" s="154" t="s">
        <v>20</v>
      </c>
      <c r="B1190" s="155" t="s">
        <v>9831</v>
      </c>
      <c r="C1190" s="132" t="s">
        <v>13</v>
      </c>
      <c r="D1190" s="132" t="s">
        <v>9832</v>
      </c>
      <c r="E1190" s="132" t="s">
        <v>9833</v>
      </c>
      <c r="F1190" s="132" t="s">
        <v>40</v>
      </c>
      <c r="G1190" s="156" t="s">
        <v>9834</v>
      </c>
      <c r="H1190" s="156" t="s">
        <v>9835</v>
      </c>
      <c r="I1190" s="168" t="s">
        <v>9169</v>
      </c>
      <c r="J1190" s="169" t="s">
        <v>9367</v>
      </c>
    </row>
    <row r="1191" spans="1:10">
      <c r="A1191" s="154" t="s">
        <v>20</v>
      </c>
      <c r="B1191" s="155" t="s">
        <v>9836</v>
      </c>
      <c r="C1191" s="132" t="s">
        <v>21</v>
      </c>
      <c r="D1191" s="132" t="s">
        <v>9837</v>
      </c>
      <c r="E1191" s="132" t="s">
        <v>9838</v>
      </c>
      <c r="F1191" s="132" t="s">
        <v>40</v>
      </c>
      <c r="G1191" s="156" t="s">
        <v>9839</v>
      </c>
      <c r="H1191" s="156" t="s">
        <v>9840</v>
      </c>
      <c r="I1191" s="168" t="s">
        <v>6829</v>
      </c>
      <c r="J1191" s="169" t="s">
        <v>9367</v>
      </c>
    </row>
    <row r="1192" spans="1:10">
      <c r="A1192" s="154" t="s">
        <v>106</v>
      </c>
      <c r="B1192" s="155" t="s">
        <v>9841</v>
      </c>
      <c r="C1192" s="132" t="s">
        <v>108</v>
      </c>
      <c r="D1192" s="132" t="s">
        <v>9842</v>
      </c>
      <c r="E1192" s="132" t="s">
        <v>9843</v>
      </c>
      <c r="F1192" s="132" t="s">
        <v>40</v>
      </c>
      <c r="G1192" s="156" t="s">
        <v>9844</v>
      </c>
      <c r="H1192" s="156" t="s">
        <v>9845</v>
      </c>
      <c r="I1192" s="132" t="s">
        <v>9846</v>
      </c>
      <c r="J1192" s="169" t="s">
        <v>9367</v>
      </c>
    </row>
    <row r="1193" spans="1:10">
      <c r="A1193" s="154" t="s">
        <v>106</v>
      </c>
      <c r="B1193" s="155" t="s">
        <v>9847</v>
      </c>
      <c r="C1193" s="132" t="s">
        <v>108</v>
      </c>
      <c r="D1193" s="132" t="s">
        <v>9848</v>
      </c>
      <c r="E1193" s="132" t="s">
        <v>9849</v>
      </c>
      <c r="F1193" s="132" t="s">
        <v>40</v>
      </c>
      <c r="G1193" s="156" t="s">
        <v>9850</v>
      </c>
      <c r="H1193" s="156" t="s">
        <v>9851</v>
      </c>
      <c r="I1193" s="168" t="s">
        <v>9852</v>
      </c>
      <c r="J1193" s="169" t="s">
        <v>9367</v>
      </c>
    </row>
    <row r="1194" spans="1:10">
      <c r="A1194" s="154" t="s">
        <v>95</v>
      </c>
      <c r="B1194" s="155" t="s">
        <v>9853</v>
      </c>
      <c r="C1194" s="132" t="s">
        <v>97</v>
      </c>
      <c r="D1194" s="132" t="s">
        <v>9854</v>
      </c>
      <c r="E1194" s="132" t="s">
        <v>9855</v>
      </c>
      <c r="F1194" s="132" t="s">
        <v>40</v>
      </c>
      <c r="G1194" s="156" t="s">
        <v>9856</v>
      </c>
      <c r="H1194" s="156" t="s">
        <v>9857</v>
      </c>
      <c r="I1194" s="168" t="s">
        <v>991</v>
      </c>
      <c r="J1194" s="169" t="s">
        <v>9367</v>
      </c>
    </row>
    <row r="1195" spans="1:10">
      <c r="A1195" s="154" t="s">
        <v>95</v>
      </c>
      <c r="B1195" s="155" t="s">
        <v>9858</v>
      </c>
      <c r="C1195" s="132" t="s">
        <v>97</v>
      </c>
      <c r="D1195" s="132" t="s">
        <v>9859</v>
      </c>
      <c r="E1195" s="132" t="s">
        <v>9860</v>
      </c>
      <c r="F1195" s="132" t="s">
        <v>40</v>
      </c>
      <c r="G1195" s="156" t="s">
        <v>9861</v>
      </c>
      <c r="H1195" s="156" t="s">
        <v>9862</v>
      </c>
      <c r="I1195" s="168" t="s">
        <v>991</v>
      </c>
      <c r="J1195" s="169" t="s">
        <v>9367</v>
      </c>
    </row>
    <row r="1196" spans="1:10">
      <c r="A1196" s="154" t="s">
        <v>106</v>
      </c>
      <c r="B1196" s="155" t="s">
        <v>9863</v>
      </c>
      <c r="C1196" s="132" t="s">
        <v>333</v>
      </c>
      <c r="D1196" s="132" t="s">
        <v>9864</v>
      </c>
      <c r="E1196" s="132" t="s">
        <v>9865</v>
      </c>
      <c r="F1196" s="132" t="s">
        <v>40</v>
      </c>
      <c r="G1196" s="156" t="s">
        <v>9866</v>
      </c>
      <c r="H1196" s="156" t="s">
        <v>9867</v>
      </c>
      <c r="I1196" s="168" t="s">
        <v>9729</v>
      </c>
      <c r="J1196" s="169" t="s">
        <v>9367</v>
      </c>
    </row>
    <row r="1197" spans="1:10">
      <c r="A1197" s="154" t="s">
        <v>20</v>
      </c>
      <c r="B1197" s="155" t="s">
        <v>9868</v>
      </c>
      <c r="C1197" s="132" t="s">
        <v>21</v>
      </c>
      <c r="D1197" s="132" t="s">
        <v>9793</v>
      </c>
      <c r="E1197" s="132" t="s">
        <v>9869</v>
      </c>
      <c r="F1197" s="132" t="s">
        <v>40</v>
      </c>
      <c r="G1197" s="156" t="s">
        <v>9870</v>
      </c>
      <c r="H1197" s="156" t="s">
        <v>9871</v>
      </c>
      <c r="I1197" s="168" t="s">
        <v>52</v>
      </c>
      <c r="J1197" s="169" t="s">
        <v>72</v>
      </c>
    </row>
    <row r="1198" spans="1:10">
      <c r="A1198" s="154" t="s">
        <v>20</v>
      </c>
      <c r="B1198" s="155" t="s">
        <v>9872</v>
      </c>
      <c r="C1198" s="132" t="s">
        <v>49</v>
      </c>
      <c r="D1198" s="132" t="s">
        <v>1166</v>
      </c>
      <c r="E1198" s="132" t="s">
        <v>9873</v>
      </c>
      <c r="F1198" s="132" t="s">
        <v>40</v>
      </c>
      <c r="G1198" s="156" t="s">
        <v>9874</v>
      </c>
      <c r="H1198" s="156" t="s">
        <v>9875</v>
      </c>
      <c r="I1198" s="168" t="s">
        <v>7881</v>
      </c>
      <c r="J1198" s="169" t="s">
        <v>72</v>
      </c>
    </row>
    <row r="1199" spans="1:10">
      <c r="A1199" s="154" t="s">
        <v>20</v>
      </c>
      <c r="B1199" s="155" t="s">
        <v>9876</v>
      </c>
      <c r="C1199" s="132" t="s">
        <v>21</v>
      </c>
      <c r="D1199" s="132" t="s">
        <v>9877</v>
      </c>
      <c r="E1199" s="132" t="s">
        <v>9878</v>
      </c>
      <c r="F1199" s="132" t="s">
        <v>40</v>
      </c>
      <c r="G1199" s="156" t="s">
        <v>9879</v>
      </c>
      <c r="H1199" s="156" t="s">
        <v>9880</v>
      </c>
      <c r="I1199" s="168" t="s">
        <v>52</v>
      </c>
      <c r="J1199" s="169" t="s">
        <v>72</v>
      </c>
    </row>
    <row r="1200" spans="1:10">
      <c r="A1200" s="154" t="s">
        <v>20</v>
      </c>
      <c r="B1200" s="155" t="s">
        <v>9881</v>
      </c>
      <c r="C1200" s="132" t="s">
        <v>21</v>
      </c>
      <c r="D1200" s="132" t="s">
        <v>9882</v>
      </c>
      <c r="E1200" s="132" t="s">
        <v>9883</v>
      </c>
      <c r="F1200" s="132" t="s">
        <v>40</v>
      </c>
      <c r="G1200" s="156" t="s">
        <v>9884</v>
      </c>
      <c r="H1200" s="156" t="s">
        <v>9885</v>
      </c>
      <c r="I1200" s="168" t="s">
        <v>52</v>
      </c>
      <c r="J1200" s="169" t="s">
        <v>72</v>
      </c>
    </row>
    <row r="1201" spans="1:12">
      <c r="A1201" s="154" t="s">
        <v>95</v>
      </c>
      <c r="B1201" s="155" t="s">
        <v>9886</v>
      </c>
      <c r="C1201" s="132" t="s">
        <v>6047</v>
      </c>
      <c r="D1201" s="132" t="s">
        <v>9887</v>
      </c>
      <c r="E1201" s="132" t="s">
        <v>9888</v>
      </c>
      <c r="F1201" s="132" t="s">
        <v>40</v>
      </c>
      <c r="G1201" s="156" t="s">
        <v>9889</v>
      </c>
      <c r="H1201" s="156" t="s">
        <v>9890</v>
      </c>
      <c r="I1201" s="168" t="s">
        <v>7721</v>
      </c>
      <c r="J1201" s="169" t="s">
        <v>72</v>
      </c>
    </row>
    <row r="1202" spans="1:12">
      <c r="A1202" s="154" t="s">
        <v>20</v>
      </c>
      <c r="B1202" s="155" t="s">
        <v>9891</v>
      </c>
      <c r="C1202" s="132" t="s">
        <v>21</v>
      </c>
      <c r="D1202" s="132" t="s">
        <v>5210</v>
      </c>
      <c r="E1202" s="132" t="s">
        <v>9892</v>
      </c>
      <c r="F1202" s="132" t="s">
        <v>40</v>
      </c>
      <c r="G1202" s="156" t="s">
        <v>9893</v>
      </c>
      <c r="H1202" s="156" t="s">
        <v>9894</v>
      </c>
      <c r="I1202" s="168" t="s">
        <v>52</v>
      </c>
      <c r="J1202" s="169" t="s">
        <v>72</v>
      </c>
    </row>
    <row r="1203" spans="1:12" ht="29">
      <c r="A1203" s="154" t="s">
        <v>20</v>
      </c>
      <c r="B1203" s="155" t="s">
        <v>9895</v>
      </c>
      <c r="C1203" s="132" t="s">
        <v>21</v>
      </c>
      <c r="D1203" s="132" t="s">
        <v>9896</v>
      </c>
      <c r="E1203" s="137" t="s">
        <v>9897</v>
      </c>
      <c r="F1203" s="132" t="s">
        <v>40</v>
      </c>
      <c r="G1203" s="156" t="s">
        <v>9898</v>
      </c>
      <c r="H1203" s="156" t="s">
        <v>9899</v>
      </c>
      <c r="I1203" s="168" t="s">
        <v>52</v>
      </c>
      <c r="J1203" s="169" t="s">
        <v>72</v>
      </c>
    </row>
    <row r="1204" spans="1:12">
      <c r="A1204" s="154" t="s">
        <v>106</v>
      </c>
      <c r="B1204" s="155" t="s">
        <v>9900</v>
      </c>
      <c r="C1204" s="132" t="s">
        <v>333</v>
      </c>
      <c r="D1204" s="132" t="s">
        <v>9901</v>
      </c>
      <c r="E1204" s="132" t="s">
        <v>9902</v>
      </c>
      <c r="F1204" s="132" t="s">
        <v>40</v>
      </c>
      <c r="G1204" s="156" t="s">
        <v>9903</v>
      </c>
      <c r="H1204" s="156" t="s">
        <v>9904</v>
      </c>
      <c r="I1204" s="168" t="s">
        <v>346</v>
      </c>
      <c r="J1204" s="169" t="s">
        <v>9367</v>
      </c>
    </row>
    <row r="1205" spans="1:12">
      <c r="A1205" s="154" t="s">
        <v>95</v>
      </c>
      <c r="B1205" s="155" t="s">
        <v>9905</v>
      </c>
      <c r="C1205" s="132" t="s">
        <v>97</v>
      </c>
      <c r="D1205" s="132" t="s">
        <v>9906</v>
      </c>
      <c r="E1205" s="132" t="s">
        <v>9907</v>
      </c>
      <c r="F1205" s="132" t="s">
        <v>40</v>
      </c>
      <c r="G1205" s="156" t="s">
        <v>9908</v>
      </c>
      <c r="H1205" s="156" t="s">
        <v>9909</v>
      </c>
      <c r="I1205" s="168" t="s">
        <v>991</v>
      </c>
      <c r="J1205" s="169" t="s">
        <v>9367</v>
      </c>
    </row>
    <row r="1206" spans="1:12">
      <c r="A1206" s="154" t="s">
        <v>95</v>
      </c>
      <c r="B1206" s="155" t="s">
        <v>9910</v>
      </c>
      <c r="C1206" s="132" t="s">
        <v>97</v>
      </c>
      <c r="D1206" s="132" t="s">
        <v>9911</v>
      </c>
      <c r="E1206" s="132" t="s">
        <v>9912</v>
      </c>
      <c r="F1206" s="132" t="s">
        <v>40</v>
      </c>
      <c r="G1206" s="156" t="s">
        <v>9913</v>
      </c>
      <c r="H1206" s="156" t="s">
        <v>9914</v>
      </c>
      <c r="I1206" s="168" t="s">
        <v>991</v>
      </c>
      <c r="J1206" s="169" t="s">
        <v>9367</v>
      </c>
    </row>
    <row r="1207" spans="1:12" hidden="1">
      <c r="A1207" s="154" t="s">
        <v>106</v>
      </c>
      <c r="B1207" s="155" t="s">
        <v>9915</v>
      </c>
      <c r="C1207" s="132" t="s">
        <v>108</v>
      </c>
      <c r="D1207" s="132" t="s">
        <v>9916</v>
      </c>
      <c r="E1207" s="132" t="s">
        <v>9917</v>
      </c>
      <c r="F1207" s="132" t="s">
        <v>2152</v>
      </c>
      <c r="G1207" s="156" t="s">
        <v>9918</v>
      </c>
      <c r="I1207" s="168" t="s">
        <v>111</v>
      </c>
      <c r="J1207" s="169" t="s">
        <v>9367</v>
      </c>
      <c r="K1207" s="169" t="s">
        <v>94</v>
      </c>
      <c r="L1207" s="185">
        <v>45433</v>
      </c>
    </row>
    <row r="1208" spans="1:12">
      <c r="A1208" s="154" t="s">
        <v>106</v>
      </c>
      <c r="B1208" s="155" t="s">
        <v>9919</v>
      </c>
      <c r="C1208" s="132" t="s">
        <v>108</v>
      </c>
      <c r="D1208" s="132" t="s">
        <v>9920</v>
      </c>
      <c r="E1208" s="132" t="s">
        <v>9921</v>
      </c>
      <c r="F1208" s="132" t="s">
        <v>40</v>
      </c>
      <c r="G1208" s="156" t="s">
        <v>9918</v>
      </c>
      <c r="H1208" s="156" t="s">
        <v>9922</v>
      </c>
      <c r="I1208" s="168" t="s">
        <v>32</v>
      </c>
      <c r="J1208" s="169" t="s">
        <v>9367</v>
      </c>
    </row>
    <row r="1209" spans="1:12">
      <c r="A1209" s="154" t="s">
        <v>106</v>
      </c>
      <c r="B1209" s="155" t="s">
        <v>9923</v>
      </c>
      <c r="C1209" s="132" t="s">
        <v>333</v>
      </c>
      <c r="D1209" s="132" t="s">
        <v>9924</v>
      </c>
      <c r="E1209" s="132" t="s">
        <v>9925</v>
      </c>
      <c r="F1209" s="132" t="s">
        <v>40</v>
      </c>
      <c r="G1209" s="156" t="s">
        <v>9926</v>
      </c>
      <c r="H1209" s="156" t="s">
        <v>9927</v>
      </c>
      <c r="I1209" s="168" t="s">
        <v>9729</v>
      </c>
      <c r="J1209" s="169" t="s">
        <v>9367</v>
      </c>
    </row>
    <row r="1210" spans="1:12">
      <c r="A1210" s="154" t="s">
        <v>106</v>
      </c>
      <c r="B1210" s="155" t="s">
        <v>9928</v>
      </c>
      <c r="C1210" s="132" t="s">
        <v>108</v>
      </c>
      <c r="D1210" s="132" t="s">
        <v>9929</v>
      </c>
      <c r="E1210" s="132" t="s">
        <v>9930</v>
      </c>
      <c r="F1210" s="132" t="s">
        <v>40</v>
      </c>
      <c r="G1210" s="156" t="s">
        <v>9931</v>
      </c>
      <c r="H1210" s="156" t="s">
        <v>9932</v>
      </c>
      <c r="I1210" s="168" t="s">
        <v>1373</v>
      </c>
      <c r="J1210" s="169" t="s">
        <v>9367</v>
      </c>
    </row>
    <row r="1211" spans="1:12">
      <c r="A1211" s="154" t="s">
        <v>20</v>
      </c>
      <c r="B1211" s="155" t="s">
        <v>9933</v>
      </c>
      <c r="C1211" s="132" t="s">
        <v>21</v>
      </c>
      <c r="D1211" s="132" t="s">
        <v>9934</v>
      </c>
      <c r="E1211" s="132" t="s">
        <v>9934</v>
      </c>
      <c r="F1211" s="132" t="s">
        <v>40</v>
      </c>
      <c r="G1211" s="156" t="s">
        <v>9935</v>
      </c>
      <c r="H1211" s="156" t="s">
        <v>9936</v>
      </c>
      <c r="I1211" s="168" t="s">
        <v>9937</v>
      </c>
      <c r="J1211" s="169" t="s">
        <v>9367</v>
      </c>
    </row>
    <row r="1212" spans="1:12">
      <c r="A1212" s="154" t="s">
        <v>106</v>
      </c>
      <c r="B1212" s="155" t="s">
        <v>9938</v>
      </c>
      <c r="C1212" s="132" t="s">
        <v>108</v>
      </c>
      <c r="D1212" s="132" t="s">
        <v>8467</v>
      </c>
      <c r="E1212" s="132" t="s">
        <v>9751</v>
      </c>
      <c r="F1212" s="132" t="s">
        <v>40</v>
      </c>
      <c r="G1212" s="156" t="s">
        <v>9939</v>
      </c>
      <c r="H1212" s="156" t="s">
        <v>9940</v>
      </c>
      <c r="I1212" s="168" t="s">
        <v>32</v>
      </c>
      <c r="J1212" s="169" t="s">
        <v>72</v>
      </c>
    </row>
    <row r="1213" spans="1:12">
      <c r="A1213" s="154" t="s">
        <v>95</v>
      </c>
      <c r="B1213" s="155" t="s">
        <v>9941</v>
      </c>
      <c r="C1213" s="132" t="s">
        <v>97</v>
      </c>
      <c r="D1213" s="132" t="s">
        <v>9942</v>
      </c>
      <c r="E1213" s="132" t="s">
        <v>9943</v>
      </c>
      <c r="F1213" s="132" t="s">
        <v>40</v>
      </c>
      <c r="G1213" s="156" t="s">
        <v>9944</v>
      </c>
      <c r="H1213" s="156" t="s">
        <v>9945</v>
      </c>
      <c r="I1213" s="168" t="s">
        <v>8036</v>
      </c>
      <c r="J1213" s="169" t="s">
        <v>72</v>
      </c>
    </row>
    <row r="1214" spans="1:12">
      <c r="A1214" s="154" t="s">
        <v>20</v>
      </c>
      <c r="B1214" s="155" t="s">
        <v>9946</v>
      </c>
      <c r="C1214" s="132" t="s">
        <v>21</v>
      </c>
      <c r="D1214" s="132" t="s">
        <v>5290</v>
      </c>
      <c r="E1214" s="132" t="s">
        <v>9947</v>
      </c>
      <c r="F1214" s="132" t="s">
        <v>40</v>
      </c>
      <c r="G1214" s="156" t="s">
        <v>9948</v>
      </c>
      <c r="H1214" s="156" t="s">
        <v>9949</v>
      </c>
      <c r="I1214" s="168" t="s">
        <v>52</v>
      </c>
      <c r="J1214" s="169" t="s">
        <v>72</v>
      </c>
    </row>
    <row r="1215" spans="1:12">
      <c r="A1215" s="154" t="s">
        <v>106</v>
      </c>
      <c r="B1215" s="155" t="s">
        <v>9950</v>
      </c>
      <c r="C1215" s="132" t="s">
        <v>108</v>
      </c>
      <c r="D1215" s="132" t="s">
        <v>9951</v>
      </c>
      <c r="E1215" s="132" t="s">
        <v>9952</v>
      </c>
      <c r="F1215" s="132" t="s">
        <v>40</v>
      </c>
      <c r="G1215" s="156" t="s">
        <v>9953</v>
      </c>
      <c r="H1215" s="156" t="s">
        <v>9954</v>
      </c>
      <c r="I1215" s="168" t="s">
        <v>946</v>
      </c>
      <c r="J1215" s="169" t="s">
        <v>72</v>
      </c>
    </row>
    <row r="1216" spans="1:12">
      <c r="A1216" s="154" t="s">
        <v>20</v>
      </c>
      <c r="B1216" s="155" t="s">
        <v>9955</v>
      </c>
      <c r="C1216" s="132" t="s">
        <v>13</v>
      </c>
      <c r="D1216" s="132" t="s">
        <v>9956</v>
      </c>
      <c r="E1216" s="132" t="s">
        <v>9957</v>
      </c>
      <c r="F1216" s="132" t="s">
        <v>40</v>
      </c>
      <c r="G1216" s="156" t="s">
        <v>9958</v>
      </c>
      <c r="H1216" s="156" t="s">
        <v>9959</v>
      </c>
      <c r="I1216" s="168" t="s">
        <v>2605</v>
      </c>
      <c r="J1216" s="169" t="s">
        <v>94</v>
      </c>
    </row>
    <row r="1217" spans="1:11">
      <c r="A1217" s="154" t="s">
        <v>106</v>
      </c>
      <c r="B1217" s="155" t="s">
        <v>9960</v>
      </c>
      <c r="C1217" s="132" t="s">
        <v>333</v>
      </c>
      <c r="D1217" s="132" t="s">
        <v>9961</v>
      </c>
      <c r="E1217" s="132" t="s">
        <v>9962</v>
      </c>
      <c r="F1217" s="132" t="s">
        <v>40</v>
      </c>
      <c r="G1217" s="156" t="s">
        <v>9963</v>
      </c>
      <c r="H1217" s="156" t="s">
        <v>9964</v>
      </c>
      <c r="I1217" s="168" t="s">
        <v>4604</v>
      </c>
      <c r="J1217" s="169" t="s">
        <v>94</v>
      </c>
    </row>
    <row r="1218" spans="1:11">
      <c r="A1218" s="154" t="s">
        <v>20</v>
      </c>
      <c r="B1218" s="155" t="s">
        <v>9965</v>
      </c>
      <c r="C1218" s="132" t="s">
        <v>21</v>
      </c>
      <c r="D1218" s="132" t="s">
        <v>9966</v>
      </c>
      <c r="E1218" s="132" t="s">
        <v>9967</v>
      </c>
      <c r="F1218" s="132" t="s">
        <v>40</v>
      </c>
      <c r="G1218" s="156" t="s">
        <v>9968</v>
      </c>
      <c r="H1218" s="156" t="s">
        <v>9969</v>
      </c>
      <c r="I1218" s="168" t="s">
        <v>4359</v>
      </c>
      <c r="J1218" s="169" t="s">
        <v>88</v>
      </c>
    </row>
    <row r="1219" spans="1:11">
      <c r="A1219" s="154" t="s">
        <v>20</v>
      </c>
      <c r="B1219" s="155" t="s">
        <v>9970</v>
      </c>
      <c r="C1219" s="132" t="s">
        <v>21</v>
      </c>
      <c r="D1219" s="132" t="s">
        <v>9971</v>
      </c>
      <c r="E1219" s="132" t="s">
        <v>9972</v>
      </c>
      <c r="F1219" s="132" t="s">
        <v>40</v>
      </c>
      <c r="G1219" s="156" t="s">
        <v>9973</v>
      </c>
      <c r="H1219" s="156" t="s">
        <v>9974</v>
      </c>
      <c r="I1219" s="168" t="s">
        <v>4359</v>
      </c>
      <c r="J1219" s="169" t="s">
        <v>88</v>
      </c>
    </row>
    <row r="1220" spans="1:11">
      <c r="A1220" s="154" t="s">
        <v>20</v>
      </c>
      <c r="B1220" s="155" t="s">
        <v>9975</v>
      </c>
      <c r="C1220" s="132" t="s">
        <v>21</v>
      </c>
      <c r="D1220" s="132" t="s">
        <v>9976</v>
      </c>
      <c r="E1220" s="132" t="s">
        <v>9977</v>
      </c>
      <c r="F1220" s="132" t="s">
        <v>40</v>
      </c>
      <c r="G1220" s="156" t="s">
        <v>9978</v>
      </c>
      <c r="H1220" s="156" t="s">
        <v>9979</v>
      </c>
      <c r="I1220" s="168" t="s">
        <v>4359</v>
      </c>
      <c r="J1220" s="169" t="s">
        <v>88</v>
      </c>
    </row>
    <row r="1221" spans="1:11">
      <c r="A1221" s="154" t="s">
        <v>95</v>
      </c>
      <c r="B1221" s="155" t="s">
        <v>9980</v>
      </c>
      <c r="C1221" s="132" t="s">
        <v>118</v>
      </c>
      <c r="D1221" s="132" t="s">
        <v>9981</v>
      </c>
      <c r="E1221" s="132" t="s">
        <v>9982</v>
      </c>
      <c r="F1221" s="132" t="s">
        <v>40</v>
      </c>
      <c r="G1221" s="156" t="s">
        <v>9983</v>
      </c>
      <c r="H1221" s="156" t="s">
        <v>9984</v>
      </c>
      <c r="I1221" s="168" t="s">
        <v>3956</v>
      </c>
      <c r="J1221" s="169" t="s">
        <v>88</v>
      </c>
    </row>
    <row r="1222" spans="1:11">
      <c r="A1222" s="154" t="s">
        <v>20</v>
      </c>
      <c r="B1222" s="155" t="s">
        <v>9985</v>
      </c>
      <c r="C1222" s="132" t="s">
        <v>13</v>
      </c>
      <c r="D1222" s="132" t="s">
        <v>9986</v>
      </c>
      <c r="E1222" s="132" t="s">
        <v>9987</v>
      </c>
      <c r="F1222" s="132" t="s">
        <v>40</v>
      </c>
      <c r="G1222" s="156" t="s">
        <v>9988</v>
      </c>
      <c r="H1222" s="156" t="s">
        <v>9989</v>
      </c>
      <c r="I1222" s="168" t="s">
        <v>7204</v>
      </c>
      <c r="J1222" s="169" t="s">
        <v>88</v>
      </c>
    </row>
    <row r="1223" spans="1:11">
      <c r="A1223" s="154" t="s">
        <v>20</v>
      </c>
      <c r="B1223" s="155" t="s">
        <v>9990</v>
      </c>
      <c r="C1223" s="132" t="s">
        <v>21</v>
      </c>
      <c r="D1223" s="132" t="s">
        <v>9991</v>
      </c>
      <c r="E1223" s="132" t="s">
        <v>9992</v>
      </c>
      <c r="F1223" s="132" t="s">
        <v>40</v>
      </c>
      <c r="G1223" s="156" t="s">
        <v>9993</v>
      </c>
      <c r="H1223" s="156" t="s">
        <v>9994</v>
      </c>
      <c r="I1223" s="168" t="s">
        <v>9995</v>
      </c>
      <c r="J1223" s="169" t="s">
        <v>88</v>
      </c>
      <c r="K1223" s="169" t="s">
        <v>61</v>
      </c>
    </row>
    <row r="1224" spans="1:11">
      <c r="A1224" s="154" t="s">
        <v>106</v>
      </c>
      <c r="B1224" s="155" t="s">
        <v>9996</v>
      </c>
      <c r="C1224" s="132" t="s">
        <v>78</v>
      </c>
      <c r="D1224" s="132" t="s">
        <v>9997</v>
      </c>
      <c r="E1224" s="132" t="s">
        <v>9998</v>
      </c>
      <c r="F1224" s="132" t="s">
        <v>40</v>
      </c>
      <c r="G1224" s="156" t="s">
        <v>9999</v>
      </c>
      <c r="H1224" s="156" t="s">
        <v>10000</v>
      </c>
      <c r="I1224" s="168" t="s">
        <v>7127</v>
      </c>
      <c r="J1224" s="169" t="s">
        <v>94</v>
      </c>
    </row>
    <row r="1225" spans="1:11" ht="58">
      <c r="A1225" s="154" t="s">
        <v>106</v>
      </c>
      <c r="B1225" s="155" t="s">
        <v>10001</v>
      </c>
      <c r="C1225" s="132" t="s">
        <v>333</v>
      </c>
      <c r="D1225" s="132" t="s">
        <v>10002</v>
      </c>
      <c r="E1225" s="137" t="s">
        <v>10003</v>
      </c>
      <c r="F1225" s="132" t="s">
        <v>40</v>
      </c>
      <c r="G1225" s="156" t="s">
        <v>10004</v>
      </c>
      <c r="H1225" s="156" t="s">
        <v>10005</v>
      </c>
      <c r="I1225" s="168" t="s">
        <v>4604</v>
      </c>
      <c r="J1225" s="169" t="s">
        <v>94</v>
      </c>
      <c r="K1225" s="169" t="s">
        <v>88</v>
      </c>
    </row>
    <row r="1226" spans="1:11">
      <c r="A1226" s="154" t="s">
        <v>20</v>
      </c>
      <c r="B1226" s="155" t="s">
        <v>10006</v>
      </c>
      <c r="C1226" s="132" t="s">
        <v>21</v>
      </c>
      <c r="D1226" s="132" t="s">
        <v>10007</v>
      </c>
      <c r="E1226" s="132" t="s">
        <v>10008</v>
      </c>
      <c r="F1226" s="132" t="s">
        <v>40</v>
      </c>
      <c r="G1226" s="156" t="s">
        <v>10009</v>
      </c>
      <c r="H1226" s="156" t="s">
        <v>10010</v>
      </c>
      <c r="I1226" s="168" t="s">
        <v>9995</v>
      </c>
      <c r="J1226" s="169" t="s">
        <v>88</v>
      </c>
    </row>
    <row r="1227" spans="1:11">
      <c r="A1227" s="154" t="s">
        <v>106</v>
      </c>
      <c r="B1227" s="155" t="s">
        <v>10011</v>
      </c>
      <c r="C1227" s="132" t="s">
        <v>78</v>
      </c>
      <c r="D1227" s="132" t="s">
        <v>7584</v>
      </c>
      <c r="E1227" s="132" t="s">
        <v>10012</v>
      </c>
      <c r="F1227" s="132" t="s">
        <v>40</v>
      </c>
      <c r="G1227" s="156" t="s">
        <v>10013</v>
      </c>
      <c r="H1227" s="156" t="s">
        <v>10014</v>
      </c>
      <c r="I1227" s="168" t="s">
        <v>2400</v>
      </c>
      <c r="J1227" s="169" t="s">
        <v>88</v>
      </c>
      <c r="K1227" s="169" t="s">
        <v>94</v>
      </c>
    </row>
    <row r="1228" spans="1:11">
      <c r="A1228" s="154" t="s">
        <v>95</v>
      </c>
      <c r="B1228" s="155" t="s">
        <v>10015</v>
      </c>
      <c r="C1228" s="132" t="s">
        <v>97</v>
      </c>
      <c r="D1228" s="132" t="s">
        <v>6781</v>
      </c>
      <c r="E1228" s="132" t="s">
        <v>10016</v>
      </c>
      <c r="F1228" s="132" t="s">
        <v>40</v>
      </c>
      <c r="G1228" s="156" t="s">
        <v>10017</v>
      </c>
      <c r="H1228" s="156" t="s">
        <v>10018</v>
      </c>
      <c r="I1228" s="168" t="s">
        <v>32</v>
      </c>
      <c r="J1228" s="169" t="s">
        <v>94</v>
      </c>
    </row>
    <row r="1229" spans="1:11">
      <c r="A1229" s="154" t="s">
        <v>20</v>
      </c>
      <c r="B1229" s="155" t="s">
        <v>10019</v>
      </c>
      <c r="C1229" s="132" t="s">
        <v>21</v>
      </c>
      <c r="D1229" s="132" t="s">
        <v>10020</v>
      </c>
      <c r="E1229" s="132" t="s">
        <v>10021</v>
      </c>
      <c r="F1229" s="132" t="s">
        <v>40</v>
      </c>
      <c r="G1229" s="156" t="s">
        <v>10022</v>
      </c>
      <c r="H1229" s="156" t="s">
        <v>10023</v>
      </c>
      <c r="I1229" s="168" t="s">
        <v>9995</v>
      </c>
      <c r="J1229" s="169" t="s">
        <v>88</v>
      </c>
    </row>
    <row r="1230" spans="1:11">
      <c r="A1230" s="154" t="s">
        <v>20</v>
      </c>
      <c r="B1230" s="155" t="s">
        <v>10024</v>
      </c>
      <c r="C1230" s="132" t="s">
        <v>13</v>
      </c>
      <c r="D1230" s="132" t="s">
        <v>10025</v>
      </c>
      <c r="E1230" s="132" t="s">
        <v>10026</v>
      </c>
      <c r="F1230" s="132" t="s">
        <v>40</v>
      </c>
      <c r="G1230" s="156" t="s">
        <v>10027</v>
      </c>
      <c r="H1230" s="156" t="s">
        <v>10028</v>
      </c>
      <c r="I1230" s="168" t="s">
        <v>10029</v>
      </c>
      <c r="J1230" s="169" t="s">
        <v>88</v>
      </c>
      <c r="K1230" s="169" t="s">
        <v>94</v>
      </c>
    </row>
    <row r="1231" spans="1:11">
      <c r="A1231" s="154" t="s">
        <v>106</v>
      </c>
      <c r="B1231" s="155" t="s">
        <v>10030</v>
      </c>
      <c r="C1231" s="132" t="s">
        <v>108</v>
      </c>
      <c r="D1231" s="132" t="s">
        <v>10031</v>
      </c>
      <c r="E1231" s="132" t="s">
        <v>10032</v>
      </c>
      <c r="F1231" s="132" t="s">
        <v>40</v>
      </c>
      <c r="G1231" s="156" t="s">
        <v>10033</v>
      </c>
      <c r="H1231" s="156" t="s">
        <v>10034</v>
      </c>
      <c r="I1231" s="168" t="s">
        <v>3825</v>
      </c>
      <c r="J1231" s="169" t="s">
        <v>88</v>
      </c>
    </row>
    <row r="1232" spans="1:11">
      <c r="A1232" s="154" t="s">
        <v>20</v>
      </c>
      <c r="B1232" s="155" t="s">
        <v>10035</v>
      </c>
      <c r="C1232" s="132" t="s">
        <v>21</v>
      </c>
      <c r="D1232" s="132" t="s">
        <v>1218</v>
      </c>
      <c r="E1232" s="132" t="s">
        <v>10036</v>
      </c>
      <c r="F1232" s="132" t="s">
        <v>40</v>
      </c>
      <c r="G1232" s="156" t="s">
        <v>10037</v>
      </c>
      <c r="H1232" s="156" t="s">
        <v>10038</v>
      </c>
      <c r="I1232" s="168" t="s">
        <v>9995</v>
      </c>
      <c r="J1232" s="169" t="s">
        <v>88</v>
      </c>
    </row>
    <row r="1233" spans="1:10">
      <c r="A1233" s="154" t="s">
        <v>20</v>
      </c>
      <c r="B1233" s="155" t="s">
        <v>10039</v>
      </c>
      <c r="C1233" s="132" t="s">
        <v>21</v>
      </c>
      <c r="D1233" s="132" t="s">
        <v>10040</v>
      </c>
      <c r="E1233" s="132" t="s">
        <v>10041</v>
      </c>
      <c r="F1233" s="132" t="s">
        <v>40</v>
      </c>
      <c r="G1233" s="156" t="s">
        <v>10042</v>
      </c>
      <c r="H1233" s="156" t="s">
        <v>10043</v>
      </c>
      <c r="I1233" s="168" t="s">
        <v>6245</v>
      </c>
      <c r="J1233" s="169" t="s">
        <v>88</v>
      </c>
    </row>
    <row r="1234" spans="1:10">
      <c r="A1234" s="154" t="s">
        <v>20</v>
      </c>
      <c r="B1234" s="155" t="s">
        <v>10044</v>
      </c>
      <c r="C1234" s="132" t="s">
        <v>13</v>
      </c>
      <c r="D1234" s="132" t="s">
        <v>10045</v>
      </c>
      <c r="E1234" s="132" t="s">
        <v>10046</v>
      </c>
      <c r="F1234" s="132" t="s">
        <v>40</v>
      </c>
      <c r="G1234" s="156" t="s">
        <v>10047</v>
      </c>
      <c r="H1234" s="156" t="s">
        <v>10048</v>
      </c>
      <c r="I1234" s="168" t="s">
        <v>10049</v>
      </c>
      <c r="J1234" s="169" t="s">
        <v>94</v>
      </c>
    </row>
    <row r="1235" spans="1:10">
      <c r="A1235" s="154" t="s">
        <v>106</v>
      </c>
      <c r="B1235" s="155" t="s">
        <v>10050</v>
      </c>
      <c r="C1235" s="132" t="s">
        <v>37</v>
      </c>
      <c r="D1235" s="132" t="s">
        <v>10051</v>
      </c>
      <c r="E1235" s="132" t="s">
        <v>10052</v>
      </c>
      <c r="F1235" s="132" t="s">
        <v>40</v>
      </c>
      <c r="G1235" s="156" t="s">
        <v>10053</v>
      </c>
      <c r="H1235" s="156" t="s">
        <v>10054</v>
      </c>
      <c r="I1235" s="168" t="s">
        <v>32</v>
      </c>
      <c r="J1235" s="169" t="s">
        <v>94</v>
      </c>
    </row>
    <row r="1236" spans="1:10" hidden="1">
      <c r="A1236" s="154" t="s">
        <v>106</v>
      </c>
      <c r="B1236" s="155" t="s">
        <v>10055</v>
      </c>
      <c r="C1236" s="132" t="s">
        <v>10056</v>
      </c>
      <c r="D1236" s="132" t="s">
        <v>10057</v>
      </c>
      <c r="E1236" s="132" t="s">
        <v>10058</v>
      </c>
      <c r="F1236" s="132" t="s">
        <v>214</v>
      </c>
      <c r="G1236" s="156" t="s">
        <v>10059</v>
      </c>
      <c r="I1236" s="168" t="s">
        <v>32</v>
      </c>
      <c r="J1236" s="169" t="s">
        <v>94</v>
      </c>
    </row>
    <row r="1237" spans="1:10">
      <c r="A1237" s="154" t="s">
        <v>95</v>
      </c>
      <c r="B1237" s="155" t="s">
        <v>10060</v>
      </c>
      <c r="C1237" s="132" t="s">
        <v>118</v>
      </c>
      <c r="D1237" s="132" t="s">
        <v>10061</v>
      </c>
      <c r="E1237" s="132" t="s">
        <v>10062</v>
      </c>
      <c r="F1237" s="132" t="s">
        <v>40</v>
      </c>
      <c r="G1237" s="156" t="s">
        <v>10063</v>
      </c>
      <c r="H1237" s="156" t="s">
        <v>10064</v>
      </c>
      <c r="I1237" s="168" t="s">
        <v>3956</v>
      </c>
      <c r="J1237" s="169" t="s">
        <v>88</v>
      </c>
    </row>
    <row r="1238" spans="1:10">
      <c r="A1238" s="154" t="s">
        <v>20</v>
      </c>
      <c r="B1238" s="155" t="s">
        <v>10065</v>
      </c>
      <c r="C1238" s="132" t="s">
        <v>21</v>
      </c>
      <c r="D1238" s="132" t="s">
        <v>10066</v>
      </c>
      <c r="E1238" s="132" t="s">
        <v>10067</v>
      </c>
      <c r="F1238" s="132" t="s">
        <v>40</v>
      </c>
      <c r="G1238" s="156" t="s">
        <v>10068</v>
      </c>
      <c r="H1238" s="156" t="s">
        <v>10069</v>
      </c>
      <c r="I1238" s="168" t="s">
        <v>9995</v>
      </c>
      <c r="J1238" s="169" t="s">
        <v>88</v>
      </c>
    </row>
    <row r="1239" spans="1:10">
      <c r="A1239" s="154" t="s">
        <v>20</v>
      </c>
      <c r="B1239" s="155" t="s">
        <v>10070</v>
      </c>
      <c r="C1239" s="132" t="s">
        <v>21</v>
      </c>
      <c r="D1239" s="132" t="s">
        <v>10071</v>
      </c>
      <c r="E1239" s="132" t="s">
        <v>10072</v>
      </c>
      <c r="F1239" s="132" t="s">
        <v>40</v>
      </c>
      <c r="G1239" s="156" t="s">
        <v>10073</v>
      </c>
      <c r="H1239" s="156" t="s">
        <v>10074</v>
      </c>
      <c r="I1239" s="168" t="s">
        <v>9995</v>
      </c>
      <c r="J1239" s="169" t="s">
        <v>88</v>
      </c>
    </row>
    <row r="1240" spans="1:10">
      <c r="A1240" s="154" t="s">
        <v>95</v>
      </c>
      <c r="B1240" s="155" t="s">
        <v>10075</v>
      </c>
      <c r="C1240" s="132" t="s">
        <v>97</v>
      </c>
      <c r="D1240" s="132" t="s">
        <v>10076</v>
      </c>
      <c r="E1240" s="132" t="s">
        <v>10077</v>
      </c>
      <c r="F1240" s="132" t="s">
        <v>40</v>
      </c>
      <c r="G1240" s="156" t="s">
        <v>10078</v>
      </c>
      <c r="H1240" s="156" t="s">
        <v>10079</v>
      </c>
      <c r="I1240" s="168" t="s">
        <v>325</v>
      </c>
      <c r="J1240" s="169" t="s">
        <v>94</v>
      </c>
    </row>
    <row r="1241" spans="1:10">
      <c r="A1241" s="154" t="s">
        <v>20</v>
      </c>
      <c r="B1241" s="155" t="s">
        <v>10080</v>
      </c>
      <c r="C1241" s="132" t="s">
        <v>49</v>
      </c>
      <c r="D1241" s="132" t="s">
        <v>10081</v>
      </c>
      <c r="E1241" s="132" t="s">
        <v>10082</v>
      </c>
      <c r="F1241" s="132" t="s">
        <v>40</v>
      </c>
      <c r="G1241" s="156" t="s">
        <v>10083</v>
      </c>
      <c r="H1241" s="156" t="s">
        <v>10084</v>
      </c>
      <c r="I1241" s="168" t="s">
        <v>4648</v>
      </c>
      <c r="J1241" s="169" t="s">
        <v>94</v>
      </c>
    </row>
    <row r="1242" spans="1:10">
      <c r="A1242" s="154" t="s">
        <v>95</v>
      </c>
      <c r="B1242" s="155" t="s">
        <v>10085</v>
      </c>
      <c r="C1242" s="132" t="s">
        <v>118</v>
      </c>
      <c r="D1242" s="132" t="s">
        <v>10086</v>
      </c>
      <c r="E1242" s="132" t="s">
        <v>10087</v>
      </c>
      <c r="F1242" s="132" t="s">
        <v>40</v>
      </c>
      <c r="G1242" s="156" t="s">
        <v>10088</v>
      </c>
      <c r="H1242" s="156" t="s">
        <v>10089</v>
      </c>
      <c r="I1242" s="168" t="s">
        <v>32</v>
      </c>
      <c r="J1242" s="169" t="s">
        <v>94</v>
      </c>
    </row>
    <row r="1243" spans="1:10">
      <c r="A1243" s="154" t="s">
        <v>95</v>
      </c>
      <c r="B1243" s="155" t="s">
        <v>10090</v>
      </c>
      <c r="C1243" s="132" t="s">
        <v>113</v>
      </c>
      <c r="D1243" s="132" t="s">
        <v>10091</v>
      </c>
      <c r="E1243" s="132" t="s">
        <v>10087</v>
      </c>
      <c r="F1243" s="132" t="s">
        <v>40</v>
      </c>
      <c r="G1243" s="156" t="s">
        <v>10092</v>
      </c>
      <c r="H1243" s="156" t="s">
        <v>10093</v>
      </c>
      <c r="I1243" s="168" t="s">
        <v>32</v>
      </c>
      <c r="J1243" s="169" t="s">
        <v>94</v>
      </c>
    </row>
    <row r="1244" spans="1:10">
      <c r="A1244" s="154" t="s">
        <v>20</v>
      </c>
      <c r="B1244" s="155" t="s">
        <v>10094</v>
      </c>
      <c r="C1244" s="132" t="s">
        <v>21</v>
      </c>
      <c r="D1244" s="132" t="s">
        <v>10095</v>
      </c>
      <c r="E1244" s="132" t="s">
        <v>10096</v>
      </c>
      <c r="F1244" s="132" t="s">
        <v>40</v>
      </c>
      <c r="G1244" s="156" t="s">
        <v>10097</v>
      </c>
      <c r="H1244" s="156" t="s">
        <v>10098</v>
      </c>
      <c r="I1244" s="168" t="s">
        <v>9995</v>
      </c>
      <c r="J1244" s="169" t="s">
        <v>88</v>
      </c>
    </row>
    <row r="1245" spans="1:10">
      <c r="A1245" s="154" t="s">
        <v>20</v>
      </c>
      <c r="B1245" s="155" t="s">
        <v>10099</v>
      </c>
      <c r="C1245" s="132" t="s">
        <v>21</v>
      </c>
      <c r="D1245" s="132" t="s">
        <v>10100</v>
      </c>
      <c r="E1245" s="132" t="s">
        <v>10101</v>
      </c>
      <c r="F1245" s="132" t="s">
        <v>40</v>
      </c>
      <c r="G1245" s="156" t="s">
        <v>10102</v>
      </c>
      <c r="H1245" s="156" t="s">
        <v>10103</v>
      </c>
      <c r="I1245" s="168" t="s">
        <v>9995</v>
      </c>
      <c r="J1245" s="169" t="s">
        <v>88</v>
      </c>
    </row>
    <row r="1246" spans="1:10">
      <c r="A1246" s="154" t="s">
        <v>106</v>
      </c>
      <c r="B1246" s="155" t="s">
        <v>10104</v>
      </c>
      <c r="C1246" s="132" t="s">
        <v>333</v>
      </c>
      <c r="D1246" s="132" t="s">
        <v>10105</v>
      </c>
      <c r="E1246" s="132" t="s">
        <v>10106</v>
      </c>
      <c r="F1246" s="132" t="s">
        <v>40</v>
      </c>
      <c r="G1246" s="156" t="s">
        <v>10107</v>
      </c>
      <c r="H1246" s="156" t="s">
        <v>10108</v>
      </c>
      <c r="I1246" s="168" t="s">
        <v>6640</v>
      </c>
      <c r="J1246" s="169" t="s">
        <v>88</v>
      </c>
    </row>
    <row r="1247" spans="1:10">
      <c r="A1247" s="154" t="s">
        <v>20</v>
      </c>
      <c r="B1247" s="155" t="s">
        <v>10109</v>
      </c>
      <c r="C1247" s="132" t="s">
        <v>13</v>
      </c>
      <c r="D1247" s="132" t="s">
        <v>10110</v>
      </c>
      <c r="E1247" s="132" t="s">
        <v>10111</v>
      </c>
      <c r="F1247" s="132" t="s">
        <v>40</v>
      </c>
      <c r="G1247" s="156" t="s">
        <v>10112</v>
      </c>
      <c r="H1247" s="156" t="s">
        <v>10113</v>
      </c>
      <c r="I1247" s="168" t="s">
        <v>2605</v>
      </c>
      <c r="J1247" s="169" t="s">
        <v>94</v>
      </c>
    </row>
    <row r="1248" spans="1:10" ht="43.5">
      <c r="A1248" s="154" t="s">
        <v>106</v>
      </c>
      <c r="B1248" s="155" t="s">
        <v>10114</v>
      </c>
      <c r="C1248" s="132" t="s">
        <v>108</v>
      </c>
      <c r="D1248" s="132" t="s">
        <v>10115</v>
      </c>
      <c r="E1248" s="137" t="s">
        <v>10116</v>
      </c>
      <c r="F1248" s="132" t="s">
        <v>40</v>
      </c>
      <c r="G1248" s="156" t="s">
        <v>10117</v>
      </c>
      <c r="H1248" s="156" t="s">
        <v>10118</v>
      </c>
      <c r="I1248" s="168" t="s">
        <v>111</v>
      </c>
      <c r="J1248" s="169" t="s">
        <v>94</v>
      </c>
    </row>
    <row r="1249" spans="1:11">
      <c r="A1249" s="154" t="s">
        <v>20</v>
      </c>
      <c r="B1249" s="155" t="s">
        <v>10119</v>
      </c>
      <c r="C1249" s="132" t="s">
        <v>13</v>
      </c>
      <c r="D1249" s="132" t="s">
        <v>10120</v>
      </c>
      <c r="E1249" s="132" t="s">
        <v>10121</v>
      </c>
      <c r="F1249" s="132" t="s">
        <v>40</v>
      </c>
      <c r="G1249" s="156" t="s">
        <v>10122</v>
      </c>
      <c r="H1249" s="156" t="s">
        <v>10123</v>
      </c>
      <c r="I1249" s="168" t="s">
        <v>5454</v>
      </c>
      <c r="J1249" s="169" t="s">
        <v>94</v>
      </c>
    </row>
    <row r="1250" spans="1:11">
      <c r="A1250" s="154" t="s">
        <v>106</v>
      </c>
      <c r="B1250" s="155" t="s">
        <v>10124</v>
      </c>
      <c r="C1250" s="132" t="s">
        <v>78</v>
      </c>
      <c r="D1250" s="132" t="s">
        <v>10125</v>
      </c>
      <c r="E1250" s="132" t="s">
        <v>10126</v>
      </c>
      <c r="F1250" s="132" t="s">
        <v>40</v>
      </c>
      <c r="G1250" s="156" t="s">
        <v>10127</v>
      </c>
      <c r="H1250" s="156" t="s">
        <v>10128</v>
      </c>
      <c r="I1250" s="168" t="s">
        <v>258</v>
      </c>
      <c r="J1250" s="169" t="s">
        <v>94</v>
      </c>
    </row>
    <row r="1251" spans="1:11" hidden="1">
      <c r="A1251" s="154" t="s">
        <v>106</v>
      </c>
      <c r="B1251" s="155" t="s">
        <v>10129</v>
      </c>
      <c r="C1251" s="132" t="s">
        <v>333</v>
      </c>
      <c r="D1251" s="132" t="s">
        <v>10130</v>
      </c>
      <c r="F1251" s="132" t="s">
        <v>214</v>
      </c>
      <c r="G1251" s="156" t="s">
        <v>10131</v>
      </c>
      <c r="I1251" s="168" t="s">
        <v>346</v>
      </c>
      <c r="J1251" s="169" t="s">
        <v>94</v>
      </c>
      <c r="K1251" s="169" t="s">
        <v>88</v>
      </c>
    </row>
    <row r="1252" spans="1:11" ht="29">
      <c r="A1252" s="154" t="s">
        <v>20</v>
      </c>
      <c r="B1252" s="155" t="s">
        <v>10132</v>
      </c>
      <c r="C1252" s="132" t="s">
        <v>21</v>
      </c>
      <c r="D1252" s="132" t="s">
        <v>10133</v>
      </c>
      <c r="E1252" s="132" t="s">
        <v>10134</v>
      </c>
      <c r="F1252" s="132" t="s">
        <v>40</v>
      </c>
      <c r="G1252" s="156" t="s">
        <v>10135</v>
      </c>
      <c r="H1252" s="178" t="s">
        <v>10136</v>
      </c>
      <c r="I1252" s="168" t="s">
        <v>1628</v>
      </c>
      <c r="J1252" s="169" t="s">
        <v>88</v>
      </c>
    </row>
    <row r="1253" spans="1:11">
      <c r="A1253" s="154" t="s">
        <v>95</v>
      </c>
      <c r="B1253" s="155" t="s">
        <v>10137</v>
      </c>
      <c r="C1253" s="132" t="s">
        <v>118</v>
      </c>
      <c r="D1253" s="132" t="s">
        <v>10138</v>
      </c>
      <c r="E1253" s="132" t="s">
        <v>10139</v>
      </c>
      <c r="F1253" s="132" t="s">
        <v>40</v>
      </c>
      <c r="G1253" s="156" t="s">
        <v>10140</v>
      </c>
      <c r="H1253" s="156" t="s">
        <v>10141</v>
      </c>
      <c r="I1253" s="168" t="s">
        <v>3956</v>
      </c>
      <c r="J1253" s="169" t="s">
        <v>88</v>
      </c>
    </row>
    <row r="1254" spans="1:11">
      <c r="A1254" s="154" t="s">
        <v>20</v>
      </c>
      <c r="B1254" s="155" t="s">
        <v>10142</v>
      </c>
      <c r="C1254" s="132" t="s">
        <v>13</v>
      </c>
      <c r="D1254" s="132" t="s">
        <v>10143</v>
      </c>
      <c r="E1254" s="132" t="s">
        <v>10144</v>
      </c>
      <c r="F1254" s="132" t="s">
        <v>40</v>
      </c>
      <c r="G1254" s="156" t="s">
        <v>10145</v>
      </c>
      <c r="H1254" s="156" t="s">
        <v>10146</v>
      </c>
      <c r="I1254" s="168" t="s">
        <v>10029</v>
      </c>
      <c r="J1254" s="169" t="s">
        <v>88</v>
      </c>
    </row>
    <row r="1255" spans="1:11">
      <c r="A1255" s="154" t="s">
        <v>20</v>
      </c>
      <c r="B1255" s="155" t="s">
        <v>10147</v>
      </c>
      <c r="C1255" s="132" t="s">
        <v>21</v>
      </c>
      <c r="D1255" s="132" t="s">
        <v>10148</v>
      </c>
      <c r="E1255" s="132" t="s">
        <v>10149</v>
      </c>
      <c r="F1255" s="132" t="s">
        <v>40</v>
      </c>
      <c r="G1255" s="156" t="s">
        <v>10150</v>
      </c>
      <c r="H1255" s="156" t="s">
        <v>10151</v>
      </c>
      <c r="I1255" s="168" t="s">
        <v>1628</v>
      </c>
      <c r="J1255" s="169" t="s">
        <v>88</v>
      </c>
    </row>
    <row r="1256" spans="1:11">
      <c r="A1256" s="154" t="s">
        <v>20</v>
      </c>
      <c r="B1256" s="155" t="s">
        <v>10152</v>
      </c>
      <c r="C1256" s="132" t="s">
        <v>21</v>
      </c>
      <c r="D1256" s="132" t="s">
        <v>10153</v>
      </c>
      <c r="E1256" s="132" t="s">
        <v>10154</v>
      </c>
      <c r="F1256" s="132" t="s">
        <v>40</v>
      </c>
      <c r="G1256" s="156" t="s">
        <v>10155</v>
      </c>
      <c r="H1256" s="156" t="s">
        <v>10156</v>
      </c>
      <c r="I1256" s="168" t="s">
        <v>1628</v>
      </c>
      <c r="J1256" s="169" t="s">
        <v>88</v>
      </c>
    </row>
    <row r="1257" spans="1:11">
      <c r="A1257" s="154" t="s">
        <v>20</v>
      </c>
      <c r="B1257" s="155" t="s">
        <v>10157</v>
      </c>
      <c r="C1257" s="132" t="s">
        <v>21</v>
      </c>
      <c r="D1257" s="132" t="s">
        <v>10158</v>
      </c>
      <c r="E1257" s="132" t="s">
        <v>10159</v>
      </c>
      <c r="F1257" s="132" t="s">
        <v>40</v>
      </c>
      <c r="G1257" s="156" t="s">
        <v>10160</v>
      </c>
      <c r="H1257" s="156" t="s">
        <v>10161</v>
      </c>
      <c r="I1257" s="168" t="s">
        <v>9995</v>
      </c>
      <c r="J1257" s="169" t="s">
        <v>88</v>
      </c>
    </row>
    <row r="1258" spans="1:11">
      <c r="A1258" s="154" t="s">
        <v>95</v>
      </c>
      <c r="B1258" s="155" t="s">
        <v>10162</v>
      </c>
      <c r="C1258" s="132" t="s">
        <v>97</v>
      </c>
      <c r="D1258" s="132" t="s">
        <v>10163</v>
      </c>
      <c r="E1258" s="132" t="s">
        <v>10087</v>
      </c>
      <c r="F1258" s="132" t="s">
        <v>40</v>
      </c>
      <c r="G1258" s="156" t="s">
        <v>10164</v>
      </c>
      <c r="H1258" s="156" t="s">
        <v>10165</v>
      </c>
      <c r="I1258" s="168" t="s">
        <v>32</v>
      </c>
      <c r="J1258" s="169" t="s">
        <v>94</v>
      </c>
    </row>
    <row r="1259" spans="1:11">
      <c r="A1259" s="154" t="s">
        <v>95</v>
      </c>
      <c r="B1259" s="155" t="s">
        <v>10166</v>
      </c>
      <c r="C1259" s="132" t="s">
        <v>97</v>
      </c>
      <c r="D1259" s="132" t="s">
        <v>10167</v>
      </c>
      <c r="E1259" s="132" t="s">
        <v>10168</v>
      </c>
      <c r="F1259" s="132" t="s">
        <v>40</v>
      </c>
      <c r="G1259" s="156" t="s">
        <v>10169</v>
      </c>
      <c r="H1259" s="156" t="s">
        <v>10170</v>
      </c>
      <c r="I1259" s="168" t="s">
        <v>32</v>
      </c>
      <c r="J1259" s="169" t="s">
        <v>94</v>
      </c>
    </row>
    <row r="1260" spans="1:11">
      <c r="A1260" s="154" t="s">
        <v>20</v>
      </c>
      <c r="B1260" s="155" t="s">
        <v>10171</v>
      </c>
      <c r="C1260" s="132" t="s">
        <v>21</v>
      </c>
      <c r="D1260" s="132" t="s">
        <v>10172</v>
      </c>
      <c r="E1260" s="132" t="s">
        <v>10173</v>
      </c>
      <c r="F1260" s="132" t="s">
        <v>40</v>
      </c>
      <c r="G1260" s="156" t="s">
        <v>10174</v>
      </c>
      <c r="H1260" s="156" t="s">
        <v>10175</v>
      </c>
      <c r="I1260" s="168" t="s">
        <v>9995</v>
      </c>
      <c r="J1260" s="169" t="s">
        <v>88</v>
      </c>
    </row>
    <row r="1261" spans="1:11">
      <c r="A1261" s="154" t="s">
        <v>106</v>
      </c>
      <c r="B1261" s="155" t="s">
        <v>10176</v>
      </c>
      <c r="C1261" s="132" t="s">
        <v>108</v>
      </c>
      <c r="D1261" s="132" t="s">
        <v>1767</v>
      </c>
      <c r="E1261" s="132" t="s">
        <v>10177</v>
      </c>
      <c r="F1261" s="132" t="s">
        <v>40</v>
      </c>
      <c r="G1261" s="156" t="s">
        <v>10178</v>
      </c>
      <c r="H1261" s="156" t="s">
        <v>10175</v>
      </c>
      <c r="I1261" s="168" t="s">
        <v>10179</v>
      </c>
      <c r="J1261" s="169" t="s">
        <v>88</v>
      </c>
    </row>
    <row r="1262" spans="1:11">
      <c r="A1262" s="154" t="s">
        <v>95</v>
      </c>
      <c r="B1262" s="155" t="s">
        <v>10180</v>
      </c>
      <c r="C1262" s="132" t="s">
        <v>97</v>
      </c>
      <c r="D1262" s="132" t="s">
        <v>1120</v>
      </c>
      <c r="E1262" s="132" t="s">
        <v>10181</v>
      </c>
      <c r="F1262" s="132" t="s">
        <v>40</v>
      </c>
      <c r="G1262" s="156" t="s">
        <v>10182</v>
      </c>
      <c r="H1262" s="156" t="s">
        <v>10183</v>
      </c>
      <c r="I1262" s="168" t="s">
        <v>10184</v>
      </c>
      <c r="J1262" s="169" t="s">
        <v>72</v>
      </c>
    </row>
    <row r="1263" spans="1:11">
      <c r="A1263" s="154" t="s">
        <v>95</v>
      </c>
      <c r="B1263" s="155" t="s">
        <v>10185</v>
      </c>
      <c r="C1263" s="132" t="s">
        <v>97</v>
      </c>
      <c r="D1263" s="132" t="s">
        <v>10186</v>
      </c>
      <c r="E1263" s="132" t="s">
        <v>10187</v>
      </c>
      <c r="F1263" s="132" t="s">
        <v>40</v>
      </c>
      <c r="G1263" s="156" t="s">
        <v>10188</v>
      </c>
      <c r="H1263" s="156" t="s">
        <v>10189</v>
      </c>
      <c r="I1263" s="168" t="s">
        <v>2400</v>
      </c>
      <c r="J1263" s="169" t="s">
        <v>72</v>
      </c>
    </row>
    <row r="1264" spans="1:11">
      <c r="A1264" s="154" t="s">
        <v>20</v>
      </c>
      <c r="B1264" s="155" t="s">
        <v>10190</v>
      </c>
      <c r="C1264" s="132" t="s">
        <v>13</v>
      </c>
      <c r="D1264" s="132" t="s">
        <v>10191</v>
      </c>
      <c r="E1264" s="132" t="s">
        <v>10192</v>
      </c>
      <c r="F1264" s="132" t="s">
        <v>40</v>
      </c>
      <c r="G1264" s="156" t="s">
        <v>10193</v>
      </c>
      <c r="H1264" s="156" t="s">
        <v>10194</v>
      </c>
      <c r="I1264" s="168" t="s">
        <v>74</v>
      </c>
      <c r="J1264" s="169" t="s">
        <v>72</v>
      </c>
    </row>
    <row r="1265" spans="1:10">
      <c r="A1265" s="154" t="s">
        <v>106</v>
      </c>
      <c r="B1265" s="155" t="s">
        <v>10195</v>
      </c>
      <c r="C1265" s="132" t="s">
        <v>108</v>
      </c>
      <c r="D1265" s="132" t="s">
        <v>2211</v>
      </c>
      <c r="E1265" s="132" t="s">
        <v>10196</v>
      </c>
      <c r="F1265" s="132" t="s">
        <v>40</v>
      </c>
      <c r="G1265" s="156" t="s">
        <v>10197</v>
      </c>
      <c r="H1265" s="156" t="s">
        <v>10198</v>
      </c>
      <c r="I1265" s="168" t="s">
        <v>32</v>
      </c>
      <c r="J1265" s="169" t="s">
        <v>72</v>
      </c>
    </row>
    <row r="1266" spans="1:10">
      <c r="A1266" s="154" t="s">
        <v>106</v>
      </c>
      <c r="B1266" s="155" t="s">
        <v>10199</v>
      </c>
      <c r="C1266" s="132" t="s">
        <v>78</v>
      </c>
      <c r="D1266" s="132" t="s">
        <v>10200</v>
      </c>
      <c r="E1266" s="132" t="s">
        <v>10201</v>
      </c>
      <c r="F1266" s="132" t="s">
        <v>40</v>
      </c>
      <c r="G1266" s="156" t="s">
        <v>10202</v>
      </c>
      <c r="H1266" s="156" t="s">
        <v>10203</v>
      </c>
      <c r="I1266" s="168" t="s">
        <v>2168</v>
      </c>
      <c r="J1266" s="169" t="s">
        <v>72</v>
      </c>
    </row>
    <row r="1267" spans="1:10">
      <c r="A1267" s="154" t="s">
        <v>95</v>
      </c>
      <c r="B1267" s="155" t="s">
        <v>10204</v>
      </c>
      <c r="C1267" s="132" t="s">
        <v>97</v>
      </c>
      <c r="D1267" s="132" t="s">
        <v>10205</v>
      </c>
      <c r="E1267" s="132" t="s">
        <v>10206</v>
      </c>
      <c r="F1267" s="132" t="s">
        <v>40</v>
      </c>
      <c r="G1267" s="156" t="s">
        <v>10207</v>
      </c>
      <c r="H1267" s="156" t="s">
        <v>10208</v>
      </c>
      <c r="I1267" s="168" t="s">
        <v>2478</v>
      </c>
      <c r="J1267" s="169" t="s">
        <v>72</v>
      </c>
    </row>
    <row r="1268" spans="1:10">
      <c r="A1268" s="154" t="s">
        <v>106</v>
      </c>
      <c r="B1268" s="155" t="s">
        <v>10209</v>
      </c>
      <c r="C1268" s="132" t="s">
        <v>108</v>
      </c>
      <c r="D1268" s="132" t="s">
        <v>10210</v>
      </c>
      <c r="E1268" s="132" t="s">
        <v>10211</v>
      </c>
      <c r="F1268" s="132" t="s">
        <v>40</v>
      </c>
      <c r="G1268" s="156" t="s">
        <v>10212</v>
      </c>
      <c r="H1268" s="156" t="s">
        <v>10213</v>
      </c>
      <c r="I1268" s="168" t="s">
        <v>3320</v>
      </c>
      <c r="J1268" s="169" t="s">
        <v>72</v>
      </c>
    </row>
    <row r="1269" spans="1:10">
      <c r="A1269" s="154" t="s">
        <v>20</v>
      </c>
      <c r="B1269" s="155" t="s">
        <v>10214</v>
      </c>
      <c r="C1269" s="132" t="s">
        <v>21</v>
      </c>
      <c r="D1269" s="132" t="s">
        <v>10215</v>
      </c>
      <c r="E1269" s="132" t="s">
        <v>10216</v>
      </c>
      <c r="F1269" s="132" t="s">
        <v>40</v>
      </c>
      <c r="G1269" s="156" t="s">
        <v>10217</v>
      </c>
      <c r="H1269" s="156" t="s">
        <v>10218</v>
      </c>
      <c r="I1269" s="168" t="s">
        <v>10219</v>
      </c>
      <c r="J1269" s="169" t="s">
        <v>72</v>
      </c>
    </row>
    <row r="1270" spans="1:10">
      <c r="A1270" s="154" t="s">
        <v>95</v>
      </c>
      <c r="B1270" s="155" t="s">
        <v>10220</v>
      </c>
      <c r="C1270" s="132" t="s">
        <v>113</v>
      </c>
      <c r="D1270" s="132" t="s">
        <v>10221</v>
      </c>
      <c r="E1270" s="132" t="s">
        <v>10222</v>
      </c>
      <c r="F1270" s="132" t="s">
        <v>40</v>
      </c>
      <c r="G1270" s="156" t="s">
        <v>10223</v>
      </c>
      <c r="I1270" s="168" t="s">
        <v>2400</v>
      </c>
      <c r="J1270" s="169" t="s">
        <v>9367</v>
      </c>
    </row>
    <row r="1271" spans="1:10">
      <c r="A1271" s="154" t="s">
        <v>20</v>
      </c>
      <c r="B1271" s="155" t="s">
        <v>10224</v>
      </c>
      <c r="C1271" s="132" t="s">
        <v>21</v>
      </c>
      <c r="D1271" s="132" t="s">
        <v>10225</v>
      </c>
      <c r="E1271" s="132" t="s">
        <v>10226</v>
      </c>
      <c r="F1271" s="132" t="s">
        <v>40</v>
      </c>
      <c r="G1271" s="156" t="s">
        <v>10227</v>
      </c>
      <c r="H1271" s="156" t="s">
        <v>10228</v>
      </c>
      <c r="I1271" s="168" t="s">
        <v>64</v>
      </c>
      <c r="J1271" s="169" t="s">
        <v>9367</v>
      </c>
    </row>
    <row r="1272" spans="1:10">
      <c r="A1272" s="154" t="s">
        <v>20</v>
      </c>
      <c r="B1272" s="155" t="s">
        <v>10229</v>
      </c>
      <c r="C1272" s="132" t="s">
        <v>21</v>
      </c>
      <c r="D1272" s="132" t="s">
        <v>10230</v>
      </c>
      <c r="E1272" s="132" t="s">
        <v>10231</v>
      </c>
      <c r="F1272" s="132" t="s">
        <v>40</v>
      </c>
      <c r="G1272" s="156" t="s">
        <v>10232</v>
      </c>
      <c r="H1272" s="156" t="s">
        <v>10233</v>
      </c>
      <c r="I1272" s="168" t="s">
        <v>64</v>
      </c>
      <c r="J1272" s="169" t="s">
        <v>9367</v>
      </c>
    </row>
    <row r="1273" spans="1:10">
      <c r="A1273" s="154" t="s">
        <v>20</v>
      </c>
      <c r="B1273" s="155" t="s">
        <v>10234</v>
      </c>
      <c r="C1273" s="132" t="s">
        <v>21</v>
      </c>
      <c r="D1273" s="132" t="s">
        <v>10235</v>
      </c>
      <c r="E1273" s="132" t="s">
        <v>10236</v>
      </c>
      <c r="F1273" s="132" t="s">
        <v>40</v>
      </c>
      <c r="G1273" s="156" t="s">
        <v>10237</v>
      </c>
      <c r="H1273" s="156" t="s">
        <v>10238</v>
      </c>
      <c r="I1273" s="168" t="s">
        <v>64</v>
      </c>
      <c r="J1273" s="169" t="s">
        <v>9367</v>
      </c>
    </row>
    <row r="1274" spans="1:10">
      <c r="A1274" s="154" t="s">
        <v>95</v>
      </c>
      <c r="B1274" s="155" t="s">
        <v>10239</v>
      </c>
      <c r="C1274" s="132" t="s">
        <v>97</v>
      </c>
      <c r="D1274" s="132" t="s">
        <v>10240</v>
      </c>
      <c r="E1274" s="132" t="s">
        <v>10241</v>
      </c>
      <c r="F1274" s="132" t="s">
        <v>40</v>
      </c>
      <c r="G1274" s="156" t="s">
        <v>10242</v>
      </c>
      <c r="H1274" s="156" t="s">
        <v>10243</v>
      </c>
      <c r="I1274" s="168" t="s">
        <v>32</v>
      </c>
      <c r="J1274" s="169" t="s">
        <v>9367</v>
      </c>
    </row>
    <row r="1275" spans="1:10">
      <c r="A1275" s="154" t="s">
        <v>95</v>
      </c>
      <c r="B1275" s="155" t="s">
        <v>10244</v>
      </c>
      <c r="C1275" s="132" t="s">
        <v>113</v>
      </c>
      <c r="D1275" s="132" t="s">
        <v>10245</v>
      </c>
      <c r="E1275" s="132" t="s">
        <v>10246</v>
      </c>
      <c r="F1275" s="132" t="s">
        <v>40</v>
      </c>
      <c r="G1275" s="156" t="s">
        <v>10247</v>
      </c>
      <c r="H1275" s="156" t="s">
        <v>10248</v>
      </c>
      <c r="I1275" s="168" t="s">
        <v>10249</v>
      </c>
      <c r="J1275" s="169" t="s">
        <v>9367</v>
      </c>
    </row>
    <row r="1276" spans="1:10">
      <c r="A1276" s="154" t="s">
        <v>106</v>
      </c>
      <c r="B1276" s="155" t="s">
        <v>10250</v>
      </c>
      <c r="C1276" s="132" t="s">
        <v>108</v>
      </c>
      <c r="D1276" s="132" t="s">
        <v>10251</v>
      </c>
      <c r="E1276" s="132" t="s">
        <v>10252</v>
      </c>
      <c r="F1276" s="132" t="s">
        <v>40</v>
      </c>
      <c r="G1276" s="156" t="s">
        <v>10253</v>
      </c>
      <c r="H1276" s="156" t="s">
        <v>10254</v>
      </c>
      <c r="I1276" s="168" t="s">
        <v>10255</v>
      </c>
      <c r="J1276" s="169" t="s">
        <v>72</v>
      </c>
    </row>
    <row r="1277" spans="1:10">
      <c r="A1277" s="154" t="s">
        <v>95</v>
      </c>
      <c r="B1277" s="155" t="s">
        <v>10256</v>
      </c>
      <c r="C1277" s="132" t="s">
        <v>28</v>
      </c>
      <c r="D1277" s="132" t="s">
        <v>10257</v>
      </c>
      <c r="E1277" s="132" t="s">
        <v>10258</v>
      </c>
      <c r="F1277" s="132" t="s">
        <v>40</v>
      </c>
      <c r="G1277" s="156" t="s">
        <v>10259</v>
      </c>
      <c r="H1277" s="156" t="s">
        <v>10260</v>
      </c>
      <c r="I1277" s="168" t="s">
        <v>10261</v>
      </c>
      <c r="J1277" s="169" t="s">
        <v>72</v>
      </c>
    </row>
    <row r="1278" spans="1:10">
      <c r="A1278" s="154" t="s">
        <v>106</v>
      </c>
      <c r="B1278" s="155" t="s">
        <v>10262</v>
      </c>
      <c r="C1278" s="132" t="s">
        <v>108</v>
      </c>
      <c r="D1278" s="132" t="s">
        <v>10263</v>
      </c>
      <c r="E1278" s="132" t="s">
        <v>10264</v>
      </c>
      <c r="F1278" s="132" t="s">
        <v>40</v>
      </c>
      <c r="G1278" s="156" t="s">
        <v>10259</v>
      </c>
      <c r="H1278" s="156" t="s">
        <v>10259</v>
      </c>
      <c r="I1278" s="168" t="s">
        <v>3320</v>
      </c>
      <c r="J1278" s="169" t="s">
        <v>72</v>
      </c>
    </row>
    <row r="1279" spans="1:10">
      <c r="A1279" s="154" t="s">
        <v>106</v>
      </c>
      <c r="B1279" s="155" t="s">
        <v>10265</v>
      </c>
      <c r="C1279" s="132" t="s">
        <v>108</v>
      </c>
      <c r="D1279" s="132" t="s">
        <v>10266</v>
      </c>
      <c r="E1279" s="132" t="s">
        <v>10267</v>
      </c>
      <c r="F1279" s="132" t="s">
        <v>40</v>
      </c>
      <c r="G1279" s="156" t="s">
        <v>10259</v>
      </c>
      <c r="H1279" s="156" t="s">
        <v>10259</v>
      </c>
      <c r="I1279" s="168" t="s">
        <v>10268</v>
      </c>
      <c r="J1279" s="169" t="s">
        <v>72</v>
      </c>
    </row>
    <row r="1280" spans="1:10">
      <c r="A1280" s="154" t="s">
        <v>95</v>
      </c>
      <c r="B1280" s="155" t="s">
        <v>10269</v>
      </c>
      <c r="C1280" s="132" t="s">
        <v>97</v>
      </c>
      <c r="D1280" s="132" t="s">
        <v>1120</v>
      </c>
      <c r="E1280" s="132" t="s">
        <v>10270</v>
      </c>
      <c r="F1280" s="132" t="s">
        <v>40</v>
      </c>
      <c r="G1280" s="156" t="s">
        <v>10271</v>
      </c>
      <c r="H1280" s="156" t="s">
        <v>10272</v>
      </c>
      <c r="I1280" s="168" t="s">
        <v>1251</v>
      </c>
      <c r="J1280" s="169" t="s">
        <v>72</v>
      </c>
    </row>
    <row r="1281" spans="1:10">
      <c r="A1281" s="154" t="s">
        <v>106</v>
      </c>
      <c r="B1281" s="155" t="s">
        <v>10273</v>
      </c>
      <c r="C1281" s="132" t="s">
        <v>108</v>
      </c>
      <c r="D1281" s="132" t="s">
        <v>10274</v>
      </c>
      <c r="E1281" s="132" t="s">
        <v>10275</v>
      </c>
      <c r="F1281" s="132" t="s">
        <v>40</v>
      </c>
      <c r="G1281" s="156" t="s">
        <v>10276</v>
      </c>
      <c r="H1281" s="156" t="s">
        <v>10277</v>
      </c>
      <c r="I1281" s="168" t="s">
        <v>4563</v>
      </c>
      <c r="J1281" s="169" t="s">
        <v>9367</v>
      </c>
    </row>
    <row r="1282" spans="1:10">
      <c r="A1282" s="154" t="s">
        <v>20</v>
      </c>
      <c r="B1282" s="155" t="s">
        <v>10278</v>
      </c>
      <c r="C1282" s="132" t="s">
        <v>21</v>
      </c>
      <c r="D1282" s="132" t="s">
        <v>10279</v>
      </c>
      <c r="E1282" s="132" t="s">
        <v>10280</v>
      </c>
      <c r="F1282" s="132" t="s">
        <v>40</v>
      </c>
      <c r="G1282" s="156" t="s">
        <v>10281</v>
      </c>
      <c r="H1282" s="156" t="s">
        <v>10282</v>
      </c>
      <c r="I1282" s="168" t="s">
        <v>10283</v>
      </c>
      <c r="J1282" s="169" t="s">
        <v>9367</v>
      </c>
    </row>
    <row r="1283" spans="1:10">
      <c r="A1283" s="154" t="s">
        <v>106</v>
      </c>
      <c r="B1283" s="155" t="s">
        <v>10284</v>
      </c>
      <c r="C1283" s="132" t="s">
        <v>6047</v>
      </c>
      <c r="D1283" s="132" t="s">
        <v>9606</v>
      </c>
      <c r="E1283" s="132" t="s">
        <v>10285</v>
      </c>
      <c r="F1283" s="132" t="s">
        <v>40</v>
      </c>
      <c r="G1283" s="156" t="s">
        <v>10286</v>
      </c>
      <c r="H1283" s="156" t="s">
        <v>10287</v>
      </c>
      <c r="I1283" s="168" t="s">
        <v>6974</v>
      </c>
      <c r="J1283" s="169" t="s">
        <v>9367</v>
      </c>
    </row>
    <row r="1284" spans="1:10">
      <c r="A1284" s="154" t="s">
        <v>95</v>
      </c>
      <c r="B1284" s="155" t="s">
        <v>10288</v>
      </c>
      <c r="C1284" s="132" t="s">
        <v>113</v>
      </c>
      <c r="D1284" s="132" t="s">
        <v>10289</v>
      </c>
      <c r="E1284" s="132" t="s">
        <v>10290</v>
      </c>
      <c r="F1284" s="132" t="s">
        <v>40</v>
      </c>
      <c r="G1284" s="156" t="s">
        <v>10291</v>
      </c>
      <c r="H1284" s="156" t="s">
        <v>10287</v>
      </c>
      <c r="I1284" s="168" t="s">
        <v>2400</v>
      </c>
      <c r="J1284" s="169" t="s">
        <v>9367</v>
      </c>
    </row>
    <row r="1285" spans="1:10">
      <c r="A1285" s="154" t="s">
        <v>20</v>
      </c>
      <c r="B1285" s="155" t="s">
        <v>10292</v>
      </c>
      <c r="C1285" s="132" t="s">
        <v>21</v>
      </c>
      <c r="D1285" s="132" t="s">
        <v>10293</v>
      </c>
      <c r="E1285" s="132" t="s">
        <v>10294</v>
      </c>
      <c r="F1285" s="132" t="s">
        <v>40</v>
      </c>
      <c r="G1285" s="156" t="s">
        <v>10295</v>
      </c>
      <c r="H1285" s="156" t="s">
        <v>10296</v>
      </c>
      <c r="I1285" s="168" t="s">
        <v>10283</v>
      </c>
      <c r="J1285" s="169" t="s">
        <v>9367</v>
      </c>
    </row>
    <row r="1286" spans="1:10">
      <c r="A1286" s="164" t="s">
        <v>20</v>
      </c>
      <c r="B1286" s="155" t="s">
        <v>10297</v>
      </c>
      <c r="C1286" s="132" t="s">
        <v>21</v>
      </c>
      <c r="D1286" s="132" t="s">
        <v>10298</v>
      </c>
      <c r="E1286" s="132" t="s">
        <v>10299</v>
      </c>
      <c r="F1286" s="132" t="s">
        <v>40</v>
      </c>
      <c r="G1286" s="156" t="s">
        <v>10300</v>
      </c>
      <c r="H1286" s="156" t="s">
        <v>10301</v>
      </c>
      <c r="I1286" s="168" t="s">
        <v>64</v>
      </c>
      <c r="J1286" s="169" t="s">
        <v>9367</v>
      </c>
    </row>
    <row r="1287" spans="1:10">
      <c r="A1287" s="164" t="s">
        <v>106</v>
      </c>
      <c r="B1287" s="159" t="s">
        <v>10302</v>
      </c>
      <c r="C1287" s="132" t="s">
        <v>78</v>
      </c>
      <c r="D1287" s="132" t="s">
        <v>10303</v>
      </c>
      <c r="E1287" s="132" t="s">
        <v>5276</v>
      </c>
      <c r="F1287" s="132" t="s">
        <v>40</v>
      </c>
      <c r="G1287" s="156" t="s">
        <v>10304</v>
      </c>
      <c r="H1287" s="156" t="s">
        <v>10305</v>
      </c>
      <c r="I1287" s="168" t="s">
        <v>258</v>
      </c>
      <c r="J1287" s="169" t="s">
        <v>72</v>
      </c>
    </row>
    <row r="1288" spans="1:10">
      <c r="A1288" s="164" t="s">
        <v>20</v>
      </c>
      <c r="B1288" s="159" t="s">
        <v>10306</v>
      </c>
      <c r="C1288" s="132" t="s">
        <v>21</v>
      </c>
      <c r="D1288" s="132" t="s">
        <v>10307</v>
      </c>
      <c r="E1288" s="132" t="s">
        <v>10308</v>
      </c>
      <c r="F1288" s="132" t="s">
        <v>40</v>
      </c>
      <c r="G1288" s="156" t="s">
        <v>10309</v>
      </c>
      <c r="H1288" s="156" t="s">
        <v>10310</v>
      </c>
      <c r="I1288" s="168" t="s">
        <v>6459</v>
      </c>
      <c r="J1288" s="169" t="s">
        <v>72</v>
      </c>
    </row>
    <row r="1289" spans="1:10">
      <c r="A1289" s="164" t="s">
        <v>95</v>
      </c>
      <c r="B1289" s="159" t="s">
        <v>10311</v>
      </c>
      <c r="C1289" s="132" t="s">
        <v>97</v>
      </c>
      <c r="D1289" s="132" t="s">
        <v>10312</v>
      </c>
      <c r="E1289" s="132" t="s">
        <v>10313</v>
      </c>
      <c r="F1289" s="132" t="s">
        <v>40</v>
      </c>
      <c r="G1289" s="156" t="s">
        <v>10314</v>
      </c>
      <c r="H1289" s="156" t="s">
        <v>10315</v>
      </c>
      <c r="I1289" s="168" t="s">
        <v>2168</v>
      </c>
      <c r="J1289" s="169" t="s">
        <v>72</v>
      </c>
    </row>
    <row r="1290" spans="1:10">
      <c r="A1290" s="132" t="s">
        <v>95</v>
      </c>
      <c r="B1290" s="167" t="s">
        <v>10316</v>
      </c>
      <c r="C1290" s="132" t="s">
        <v>118</v>
      </c>
      <c r="D1290" s="132" t="s">
        <v>10317</v>
      </c>
      <c r="E1290" s="132" t="s">
        <v>10318</v>
      </c>
      <c r="F1290" s="132" t="s">
        <v>40</v>
      </c>
      <c r="G1290" s="156" t="s">
        <v>10319</v>
      </c>
      <c r="H1290" s="156" t="s">
        <v>10320</v>
      </c>
      <c r="I1290" s="168" t="s">
        <v>10321</v>
      </c>
      <c r="J1290" s="169" t="s">
        <v>9367</v>
      </c>
    </row>
    <row r="1291" spans="1:10" hidden="1">
      <c r="A1291" s="132" t="s">
        <v>20</v>
      </c>
      <c r="B1291" s="167" t="s">
        <v>10322</v>
      </c>
      <c r="C1291" s="132" t="s">
        <v>49</v>
      </c>
      <c r="D1291" s="132" t="s">
        <v>10323</v>
      </c>
      <c r="E1291" s="132" t="s">
        <v>10324</v>
      </c>
      <c r="F1291" s="132" t="s">
        <v>214</v>
      </c>
      <c r="G1291" s="156" t="s">
        <v>10325</v>
      </c>
      <c r="I1291" s="168" t="s">
        <v>187</v>
      </c>
      <c r="J1291" s="169" t="s">
        <v>9367</v>
      </c>
    </row>
    <row r="1292" spans="1:10">
      <c r="A1292" s="132" t="s">
        <v>20</v>
      </c>
      <c r="B1292" s="167" t="s">
        <v>10326</v>
      </c>
      <c r="C1292" s="132" t="s">
        <v>49</v>
      </c>
      <c r="D1292" s="132" t="s">
        <v>10327</v>
      </c>
      <c r="E1292" s="132" t="s">
        <v>10328</v>
      </c>
      <c r="F1292" s="132" t="s">
        <v>40</v>
      </c>
      <c r="G1292" s="156" t="s">
        <v>10329</v>
      </c>
      <c r="H1292" s="156" t="s">
        <v>10330</v>
      </c>
      <c r="I1292" s="168" t="s">
        <v>32</v>
      </c>
      <c r="J1292" s="169" t="s">
        <v>9367</v>
      </c>
    </row>
    <row r="1293" spans="1:10">
      <c r="A1293" s="132" t="s">
        <v>106</v>
      </c>
      <c r="B1293" s="167" t="s">
        <v>10331</v>
      </c>
      <c r="C1293" s="132" t="s">
        <v>108</v>
      </c>
      <c r="D1293" s="132" t="s">
        <v>10274</v>
      </c>
      <c r="E1293" s="132" t="s">
        <v>10332</v>
      </c>
      <c r="F1293" s="132" t="s">
        <v>40</v>
      </c>
      <c r="G1293" s="156">
        <v>45297.226388888892</v>
      </c>
      <c r="H1293" s="156">
        <v>45297.279861111114</v>
      </c>
      <c r="I1293" s="168" t="s">
        <v>111</v>
      </c>
      <c r="J1293" s="169" t="s">
        <v>9367</v>
      </c>
    </row>
    <row r="1294" spans="1:10">
      <c r="A1294" s="154" t="s">
        <v>20</v>
      </c>
      <c r="B1294" s="159" t="s">
        <v>10333</v>
      </c>
      <c r="C1294" s="132" t="s">
        <v>21</v>
      </c>
      <c r="D1294" s="132" t="s">
        <v>10334</v>
      </c>
      <c r="E1294" s="132" t="s">
        <v>10335</v>
      </c>
      <c r="F1294" s="132" t="s">
        <v>40</v>
      </c>
      <c r="G1294" s="156">
        <v>45297.336111111108</v>
      </c>
      <c r="H1294" s="156">
        <v>45297.586111111108</v>
      </c>
      <c r="I1294" s="168" t="s">
        <v>6459</v>
      </c>
      <c r="J1294" s="169" t="s">
        <v>72</v>
      </c>
    </row>
    <row r="1295" spans="1:10">
      <c r="A1295" s="132" t="s">
        <v>95</v>
      </c>
      <c r="B1295" s="159" t="s">
        <v>10336</v>
      </c>
      <c r="C1295" s="132" t="s">
        <v>97</v>
      </c>
      <c r="D1295" s="132" t="s">
        <v>1933</v>
      </c>
      <c r="E1295" s="132" t="s">
        <v>10337</v>
      </c>
      <c r="F1295" s="132" t="s">
        <v>40</v>
      </c>
      <c r="G1295" s="156">
        <v>45297.342361111114</v>
      </c>
      <c r="H1295" s="156">
        <v>45297.690972222219</v>
      </c>
      <c r="I1295" s="168" t="s">
        <v>32</v>
      </c>
      <c r="J1295" s="169" t="s">
        <v>72</v>
      </c>
    </row>
    <row r="1296" spans="1:10">
      <c r="A1296" s="132" t="s">
        <v>95</v>
      </c>
      <c r="B1296" s="159" t="s">
        <v>10338</v>
      </c>
      <c r="C1296" s="132" t="s">
        <v>28</v>
      </c>
      <c r="D1296" s="132" t="s">
        <v>10339</v>
      </c>
      <c r="E1296" s="132" t="s">
        <v>10340</v>
      </c>
      <c r="F1296" s="132" t="s">
        <v>40</v>
      </c>
      <c r="G1296" s="156">
        <v>45297.426388888889</v>
      </c>
      <c r="H1296" s="156">
        <v>45297.49722222222</v>
      </c>
      <c r="I1296" s="168" t="s">
        <v>10341</v>
      </c>
      <c r="J1296" s="169" t="s">
        <v>72</v>
      </c>
    </row>
    <row r="1297" spans="1:10">
      <c r="A1297" s="154" t="s">
        <v>106</v>
      </c>
      <c r="B1297" s="159" t="s">
        <v>10342</v>
      </c>
      <c r="C1297" s="132" t="s">
        <v>108</v>
      </c>
      <c r="D1297" s="132" t="s">
        <v>10343</v>
      </c>
      <c r="E1297" s="132" t="s">
        <v>10344</v>
      </c>
      <c r="F1297" s="132" t="s">
        <v>40</v>
      </c>
      <c r="G1297" s="156">
        <v>45297.656944444447</v>
      </c>
      <c r="H1297" s="156">
        <v>45297.675000000003</v>
      </c>
      <c r="I1297" s="168" t="s">
        <v>2168</v>
      </c>
      <c r="J1297" s="169" t="s">
        <v>72</v>
      </c>
    </row>
    <row r="1298" spans="1:10">
      <c r="A1298" s="154" t="s">
        <v>106</v>
      </c>
      <c r="B1298" s="155" t="s">
        <v>10345</v>
      </c>
      <c r="C1298" s="132" t="s">
        <v>37</v>
      </c>
      <c r="D1298" s="132" t="s">
        <v>10346</v>
      </c>
      <c r="E1298" s="132" t="s">
        <v>10347</v>
      </c>
      <c r="F1298" s="132" t="s">
        <v>40</v>
      </c>
      <c r="G1298" s="156">
        <v>45297.677777777775</v>
      </c>
      <c r="H1298" s="156">
        <v>45297.719444444447</v>
      </c>
      <c r="I1298" s="168" t="s">
        <v>10348</v>
      </c>
      <c r="J1298" s="169" t="s">
        <v>72</v>
      </c>
    </row>
    <row r="1299" spans="1:10">
      <c r="A1299" s="154" t="s">
        <v>20</v>
      </c>
      <c r="B1299" s="159" t="s">
        <v>10349</v>
      </c>
      <c r="C1299" s="132" t="s">
        <v>21</v>
      </c>
      <c r="D1299" s="132" t="s">
        <v>10350</v>
      </c>
      <c r="E1299" s="132" t="s">
        <v>10351</v>
      </c>
      <c r="F1299" s="132" t="s">
        <v>40</v>
      </c>
      <c r="G1299" s="156">
        <v>45297.680555555555</v>
      </c>
      <c r="H1299" s="156">
        <v>45297.731944444444</v>
      </c>
      <c r="I1299" s="168" t="s">
        <v>6116</v>
      </c>
      <c r="J1299" s="169" t="s">
        <v>72</v>
      </c>
    </row>
    <row r="1300" spans="1:10">
      <c r="A1300" s="154" t="s">
        <v>106</v>
      </c>
      <c r="B1300" s="155" t="s">
        <v>10352</v>
      </c>
      <c r="C1300" s="132" t="s">
        <v>108</v>
      </c>
      <c r="D1300" s="132" t="s">
        <v>2211</v>
      </c>
      <c r="E1300" s="132" t="s">
        <v>10353</v>
      </c>
      <c r="F1300" s="132" t="s">
        <v>40</v>
      </c>
      <c r="G1300" s="156">
        <v>45297.7</v>
      </c>
      <c r="H1300" s="156">
        <v>45297.772222222222</v>
      </c>
      <c r="I1300" s="168" t="s">
        <v>32</v>
      </c>
      <c r="J1300" s="169" t="s">
        <v>72</v>
      </c>
    </row>
    <row r="1301" spans="1:10">
      <c r="A1301" s="154" t="s">
        <v>106</v>
      </c>
      <c r="B1301" s="155" t="s">
        <v>10354</v>
      </c>
      <c r="C1301" s="132" t="s">
        <v>108</v>
      </c>
      <c r="D1301" s="132" t="s">
        <v>10355</v>
      </c>
      <c r="F1301" s="132" t="s">
        <v>40</v>
      </c>
      <c r="G1301" s="156">
        <v>45297.680555555555</v>
      </c>
      <c r="I1301" s="168" t="s">
        <v>10356</v>
      </c>
      <c r="J1301" s="169" t="s">
        <v>72</v>
      </c>
    </row>
    <row r="1302" spans="1:10">
      <c r="A1302" s="154" t="s">
        <v>95</v>
      </c>
      <c r="B1302" s="155" t="s">
        <v>10357</v>
      </c>
      <c r="C1302" s="132" t="s">
        <v>118</v>
      </c>
      <c r="D1302" s="132" t="s">
        <v>10358</v>
      </c>
      <c r="E1302" s="132" t="s">
        <v>10359</v>
      </c>
      <c r="F1302" s="132" t="s">
        <v>40</v>
      </c>
      <c r="G1302" s="156" t="s">
        <v>10360</v>
      </c>
      <c r="H1302" s="156" t="s">
        <v>10360</v>
      </c>
      <c r="I1302" s="168" t="s">
        <v>10321</v>
      </c>
      <c r="J1302" s="169" t="s">
        <v>9367</v>
      </c>
    </row>
    <row r="1303" spans="1:10">
      <c r="A1303" s="154" t="s">
        <v>20</v>
      </c>
      <c r="B1303" s="155" t="s">
        <v>10361</v>
      </c>
      <c r="C1303" s="132" t="s">
        <v>13</v>
      </c>
      <c r="D1303" s="132" t="s">
        <v>10362</v>
      </c>
      <c r="E1303" s="132" t="s">
        <v>10363</v>
      </c>
      <c r="F1303" s="132" t="s">
        <v>40</v>
      </c>
      <c r="G1303" s="156" t="s">
        <v>10364</v>
      </c>
      <c r="H1303" s="156">
        <v>45328.080555555556</v>
      </c>
      <c r="I1303" s="168" t="s">
        <v>149</v>
      </c>
      <c r="J1303" s="169" t="s">
        <v>9367</v>
      </c>
    </row>
    <row r="1304" spans="1:10">
      <c r="A1304" s="154" t="s">
        <v>20</v>
      </c>
      <c r="B1304" s="155" t="s">
        <v>10365</v>
      </c>
      <c r="C1304" s="132" t="s">
        <v>21</v>
      </c>
      <c r="D1304" s="132" t="s">
        <v>10366</v>
      </c>
      <c r="E1304" s="132" t="s">
        <v>10367</v>
      </c>
      <c r="F1304" s="132" t="s">
        <v>40</v>
      </c>
      <c r="G1304" s="156" t="s">
        <v>10368</v>
      </c>
      <c r="H1304" s="156" t="s">
        <v>10369</v>
      </c>
      <c r="I1304" s="168" t="s">
        <v>6116</v>
      </c>
      <c r="J1304" s="169" t="s">
        <v>9367</v>
      </c>
    </row>
    <row r="1305" spans="1:10" hidden="1">
      <c r="A1305" s="154" t="s">
        <v>106</v>
      </c>
      <c r="B1305" s="155" t="s">
        <v>10370</v>
      </c>
      <c r="C1305" s="132" t="s">
        <v>108</v>
      </c>
      <c r="D1305" s="132" t="s">
        <v>10371</v>
      </c>
      <c r="E1305" s="132" t="s">
        <v>10372</v>
      </c>
      <c r="F1305" s="132" t="s">
        <v>214</v>
      </c>
      <c r="G1305" s="156">
        <v>45328.011805555558</v>
      </c>
      <c r="I1305" s="168" t="s">
        <v>111</v>
      </c>
      <c r="J1305" s="169" t="s">
        <v>9367</v>
      </c>
    </row>
    <row r="1306" spans="1:10">
      <c r="A1306" s="154" t="s">
        <v>106</v>
      </c>
      <c r="B1306" s="155" t="s">
        <v>10373</v>
      </c>
      <c r="C1306" s="132" t="s">
        <v>108</v>
      </c>
      <c r="D1306" s="132" t="s">
        <v>10374</v>
      </c>
      <c r="E1306" s="132" t="s">
        <v>10363</v>
      </c>
      <c r="F1306" s="132" t="s">
        <v>40</v>
      </c>
      <c r="G1306" s="156">
        <v>45328.011805555558</v>
      </c>
      <c r="H1306" s="156">
        <v>45328.148611111108</v>
      </c>
      <c r="I1306" s="168" t="s">
        <v>111</v>
      </c>
      <c r="J1306" s="169" t="s">
        <v>9367</v>
      </c>
    </row>
    <row r="1307" spans="1:10" hidden="1">
      <c r="A1307" s="154" t="s">
        <v>106</v>
      </c>
      <c r="B1307" s="155" t="s">
        <v>10375</v>
      </c>
      <c r="C1307" s="132" t="s">
        <v>6047</v>
      </c>
      <c r="D1307" s="132" t="s">
        <v>10376</v>
      </c>
      <c r="E1307" s="132" t="s">
        <v>10377</v>
      </c>
      <c r="F1307" s="132" t="s">
        <v>214</v>
      </c>
      <c r="G1307" s="156" t="s">
        <v>10378</v>
      </c>
      <c r="I1307" s="168" t="s">
        <v>8301</v>
      </c>
      <c r="J1307" s="169" t="s">
        <v>9367</v>
      </c>
    </row>
    <row r="1308" spans="1:10">
      <c r="A1308" s="154" t="s">
        <v>20</v>
      </c>
      <c r="B1308" s="155" t="s">
        <v>10379</v>
      </c>
      <c r="C1308" s="132" t="s">
        <v>21</v>
      </c>
      <c r="D1308" s="132" t="s">
        <v>10380</v>
      </c>
      <c r="E1308" s="132" t="s">
        <v>10381</v>
      </c>
      <c r="F1308" s="132" t="s">
        <v>40</v>
      </c>
      <c r="G1308" s="156">
        <v>45328.106944444444</v>
      </c>
      <c r="H1308" s="156">
        <v>45328.131944444445</v>
      </c>
      <c r="I1308" s="168" t="s">
        <v>64</v>
      </c>
      <c r="J1308" s="169" t="s">
        <v>9367</v>
      </c>
    </row>
    <row r="1309" spans="1:10">
      <c r="A1309" s="154" t="s">
        <v>20</v>
      </c>
      <c r="B1309" s="155" t="s">
        <v>10382</v>
      </c>
      <c r="C1309" s="132" t="s">
        <v>49</v>
      </c>
      <c r="D1309" s="132" t="s">
        <v>10383</v>
      </c>
      <c r="E1309" s="132" t="s">
        <v>10384</v>
      </c>
      <c r="F1309" s="132" t="s">
        <v>40</v>
      </c>
      <c r="G1309" s="156">
        <v>45328.386111111111</v>
      </c>
      <c r="H1309" s="156">
        <v>45328.432638888888</v>
      </c>
      <c r="I1309" s="168" t="s">
        <v>10385</v>
      </c>
      <c r="J1309" s="169" t="s">
        <v>72</v>
      </c>
    </row>
    <row r="1310" spans="1:10">
      <c r="A1310" s="154" t="s">
        <v>106</v>
      </c>
      <c r="B1310" s="155" t="s">
        <v>10386</v>
      </c>
      <c r="C1310" s="132" t="s">
        <v>108</v>
      </c>
      <c r="D1310" s="132" t="s">
        <v>10387</v>
      </c>
      <c r="E1310" s="132" t="s">
        <v>10388</v>
      </c>
      <c r="F1310" s="132" t="s">
        <v>40</v>
      </c>
      <c r="G1310" s="156">
        <v>45328.436111111114</v>
      </c>
      <c r="H1310" s="156">
        <v>45328.445833333331</v>
      </c>
      <c r="I1310" s="168" t="s">
        <v>10389</v>
      </c>
      <c r="J1310" s="169" t="s">
        <v>72</v>
      </c>
    </row>
    <row r="1311" spans="1:10">
      <c r="A1311" s="154" t="s">
        <v>20</v>
      </c>
      <c r="B1311" s="155" t="s">
        <v>10390</v>
      </c>
      <c r="C1311" s="132" t="s">
        <v>21</v>
      </c>
      <c r="D1311" s="132" t="s">
        <v>10391</v>
      </c>
      <c r="E1311" s="132" t="s">
        <v>10392</v>
      </c>
      <c r="F1311" s="132" t="s">
        <v>40</v>
      </c>
      <c r="G1311" s="156">
        <v>45328.469444444447</v>
      </c>
      <c r="H1311" s="156">
        <v>45328.48333333333</v>
      </c>
      <c r="I1311" s="168" t="s">
        <v>10393</v>
      </c>
      <c r="J1311" s="169" t="s">
        <v>72</v>
      </c>
    </row>
    <row r="1312" spans="1:10">
      <c r="A1312" s="154" t="s">
        <v>106</v>
      </c>
      <c r="B1312" s="155" t="s">
        <v>10394</v>
      </c>
      <c r="C1312" s="132" t="s">
        <v>108</v>
      </c>
      <c r="D1312" s="132" t="s">
        <v>10395</v>
      </c>
      <c r="E1312" s="132" t="s">
        <v>10396</v>
      </c>
      <c r="F1312" s="132" t="s">
        <v>40</v>
      </c>
      <c r="G1312" s="156">
        <v>45328.350694444445</v>
      </c>
      <c r="H1312" s="156">
        <v>45388.7</v>
      </c>
      <c r="I1312" s="168" t="s">
        <v>616</v>
      </c>
      <c r="J1312" s="169" t="s">
        <v>72</v>
      </c>
    </row>
    <row r="1313" spans="1:10">
      <c r="A1313" s="154" t="s">
        <v>20</v>
      </c>
      <c r="B1313" s="155" t="s">
        <v>10397</v>
      </c>
      <c r="C1313" s="132" t="s">
        <v>13</v>
      </c>
      <c r="D1313" s="132" t="s">
        <v>10398</v>
      </c>
      <c r="E1313" s="132" t="s">
        <v>10399</v>
      </c>
      <c r="F1313" s="132" t="s">
        <v>40</v>
      </c>
      <c r="G1313" s="156">
        <v>45328.48333333333</v>
      </c>
      <c r="H1313" s="156">
        <v>45328.813888888886</v>
      </c>
      <c r="I1313" s="168" t="s">
        <v>2618</v>
      </c>
      <c r="J1313" s="169" t="s">
        <v>72</v>
      </c>
    </row>
    <row r="1314" spans="1:10">
      <c r="A1314" s="154" t="s">
        <v>95</v>
      </c>
      <c r="B1314" s="155" t="s">
        <v>10400</v>
      </c>
      <c r="C1314" s="132" t="s">
        <v>1763</v>
      </c>
      <c r="D1314" s="132" t="s">
        <v>10401</v>
      </c>
      <c r="E1314" s="132" t="s">
        <v>10402</v>
      </c>
      <c r="F1314" s="132" t="s">
        <v>40</v>
      </c>
      <c r="G1314" s="156">
        <v>45328.523611111108</v>
      </c>
      <c r="H1314" s="156">
        <v>45328.537499999999</v>
      </c>
      <c r="I1314" s="168" t="s">
        <v>498</v>
      </c>
      <c r="J1314" s="169" t="s">
        <v>72</v>
      </c>
    </row>
    <row r="1315" spans="1:10">
      <c r="A1315" s="154" t="s">
        <v>20</v>
      </c>
      <c r="B1315" s="155" t="s">
        <v>10403</v>
      </c>
      <c r="C1315" s="132" t="s">
        <v>21</v>
      </c>
      <c r="D1315" s="132" t="s">
        <v>10404</v>
      </c>
      <c r="E1315" s="132" t="s">
        <v>10405</v>
      </c>
      <c r="F1315" s="132" t="s">
        <v>40</v>
      </c>
      <c r="G1315" s="156">
        <v>45328.491666666669</v>
      </c>
      <c r="H1315" s="156">
        <v>45328.554166666669</v>
      </c>
      <c r="I1315" s="168" t="s">
        <v>10393</v>
      </c>
      <c r="J1315" s="169" t="s">
        <v>72</v>
      </c>
    </row>
    <row r="1316" spans="1:10">
      <c r="A1316" s="154" t="s">
        <v>20</v>
      </c>
      <c r="B1316" s="155" t="s">
        <v>10406</v>
      </c>
      <c r="C1316" s="132" t="s">
        <v>49</v>
      </c>
      <c r="D1316" s="132" t="s">
        <v>10407</v>
      </c>
      <c r="E1316" s="132" t="s">
        <v>10408</v>
      </c>
      <c r="F1316" s="132" t="s">
        <v>40</v>
      </c>
      <c r="G1316" s="156">
        <v>45328.581944444442</v>
      </c>
      <c r="H1316" s="156">
        <v>45328.798611111109</v>
      </c>
      <c r="I1316" s="168" t="s">
        <v>10409</v>
      </c>
      <c r="J1316" s="169" t="s">
        <v>72</v>
      </c>
    </row>
    <row r="1317" spans="1:10">
      <c r="A1317" s="154" t="s">
        <v>106</v>
      </c>
      <c r="B1317" s="155" t="s">
        <v>10410</v>
      </c>
      <c r="C1317" s="132" t="s">
        <v>108</v>
      </c>
      <c r="D1317" s="132" t="s">
        <v>10411</v>
      </c>
      <c r="E1317" s="132" t="s">
        <v>10412</v>
      </c>
      <c r="F1317" s="132" t="s">
        <v>40</v>
      </c>
      <c r="G1317" s="156">
        <v>45328.631944444445</v>
      </c>
      <c r="H1317" s="156">
        <v>45328.662499999999</v>
      </c>
      <c r="I1317" s="168" t="s">
        <v>616</v>
      </c>
      <c r="J1317" s="169" t="s">
        <v>72</v>
      </c>
    </row>
    <row r="1318" spans="1:10">
      <c r="A1318" s="154" t="s">
        <v>106</v>
      </c>
      <c r="B1318" s="155" t="s">
        <v>10413</v>
      </c>
      <c r="C1318" s="132" t="s">
        <v>108</v>
      </c>
      <c r="D1318" s="132" t="s">
        <v>2211</v>
      </c>
      <c r="E1318" s="132" t="s">
        <v>10196</v>
      </c>
      <c r="F1318" s="132" t="s">
        <v>40</v>
      </c>
      <c r="G1318" s="156">
        <v>45328.684027777781</v>
      </c>
      <c r="H1318" s="156">
        <v>45328.827777777777</v>
      </c>
      <c r="I1318" s="168" t="s">
        <v>32</v>
      </c>
      <c r="J1318" s="169" t="s">
        <v>72</v>
      </c>
    </row>
    <row r="1319" spans="1:10">
      <c r="A1319" s="154" t="s">
        <v>106</v>
      </c>
      <c r="B1319" s="155" t="s">
        <v>10414</v>
      </c>
      <c r="C1319" s="132" t="s">
        <v>6047</v>
      </c>
      <c r="D1319" s="132" t="s">
        <v>10415</v>
      </c>
      <c r="E1319" s="132" t="s">
        <v>10416</v>
      </c>
      <c r="F1319" s="132" t="s">
        <v>40</v>
      </c>
      <c r="G1319" s="156" t="s">
        <v>10417</v>
      </c>
      <c r="H1319" s="156">
        <v>45357.15902777778</v>
      </c>
      <c r="I1319" s="168" t="s">
        <v>10418</v>
      </c>
      <c r="J1319" s="169" t="s">
        <v>9367</v>
      </c>
    </row>
    <row r="1320" spans="1:10">
      <c r="A1320" s="154" t="s">
        <v>20</v>
      </c>
      <c r="B1320" s="155" t="s">
        <v>10419</v>
      </c>
      <c r="C1320" s="132" t="s">
        <v>13</v>
      </c>
      <c r="D1320" s="132" t="s">
        <v>10362</v>
      </c>
      <c r="E1320" s="132" t="s">
        <v>10420</v>
      </c>
      <c r="F1320" s="132" t="s">
        <v>40</v>
      </c>
      <c r="G1320" s="156" t="s">
        <v>10421</v>
      </c>
      <c r="H1320" s="156" t="s">
        <v>10422</v>
      </c>
      <c r="I1320" s="168" t="s">
        <v>149</v>
      </c>
      <c r="J1320" s="169" t="s">
        <v>9367</v>
      </c>
    </row>
    <row r="1321" spans="1:10">
      <c r="A1321" s="154" t="s">
        <v>95</v>
      </c>
      <c r="B1321" s="155" t="s">
        <v>10423</v>
      </c>
      <c r="C1321" s="132" t="s">
        <v>113</v>
      </c>
      <c r="D1321" s="132" t="s">
        <v>10424</v>
      </c>
      <c r="E1321" s="132" t="s">
        <v>10425</v>
      </c>
      <c r="F1321" s="132" t="s">
        <v>40</v>
      </c>
      <c r="G1321" s="156" t="s">
        <v>10426</v>
      </c>
      <c r="H1321" s="156" t="s">
        <v>10427</v>
      </c>
      <c r="I1321" s="168" t="s">
        <v>2400</v>
      </c>
      <c r="J1321" s="169" t="s">
        <v>9367</v>
      </c>
    </row>
    <row r="1322" spans="1:10">
      <c r="A1322" s="154" t="s">
        <v>20</v>
      </c>
      <c r="B1322" s="155" t="s">
        <v>10428</v>
      </c>
      <c r="C1322" s="132" t="s">
        <v>13</v>
      </c>
      <c r="D1322" s="132" t="s">
        <v>10429</v>
      </c>
      <c r="E1322" s="132" t="s">
        <v>10430</v>
      </c>
      <c r="F1322" s="132" t="s">
        <v>40</v>
      </c>
      <c r="G1322" s="156">
        <v>45357.0625</v>
      </c>
      <c r="H1322" s="156">
        <v>45357.084027777775</v>
      </c>
      <c r="I1322" s="168" t="s">
        <v>5489</v>
      </c>
      <c r="J1322" s="169" t="s">
        <v>9367</v>
      </c>
    </row>
    <row r="1323" spans="1:10">
      <c r="A1323" s="154" t="s">
        <v>20</v>
      </c>
      <c r="B1323" s="155" t="s">
        <v>10431</v>
      </c>
      <c r="C1323" s="132" t="s">
        <v>13</v>
      </c>
      <c r="D1323" s="132" t="s">
        <v>10432</v>
      </c>
      <c r="E1323" s="132" t="s">
        <v>10433</v>
      </c>
      <c r="F1323" s="132" t="s">
        <v>40</v>
      </c>
      <c r="G1323" s="156">
        <v>45357.17291666667</v>
      </c>
      <c r="H1323" s="156">
        <v>45357.192361111112</v>
      </c>
      <c r="I1323" s="168" t="s">
        <v>5489</v>
      </c>
      <c r="J1323" s="169" t="s">
        <v>9367</v>
      </c>
    </row>
    <row r="1324" spans="1:10">
      <c r="A1324" s="154" t="s">
        <v>20</v>
      </c>
      <c r="B1324" s="155" t="s">
        <v>10434</v>
      </c>
      <c r="C1324" s="132" t="s">
        <v>21</v>
      </c>
      <c r="D1324" s="132" t="s">
        <v>10435</v>
      </c>
      <c r="E1324" s="132" t="s">
        <v>10436</v>
      </c>
      <c r="F1324" s="132" t="s">
        <v>40</v>
      </c>
      <c r="G1324" s="156">
        <v>45357.263888888891</v>
      </c>
      <c r="H1324" s="156">
        <v>45357.270138888889</v>
      </c>
      <c r="I1324" s="168" t="s">
        <v>2003</v>
      </c>
      <c r="J1324" s="169" t="s">
        <v>9367</v>
      </c>
    </row>
    <row r="1325" spans="1:10">
      <c r="A1325" s="154" t="s">
        <v>95</v>
      </c>
      <c r="B1325" s="155" t="s">
        <v>10437</v>
      </c>
      <c r="C1325" s="132" t="s">
        <v>97</v>
      </c>
      <c r="D1325" s="132" t="s">
        <v>9624</v>
      </c>
      <c r="E1325" s="132" t="s">
        <v>9668</v>
      </c>
      <c r="F1325" s="132" t="s">
        <v>40</v>
      </c>
      <c r="G1325" s="156">
        <v>45357.349305555559</v>
      </c>
      <c r="H1325" s="156">
        <v>45357.366666666669</v>
      </c>
      <c r="I1325" s="168" t="s">
        <v>32</v>
      </c>
      <c r="J1325" s="169" t="s">
        <v>72</v>
      </c>
    </row>
    <row r="1326" spans="1:10">
      <c r="A1326" s="154" t="s">
        <v>106</v>
      </c>
      <c r="B1326" s="155" t="s">
        <v>10438</v>
      </c>
      <c r="C1326" s="132" t="s">
        <v>108</v>
      </c>
      <c r="D1326" s="132" t="s">
        <v>10439</v>
      </c>
      <c r="E1326" s="132" t="s">
        <v>10440</v>
      </c>
      <c r="F1326" s="132" t="s">
        <v>40</v>
      </c>
      <c r="G1326" s="156">
        <v>45357.370833333334</v>
      </c>
      <c r="H1326" s="156">
        <v>45357.390972222223</v>
      </c>
      <c r="I1326" s="168" t="s">
        <v>2168</v>
      </c>
      <c r="J1326" s="169" t="s">
        <v>72</v>
      </c>
    </row>
    <row r="1327" spans="1:10">
      <c r="A1327" s="154" t="s">
        <v>106</v>
      </c>
      <c r="B1327" s="155" t="s">
        <v>10441</v>
      </c>
      <c r="C1327" s="132" t="s">
        <v>108</v>
      </c>
      <c r="D1327" s="132" t="s">
        <v>2211</v>
      </c>
      <c r="E1327" s="132" t="s">
        <v>10353</v>
      </c>
      <c r="F1327" s="132" t="s">
        <v>40</v>
      </c>
      <c r="G1327" s="156">
        <v>45357.405555555553</v>
      </c>
      <c r="H1327" s="156">
        <v>45357.70416666667</v>
      </c>
      <c r="I1327" s="168" t="s">
        <v>32</v>
      </c>
      <c r="J1327" s="169" t="s">
        <v>72</v>
      </c>
    </row>
    <row r="1328" spans="1:10">
      <c r="A1328" s="154" t="s">
        <v>106</v>
      </c>
      <c r="B1328" s="155" t="s">
        <v>10442</v>
      </c>
      <c r="C1328" s="132" t="s">
        <v>78</v>
      </c>
      <c r="D1328" s="132" t="s">
        <v>10443</v>
      </c>
      <c r="E1328" s="132" t="s">
        <v>2302</v>
      </c>
      <c r="F1328" s="132" t="s">
        <v>40</v>
      </c>
      <c r="G1328" s="156">
        <v>45357.695833333331</v>
      </c>
      <c r="H1328" s="156">
        <v>45357.731249999997</v>
      </c>
      <c r="I1328" s="168" t="s">
        <v>258</v>
      </c>
      <c r="J1328" s="169" t="s">
        <v>72</v>
      </c>
    </row>
    <row r="1329" spans="1:11">
      <c r="A1329" s="154" t="s">
        <v>20</v>
      </c>
      <c r="B1329" s="155" t="s">
        <v>10444</v>
      </c>
      <c r="C1329" s="132" t="s">
        <v>21</v>
      </c>
      <c r="D1329" s="132" t="s">
        <v>10445</v>
      </c>
      <c r="E1329" s="132" t="s">
        <v>10446</v>
      </c>
      <c r="F1329" s="132" t="s">
        <v>40</v>
      </c>
      <c r="G1329" s="156">
        <v>45357.765972222223</v>
      </c>
      <c r="H1329" s="156">
        <v>45357.805555555555</v>
      </c>
      <c r="I1329" s="168" t="s">
        <v>10393</v>
      </c>
      <c r="J1329" s="169" t="s">
        <v>72</v>
      </c>
    </row>
    <row r="1330" spans="1:11">
      <c r="A1330" s="154" t="s">
        <v>20</v>
      </c>
      <c r="B1330" s="155" t="s">
        <v>10447</v>
      </c>
      <c r="C1330" s="132" t="s">
        <v>21</v>
      </c>
      <c r="D1330" s="132" t="s">
        <v>10448</v>
      </c>
      <c r="E1330" s="132" t="s">
        <v>10449</v>
      </c>
      <c r="F1330" s="132" t="s">
        <v>40</v>
      </c>
      <c r="G1330" s="156" t="s">
        <v>10450</v>
      </c>
      <c r="H1330" s="156" t="s">
        <v>10451</v>
      </c>
      <c r="I1330" s="168" t="s">
        <v>64</v>
      </c>
      <c r="J1330" s="169" t="s">
        <v>9367</v>
      </c>
    </row>
    <row r="1331" spans="1:11">
      <c r="A1331" s="154" t="s">
        <v>20</v>
      </c>
      <c r="B1331" s="155" t="s">
        <v>10452</v>
      </c>
      <c r="C1331" s="132" t="s">
        <v>21</v>
      </c>
      <c r="D1331" s="132" t="s">
        <v>10453</v>
      </c>
      <c r="E1331" s="132" t="s">
        <v>10454</v>
      </c>
      <c r="F1331" s="132" t="s">
        <v>40</v>
      </c>
      <c r="G1331" s="156" t="s">
        <v>10455</v>
      </c>
      <c r="H1331" s="156">
        <v>45388.508333333331</v>
      </c>
      <c r="I1331" s="168" t="s">
        <v>64</v>
      </c>
      <c r="J1331" s="169" t="s">
        <v>9367</v>
      </c>
    </row>
    <row r="1332" spans="1:11">
      <c r="A1332" s="154" t="s">
        <v>20</v>
      </c>
      <c r="B1332" s="155" t="s">
        <v>10456</v>
      </c>
      <c r="C1332" s="132" t="s">
        <v>21</v>
      </c>
      <c r="D1332" s="132" t="s">
        <v>10457</v>
      </c>
      <c r="E1332" s="132" t="s">
        <v>10458</v>
      </c>
      <c r="F1332" s="132" t="s">
        <v>40</v>
      </c>
      <c r="G1332" s="156">
        <v>45388.095138888886</v>
      </c>
      <c r="H1332" s="156">
        <v>45418.510416666664</v>
      </c>
      <c r="I1332" s="168" t="s">
        <v>10459</v>
      </c>
      <c r="J1332" s="169" t="s">
        <v>9367</v>
      </c>
      <c r="K1332" s="169" t="s">
        <v>88</v>
      </c>
    </row>
    <row r="1333" spans="1:11">
      <c r="A1333" s="154" t="s">
        <v>95</v>
      </c>
      <c r="B1333" s="155" t="s">
        <v>10460</v>
      </c>
      <c r="C1333" s="132" t="s">
        <v>118</v>
      </c>
      <c r="D1333" s="132" t="s">
        <v>10461</v>
      </c>
      <c r="E1333" s="132" t="s">
        <v>10462</v>
      </c>
      <c r="F1333" s="132" t="s">
        <v>40</v>
      </c>
      <c r="G1333" s="156" t="s">
        <v>10463</v>
      </c>
      <c r="H1333" s="156" t="s">
        <v>10464</v>
      </c>
      <c r="I1333" s="168" t="s">
        <v>10321</v>
      </c>
      <c r="J1333" s="169" t="s">
        <v>9367</v>
      </c>
    </row>
    <row r="1334" spans="1:11">
      <c r="A1334" s="154" t="s">
        <v>95</v>
      </c>
      <c r="B1334" s="155" t="s">
        <v>10465</v>
      </c>
      <c r="C1334" s="132" t="s">
        <v>113</v>
      </c>
      <c r="D1334" s="132" t="s">
        <v>10466</v>
      </c>
      <c r="E1334" s="132" t="s">
        <v>10467</v>
      </c>
      <c r="F1334" s="132" t="s">
        <v>40</v>
      </c>
      <c r="G1334" s="156" t="s">
        <v>10468</v>
      </c>
      <c r="H1334" s="156">
        <v>45388.004166666666</v>
      </c>
      <c r="I1334" s="168" t="s">
        <v>2400</v>
      </c>
      <c r="J1334" s="169" t="s">
        <v>9367</v>
      </c>
    </row>
    <row r="1335" spans="1:11">
      <c r="A1335" s="154" t="s">
        <v>95</v>
      </c>
      <c r="B1335" s="155" t="s">
        <v>10469</v>
      </c>
      <c r="C1335" s="132" t="s">
        <v>97</v>
      </c>
      <c r="D1335" s="132" t="s">
        <v>10470</v>
      </c>
      <c r="E1335" s="132" t="s">
        <v>10471</v>
      </c>
      <c r="F1335" s="132" t="s">
        <v>40</v>
      </c>
      <c r="G1335" s="156">
        <v>45388.00277777778</v>
      </c>
      <c r="H1335" s="156">
        <v>45388.531944444447</v>
      </c>
      <c r="I1335" s="168" t="s">
        <v>10472</v>
      </c>
      <c r="J1335" s="169" t="s">
        <v>9367</v>
      </c>
    </row>
    <row r="1336" spans="1:11">
      <c r="A1336" s="154" t="s">
        <v>106</v>
      </c>
      <c r="B1336" s="155" t="s">
        <v>10473</v>
      </c>
      <c r="C1336" s="132" t="s">
        <v>108</v>
      </c>
      <c r="D1336" s="132" t="s">
        <v>10474</v>
      </c>
      <c r="E1336" s="132" t="s">
        <v>10475</v>
      </c>
      <c r="F1336" s="132" t="s">
        <v>40</v>
      </c>
      <c r="G1336" s="156">
        <v>45388.097222222219</v>
      </c>
      <c r="H1336" s="156">
        <v>45388.124305555553</v>
      </c>
      <c r="I1336" s="168" t="s">
        <v>187</v>
      </c>
      <c r="J1336" s="169" t="s">
        <v>9367</v>
      </c>
    </row>
    <row r="1337" spans="1:11">
      <c r="A1337" s="154" t="s">
        <v>20</v>
      </c>
      <c r="B1337" s="155" t="s">
        <v>10476</v>
      </c>
      <c r="C1337" s="132" t="s">
        <v>49</v>
      </c>
      <c r="D1337" s="132" t="s">
        <v>10477</v>
      </c>
      <c r="E1337" s="132" t="s">
        <v>10478</v>
      </c>
      <c r="F1337" s="132" t="s">
        <v>40</v>
      </c>
      <c r="G1337" s="156">
        <v>45388.375</v>
      </c>
      <c r="H1337" s="156">
        <v>45418.6875</v>
      </c>
      <c r="I1337" s="168" t="s">
        <v>161</v>
      </c>
      <c r="J1337" s="169" t="s">
        <v>88</v>
      </c>
    </row>
    <row r="1338" spans="1:11">
      <c r="A1338" s="154" t="s">
        <v>20</v>
      </c>
      <c r="B1338" s="155" t="s">
        <v>10479</v>
      </c>
      <c r="C1338" s="132" t="s">
        <v>13</v>
      </c>
      <c r="D1338" s="132" t="s">
        <v>10480</v>
      </c>
      <c r="E1338" s="132" t="s">
        <v>10481</v>
      </c>
      <c r="F1338" s="132" t="s">
        <v>40</v>
      </c>
      <c r="G1338" s="156">
        <v>45418.122916666667</v>
      </c>
      <c r="H1338" s="156">
        <v>45418.163888888892</v>
      </c>
      <c r="I1338" s="168" t="s">
        <v>32</v>
      </c>
      <c r="J1338" s="169" t="s">
        <v>9367</v>
      </c>
    </row>
    <row r="1339" spans="1:11">
      <c r="A1339" s="154" t="s">
        <v>20</v>
      </c>
      <c r="B1339" s="155" t="s">
        <v>10482</v>
      </c>
      <c r="C1339" s="132" t="s">
        <v>13</v>
      </c>
      <c r="D1339" s="132" t="s">
        <v>10483</v>
      </c>
      <c r="E1339" s="132" t="s">
        <v>10484</v>
      </c>
      <c r="F1339" s="132" t="s">
        <v>40</v>
      </c>
      <c r="G1339" s="156" t="s">
        <v>10485</v>
      </c>
      <c r="H1339" s="156" t="s">
        <v>10486</v>
      </c>
      <c r="I1339" s="168" t="s">
        <v>17</v>
      </c>
      <c r="J1339" s="169" t="s">
        <v>9367</v>
      </c>
    </row>
    <row r="1340" spans="1:11">
      <c r="A1340" s="154" t="s">
        <v>106</v>
      </c>
      <c r="B1340" s="155" t="s">
        <v>10487</v>
      </c>
      <c r="C1340" s="132" t="s">
        <v>108</v>
      </c>
      <c r="D1340" s="132" t="s">
        <v>10488</v>
      </c>
      <c r="E1340" s="132" t="s">
        <v>10489</v>
      </c>
      <c r="F1340" s="132" t="s">
        <v>40</v>
      </c>
      <c r="G1340" s="156" t="s">
        <v>10490</v>
      </c>
      <c r="H1340" s="156" t="s">
        <v>10491</v>
      </c>
      <c r="I1340" s="168" t="s">
        <v>6406</v>
      </c>
      <c r="J1340" s="169" t="s">
        <v>9367</v>
      </c>
    </row>
    <row r="1341" spans="1:11">
      <c r="A1341" s="154" t="s">
        <v>20</v>
      </c>
      <c r="B1341" s="155" t="s">
        <v>10492</v>
      </c>
      <c r="C1341" s="132" t="s">
        <v>21</v>
      </c>
      <c r="D1341" s="132" t="s">
        <v>10493</v>
      </c>
      <c r="E1341" s="132" t="s">
        <v>10494</v>
      </c>
      <c r="F1341" s="132" t="s">
        <v>40</v>
      </c>
      <c r="G1341" s="156">
        <v>45418.077777777777</v>
      </c>
      <c r="H1341" s="156">
        <v>45418.082638888889</v>
      </c>
      <c r="I1341" s="168" t="s">
        <v>64</v>
      </c>
      <c r="J1341" s="169" t="s">
        <v>9367</v>
      </c>
    </row>
    <row r="1342" spans="1:11">
      <c r="A1342" s="154" t="s">
        <v>106</v>
      </c>
      <c r="B1342" s="155" t="s">
        <v>10495</v>
      </c>
      <c r="C1342" s="132" t="s">
        <v>78</v>
      </c>
      <c r="D1342" s="132" t="s">
        <v>10496</v>
      </c>
      <c r="E1342" s="132" t="s">
        <v>10497</v>
      </c>
      <c r="F1342" s="132" t="s">
        <v>40</v>
      </c>
      <c r="G1342" s="156">
        <v>45418.352083333331</v>
      </c>
      <c r="H1342" s="156">
        <v>45418.686805555553</v>
      </c>
      <c r="I1342" s="168" t="s">
        <v>258</v>
      </c>
      <c r="J1342" s="169" t="s">
        <v>88</v>
      </c>
    </row>
    <row r="1343" spans="1:11">
      <c r="A1343" s="154" t="s">
        <v>106</v>
      </c>
      <c r="B1343" s="155" t="s">
        <v>10498</v>
      </c>
      <c r="C1343" s="132" t="s">
        <v>108</v>
      </c>
      <c r="D1343" s="132" t="s">
        <v>10499</v>
      </c>
      <c r="E1343" s="132" t="s">
        <v>10500</v>
      </c>
      <c r="F1343" s="132" t="s">
        <v>40</v>
      </c>
      <c r="G1343" s="156">
        <v>45418.393055555556</v>
      </c>
      <c r="H1343" s="156">
        <v>45479.26666666667</v>
      </c>
      <c r="I1343" s="168" t="s">
        <v>1373</v>
      </c>
      <c r="J1343" s="169" t="s">
        <v>88</v>
      </c>
    </row>
    <row r="1344" spans="1:11">
      <c r="A1344" s="154" t="s">
        <v>106</v>
      </c>
      <c r="B1344" s="155" t="s">
        <v>10501</v>
      </c>
      <c r="C1344" s="132" t="s">
        <v>108</v>
      </c>
      <c r="D1344" s="132" t="s">
        <v>10502</v>
      </c>
      <c r="E1344" s="132" t="s">
        <v>10503</v>
      </c>
      <c r="F1344" s="132" t="s">
        <v>40</v>
      </c>
      <c r="G1344" s="156">
        <v>45418.469444444447</v>
      </c>
      <c r="H1344" s="156">
        <v>45418.508333333331</v>
      </c>
      <c r="I1344" s="168" t="s">
        <v>111</v>
      </c>
      <c r="J1344" s="169" t="s">
        <v>88</v>
      </c>
    </row>
    <row r="1345" spans="1:11">
      <c r="A1345" s="154" t="s">
        <v>106</v>
      </c>
      <c r="B1345" s="155" t="s">
        <v>10504</v>
      </c>
      <c r="C1345" s="132" t="s">
        <v>108</v>
      </c>
      <c r="D1345" s="132" t="s">
        <v>10505</v>
      </c>
      <c r="E1345" s="132" t="s">
        <v>7160</v>
      </c>
      <c r="F1345" s="132" t="s">
        <v>40</v>
      </c>
      <c r="G1345" s="156">
        <v>45418.57916666667</v>
      </c>
      <c r="H1345" s="156">
        <v>45418.640972222223</v>
      </c>
      <c r="I1345" s="168" t="s">
        <v>111</v>
      </c>
      <c r="J1345" s="169" t="s">
        <v>88</v>
      </c>
    </row>
    <row r="1346" spans="1:11">
      <c r="A1346" s="154" t="s">
        <v>106</v>
      </c>
      <c r="B1346" s="155" t="s">
        <v>10506</v>
      </c>
      <c r="C1346" s="132" t="s">
        <v>108</v>
      </c>
      <c r="D1346" s="132" t="s">
        <v>10507</v>
      </c>
      <c r="E1346" s="132" t="s">
        <v>10508</v>
      </c>
      <c r="F1346" s="132" t="s">
        <v>40</v>
      </c>
      <c r="G1346" s="156">
        <v>45418.618055555555</v>
      </c>
      <c r="H1346" s="156">
        <v>45449.298611111109</v>
      </c>
      <c r="I1346" s="168" t="s">
        <v>1373</v>
      </c>
      <c r="J1346" s="169" t="s">
        <v>88</v>
      </c>
    </row>
    <row r="1347" spans="1:11">
      <c r="A1347" s="154" t="s">
        <v>20</v>
      </c>
      <c r="B1347" s="155" t="s">
        <v>10509</v>
      </c>
      <c r="C1347" s="132" t="s">
        <v>13</v>
      </c>
      <c r="D1347" s="132" t="s">
        <v>10510</v>
      </c>
      <c r="E1347" s="132" t="s">
        <v>10511</v>
      </c>
      <c r="F1347" s="132" t="s">
        <v>40</v>
      </c>
      <c r="G1347" s="156">
        <v>45418.818055555559</v>
      </c>
      <c r="H1347" s="156">
        <v>45418.99722222222</v>
      </c>
      <c r="I1347" s="168" t="s">
        <v>1736</v>
      </c>
      <c r="J1347" s="169" t="s">
        <v>94</v>
      </c>
    </row>
    <row r="1348" spans="1:11" ht="29">
      <c r="A1348" s="154" t="s">
        <v>106</v>
      </c>
      <c r="B1348" s="155" t="s">
        <v>10512</v>
      </c>
      <c r="C1348" s="132" t="s">
        <v>108</v>
      </c>
      <c r="D1348" s="132" t="s">
        <v>10513</v>
      </c>
      <c r="E1348" s="132" t="s">
        <v>10514</v>
      </c>
      <c r="F1348" s="132" t="s">
        <v>40</v>
      </c>
      <c r="G1348" s="156">
        <v>45449.365972222222</v>
      </c>
      <c r="H1348" s="178" t="s">
        <v>10515</v>
      </c>
      <c r="I1348" s="168" t="s">
        <v>3825</v>
      </c>
      <c r="J1348" s="169" t="s">
        <v>88</v>
      </c>
    </row>
    <row r="1349" spans="1:11">
      <c r="A1349" s="154" t="s">
        <v>106</v>
      </c>
      <c r="B1349" s="155" t="s">
        <v>10516</v>
      </c>
      <c r="C1349" s="132" t="s">
        <v>333</v>
      </c>
      <c r="D1349" s="132" t="s">
        <v>10517</v>
      </c>
      <c r="E1349" s="132" t="s">
        <v>10518</v>
      </c>
      <c r="F1349" s="132" t="s">
        <v>40</v>
      </c>
      <c r="G1349" s="156">
        <v>45449.377083333333</v>
      </c>
      <c r="H1349" s="156">
        <v>45449.431250000001</v>
      </c>
      <c r="I1349" s="168" t="s">
        <v>10519</v>
      </c>
      <c r="J1349" s="169" t="s">
        <v>88</v>
      </c>
    </row>
    <row r="1350" spans="1:11">
      <c r="A1350" s="154" t="s">
        <v>106</v>
      </c>
      <c r="B1350" s="155" t="s">
        <v>10520</v>
      </c>
      <c r="C1350" s="132" t="s">
        <v>13</v>
      </c>
      <c r="D1350" s="132" t="s">
        <v>10521</v>
      </c>
      <c r="E1350" s="132" t="s">
        <v>10522</v>
      </c>
      <c r="F1350" s="132" t="s">
        <v>40</v>
      </c>
      <c r="G1350" s="156">
        <v>45449.517361111109</v>
      </c>
      <c r="H1350" s="156">
        <v>45449.568749999999</v>
      </c>
      <c r="I1350" s="168" t="s">
        <v>17</v>
      </c>
      <c r="J1350" s="169" t="s">
        <v>88</v>
      </c>
    </row>
    <row r="1351" spans="1:11">
      <c r="A1351" s="154" t="s">
        <v>106</v>
      </c>
      <c r="B1351" s="155" t="s">
        <v>10523</v>
      </c>
      <c r="C1351" s="132" t="s">
        <v>108</v>
      </c>
      <c r="D1351" s="132" t="s">
        <v>10524</v>
      </c>
      <c r="E1351" s="132" t="s">
        <v>10525</v>
      </c>
      <c r="F1351" s="132" t="s">
        <v>40</v>
      </c>
      <c r="G1351" s="156">
        <v>45449.587500000001</v>
      </c>
      <c r="I1351" s="168" t="s">
        <v>1173</v>
      </c>
      <c r="J1351" s="169" t="s">
        <v>88</v>
      </c>
    </row>
    <row r="1352" spans="1:11">
      <c r="A1352" s="154" t="s">
        <v>106</v>
      </c>
      <c r="B1352" s="155" t="s">
        <v>10523</v>
      </c>
      <c r="C1352" s="132" t="s">
        <v>108</v>
      </c>
      <c r="D1352" s="132" t="s">
        <v>10524</v>
      </c>
      <c r="E1352" s="132" t="s">
        <v>10525</v>
      </c>
      <c r="F1352" s="132" t="s">
        <v>40</v>
      </c>
      <c r="G1352" s="156">
        <v>45449.587500000001</v>
      </c>
      <c r="H1352" s="156">
        <v>45479.558333333334</v>
      </c>
      <c r="I1352" s="168" t="s">
        <v>1173</v>
      </c>
      <c r="J1352" s="169" t="s">
        <v>1557</v>
      </c>
      <c r="K1352" s="169" t="s">
        <v>88</v>
      </c>
    </row>
    <row r="1353" spans="1:11">
      <c r="A1353" s="154" t="s">
        <v>20</v>
      </c>
      <c r="B1353" s="155" t="s">
        <v>10526</v>
      </c>
      <c r="C1353" s="132" t="s">
        <v>21</v>
      </c>
      <c r="D1353" s="132" t="s">
        <v>10527</v>
      </c>
      <c r="E1353" s="132" t="s">
        <v>10528</v>
      </c>
      <c r="F1353" s="132" t="s">
        <v>40</v>
      </c>
      <c r="G1353" s="156">
        <v>45449.918055555558</v>
      </c>
      <c r="H1353" s="156">
        <v>45479.163888888892</v>
      </c>
      <c r="I1353" s="168" t="s">
        <v>4359</v>
      </c>
      <c r="J1353" s="169" t="s">
        <v>94</v>
      </c>
    </row>
    <row r="1354" spans="1:11">
      <c r="A1354" s="154" t="s">
        <v>95</v>
      </c>
      <c r="B1354" s="155" t="s">
        <v>10529</v>
      </c>
      <c r="C1354" s="132" t="s">
        <v>97</v>
      </c>
      <c r="D1354" s="132" t="s">
        <v>10530</v>
      </c>
      <c r="E1354" s="132" t="s">
        <v>10531</v>
      </c>
      <c r="F1354" s="132" t="s">
        <v>40</v>
      </c>
      <c r="G1354" s="156">
        <v>45479.370138888888</v>
      </c>
      <c r="H1354" s="156">
        <v>45479.414583333331</v>
      </c>
      <c r="I1354" s="168" t="s">
        <v>2814</v>
      </c>
      <c r="J1354" s="169" t="s">
        <v>88</v>
      </c>
    </row>
    <row r="1355" spans="1:11">
      <c r="A1355" s="154" t="s">
        <v>20</v>
      </c>
      <c r="B1355" s="155" t="s">
        <v>10532</v>
      </c>
      <c r="C1355" s="132" t="s">
        <v>13</v>
      </c>
      <c r="D1355" s="132" t="s">
        <v>10533</v>
      </c>
      <c r="E1355" s="132" t="s">
        <v>10534</v>
      </c>
      <c r="F1355" s="132" t="s">
        <v>40</v>
      </c>
      <c r="G1355" s="156">
        <v>45479.484722222223</v>
      </c>
      <c r="H1355" s="156">
        <v>45479.556944444441</v>
      </c>
      <c r="I1355" s="168" t="s">
        <v>10535</v>
      </c>
      <c r="J1355" s="169" t="s">
        <v>88</v>
      </c>
    </row>
    <row r="1356" spans="1:11">
      <c r="A1356" s="154" t="s">
        <v>95</v>
      </c>
      <c r="B1356" s="155" t="s">
        <v>10536</v>
      </c>
      <c r="C1356" s="132" t="s">
        <v>6047</v>
      </c>
      <c r="D1356" s="132" t="s">
        <v>10537</v>
      </c>
      <c r="E1356" s="132" t="s">
        <v>10538</v>
      </c>
      <c r="F1356" s="132" t="s">
        <v>40</v>
      </c>
      <c r="G1356" s="156">
        <v>45479.559027777781</v>
      </c>
      <c r="H1356" s="156">
        <v>45479.6</v>
      </c>
      <c r="I1356" s="168" t="s">
        <v>378</v>
      </c>
      <c r="J1356" s="169" t="s">
        <v>88</v>
      </c>
    </row>
    <row r="1357" spans="1:11">
      <c r="A1357" s="154" t="s">
        <v>106</v>
      </c>
      <c r="B1357" s="155" t="s">
        <v>10539</v>
      </c>
      <c r="C1357" s="132" t="s">
        <v>108</v>
      </c>
      <c r="D1357" s="132" t="s">
        <v>10540</v>
      </c>
      <c r="E1357" s="132" t="s">
        <v>10541</v>
      </c>
      <c r="F1357" s="132" t="s">
        <v>40</v>
      </c>
      <c r="G1357" s="156">
        <v>45479.600694444445</v>
      </c>
      <c r="H1357" s="156">
        <v>45479.61041666667</v>
      </c>
      <c r="I1357" s="168" t="s">
        <v>2585</v>
      </c>
      <c r="J1357" s="169" t="s">
        <v>88</v>
      </c>
      <c r="K1357" s="169" t="s">
        <v>88</v>
      </c>
    </row>
    <row r="1358" spans="1:11">
      <c r="A1358" s="154" t="s">
        <v>106</v>
      </c>
      <c r="B1358" s="155" t="s">
        <v>10542</v>
      </c>
      <c r="C1358" s="132" t="s">
        <v>333</v>
      </c>
      <c r="D1358" s="132" t="s">
        <v>10543</v>
      </c>
      <c r="E1358" s="132" t="s">
        <v>10544</v>
      </c>
      <c r="F1358" s="132" t="s">
        <v>40</v>
      </c>
      <c r="G1358" s="156">
        <v>45479.699305555558</v>
      </c>
      <c r="H1358" s="156">
        <v>45479.704861111109</v>
      </c>
      <c r="I1358" s="168" t="s">
        <v>2595</v>
      </c>
      <c r="J1358" s="169" t="s">
        <v>88</v>
      </c>
    </row>
    <row r="1359" spans="1:11">
      <c r="A1359" s="154" t="s">
        <v>20</v>
      </c>
      <c r="B1359" s="155" t="s">
        <v>10545</v>
      </c>
      <c r="C1359" s="132" t="s">
        <v>21</v>
      </c>
      <c r="D1359" s="132" t="s">
        <v>10546</v>
      </c>
      <c r="E1359" s="132" t="s">
        <v>10547</v>
      </c>
      <c r="F1359" s="132" t="s">
        <v>40</v>
      </c>
      <c r="G1359" s="156">
        <v>45479.788194444445</v>
      </c>
      <c r="H1359" s="156">
        <v>45479.856249999997</v>
      </c>
      <c r="I1359" s="168" t="s">
        <v>8532</v>
      </c>
      <c r="J1359" s="169" t="s">
        <v>94</v>
      </c>
    </row>
    <row r="1360" spans="1:11">
      <c r="A1360" s="154" t="s">
        <v>20</v>
      </c>
      <c r="B1360" s="155" t="s">
        <v>10548</v>
      </c>
      <c r="C1360" s="132" t="s">
        <v>21</v>
      </c>
      <c r="D1360" s="132" t="s">
        <v>10549</v>
      </c>
      <c r="E1360" s="132" t="s">
        <v>10550</v>
      </c>
      <c r="F1360" s="132" t="s">
        <v>40</v>
      </c>
      <c r="G1360" s="156">
        <v>45510.000694444447</v>
      </c>
      <c r="H1360" s="156">
        <v>45510.090277777781</v>
      </c>
      <c r="I1360" s="168" t="s">
        <v>8532</v>
      </c>
      <c r="J1360" s="169" t="s">
        <v>94</v>
      </c>
    </row>
    <row r="1361" spans="1:10">
      <c r="A1361" s="154" t="s">
        <v>106</v>
      </c>
      <c r="B1361" s="155" t="s">
        <v>10551</v>
      </c>
      <c r="C1361" s="132" t="s">
        <v>333</v>
      </c>
      <c r="D1361" s="132" t="s">
        <v>10552</v>
      </c>
      <c r="E1361" s="132" t="s">
        <v>10553</v>
      </c>
      <c r="F1361" s="132" t="s">
        <v>40</v>
      </c>
      <c r="G1361" s="156">
        <v>45510.497916666667</v>
      </c>
      <c r="H1361" s="156">
        <v>45541.693055555559</v>
      </c>
      <c r="I1361" s="168" t="s">
        <v>2595</v>
      </c>
      <c r="J1361" s="169" t="s">
        <v>88</v>
      </c>
    </row>
    <row r="1362" spans="1:10">
      <c r="A1362" s="154" t="s">
        <v>20</v>
      </c>
      <c r="B1362" s="155" t="s">
        <v>10554</v>
      </c>
      <c r="C1362" s="132" t="s">
        <v>21</v>
      </c>
      <c r="D1362" s="132" t="s">
        <v>10555</v>
      </c>
      <c r="E1362" s="132" t="s">
        <v>10556</v>
      </c>
      <c r="F1362" s="132" t="s">
        <v>40</v>
      </c>
      <c r="G1362" s="156">
        <v>45510.627083333333</v>
      </c>
      <c r="H1362" s="156">
        <v>45510.675694444442</v>
      </c>
      <c r="I1362" s="168" t="s">
        <v>61</v>
      </c>
      <c r="J1362" s="169" t="s">
        <v>88</v>
      </c>
    </row>
    <row r="1363" spans="1:10">
      <c r="A1363" s="154" t="s">
        <v>106</v>
      </c>
      <c r="B1363" s="155" t="s">
        <v>10557</v>
      </c>
      <c r="C1363" s="132" t="s">
        <v>108</v>
      </c>
      <c r="D1363" s="132" t="s">
        <v>10558</v>
      </c>
      <c r="E1363" s="132" t="s">
        <v>10559</v>
      </c>
      <c r="F1363" s="132" t="s">
        <v>40</v>
      </c>
      <c r="G1363" s="156">
        <v>45510.65</v>
      </c>
      <c r="H1363" s="156">
        <v>45510.668749999997</v>
      </c>
      <c r="I1363" s="168" t="s">
        <v>10560</v>
      </c>
      <c r="J1363" s="169" t="s">
        <v>88</v>
      </c>
    </row>
    <row r="1364" spans="1:10">
      <c r="A1364" s="154" t="s">
        <v>20</v>
      </c>
      <c r="B1364" s="155" t="s">
        <v>10561</v>
      </c>
      <c r="C1364" s="132" t="s">
        <v>21</v>
      </c>
      <c r="D1364" s="132" t="s">
        <v>10562</v>
      </c>
      <c r="E1364" s="132" t="s">
        <v>10563</v>
      </c>
      <c r="F1364" s="132" t="s">
        <v>40</v>
      </c>
      <c r="G1364" s="156">
        <v>45510.738888888889</v>
      </c>
      <c r="H1364" s="156">
        <v>45510.8125</v>
      </c>
      <c r="I1364" s="168" t="s">
        <v>980</v>
      </c>
      <c r="J1364" s="169" t="s">
        <v>94</v>
      </c>
    </row>
    <row r="1365" spans="1:10">
      <c r="A1365" s="154" t="s">
        <v>95</v>
      </c>
      <c r="B1365" s="155" t="s">
        <v>10564</v>
      </c>
      <c r="C1365" s="132" t="s">
        <v>118</v>
      </c>
      <c r="D1365" s="132" t="s">
        <v>10565</v>
      </c>
      <c r="E1365" s="132" t="s">
        <v>10566</v>
      </c>
      <c r="F1365" s="132" t="s">
        <v>40</v>
      </c>
      <c r="G1365" s="156">
        <v>45510.800694444442</v>
      </c>
      <c r="H1365" s="156">
        <v>45510.963888888888</v>
      </c>
      <c r="I1365" s="168" t="s">
        <v>10567</v>
      </c>
      <c r="J1365" s="169" t="s">
        <v>94</v>
      </c>
    </row>
    <row r="1366" spans="1:10">
      <c r="A1366" s="154" t="s">
        <v>20</v>
      </c>
      <c r="B1366" s="155" t="s">
        <v>10568</v>
      </c>
      <c r="C1366" s="132" t="s">
        <v>21</v>
      </c>
      <c r="D1366" s="132" t="s">
        <v>10569</v>
      </c>
      <c r="E1366" s="132" t="s">
        <v>10570</v>
      </c>
      <c r="F1366" s="132" t="s">
        <v>40</v>
      </c>
      <c r="G1366" s="156">
        <v>45510.926388888889</v>
      </c>
      <c r="H1366" s="156">
        <v>45541.013888888891</v>
      </c>
      <c r="I1366" s="168" t="s">
        <v>8532</v>
      </c>
      <c r="J1366" s="169" t="s">
        <v>94</v>
      </c>
    </row>
    <row r="1367" spans="1:10">
      <c r="A1367" s="154" t="s">
        <v>106</v>
      </c>
      <c r="B1367" s="155" t="s">
        <v>10571</v>
      </c>
      <c r="C1367" s="132" t="s">
        <v>108</v>
      </c>
      <c r="D1367" s="132" t="s">
        <v>10572</v>
      </c>
      <c r="E1367" s="132" t="s">
        <v>10573</v>
      </c>
      <c r="F1367" s="132" t="s">
        <v>40</v>
      </c>
      <c r="G1367" s="156">
        <v>45541.000694444447</v>
      </c>
      <c r="H1367" s="156">
        <v>45541.140972222223</v>
      </c>
      <c r="I1367" s="168" t="s">
        <v>6223</v>
      </c>
      <c r="J1367" s="169" t="s">
        <v>94</v>
      </c>
    </row>
    <row r="1368" spans="1:10">
      <c r="A1368" s="154" t="s">
        <v>20</v>
      </c>
      <c r="B1368" s="155" t="s">
        <v>10574</v>
      </c>
      <c r="C1368" s="132" t="s">
        <v>21</v>
      </c>
      <c r="D1368" s="132" t="s">
        <v>10575</v>
      </c>
      <c r="E1368" s="132" t="s">
        <v>10576</v>
      </c>
      <c r="F1368" s="132" t="s">
        <v>40</v>
      </c>
      <c r="G1368" s="156">
        <v>45541.172222222223</v>
      </c>
      <c r="H1368" s="156">
        <v>45541.183333333334</v>
      </c>
      <c r="I1368" s="168" t="s">
        <v>8532</v>
      </c>
      <c r="J1368" s="169" t="s">
        <v>94</v>
      </c>
    </row>
    <row r="1369" spans="1:10">
      <c r="A1369" s="154" t="s">
        <v>95</v>
      </c>
      <c r="B1369" s="155" t="s">
        <v>10577</v>
      </c>
      <c r="C1369" s="132" t="s">
        <v>6047</v>
      </c>
      <c r="D1369" s="132" t="s">
        <v>10578</v>
      </c>
      <c r="E1369" s="132" t="s">
        <v>10579</v>
      </c>
      <c r="F1369" s="132" t="s">
        <v>40</v>
      </c>
      <c r="G1369" s="156">
        <v>45541.311805555553</v>
      </c>
      <c r="H1369" s="156">
        <v>45541.421527777777</v>
      </c>
      <c r="I1369" s="168" t="s">
        <v>7543</v>
      </c>
      <c r="J1369" s="169" t="s">
        <v>88</v>
      </c>
    </row>
    <row r="1370" spans="1:10">
      <c r="A1370" s="154" t="s">
        <v>95</v>
      </c>
      <c r="B1370" s="155" t="s">
        <v>10580</v>
      </c>
      <c r="C1370" s="132" t="s">
        <v>97</v>
      </c>
      <c r="D1370" s="132" t="s">
        <v>10581</v>
      </c>
      <c r="E1370" s="132" t="s">
        <v>10582</v>
      </c>
      <c r="F1370" s="132" t="s">
        <v>40</v>
      </c>
      <c r="G1370" s="156">
        <v>45541.313194444447</v>
      </c>
      <c r="H1370" s="156">
        <v>45541.422222222223</v>
      </c>
      <c r="I1370" s="168" t="s">
        <v>9382</v>
      </c>
      <c r="J1370" s="169" t="s">
        <v>88</v>
      </c>
    </row>
    <row r="1371" spans="1:10">
      <c r="A1371" s="154" t="s">
        <v>106</v>
      </c>
      <c r="B1371" s="155" t="s">
        <v>10583</v>
      </c>
      <c r="C1371" s="132" t="s">
        <v>108</v>
      </c>
      <c r="D1371" s="132" t="s">
        <v>10584</v>
      </c>
      <c r="E1371" s="132" t="s">
        <v>10585</v>
      </c>
      <c r="F1371" s="132" t="s">
        <v>40</v>
      </c>
      <c r="G1371" s="156">
        <v>45541.369444444441</v>
      </c>
      <c r="H1371" s="156">
        <v>45541.42291666667</v>
      </c>
      <c r="I1371" s="168" t="s">
        <v>10586</v>
      </c>
      <c r="J1371" s="169" t="s">
        <v>88</v>
      </c>
    </row>
    <row r="1372" spans="1:10">
      <c r="A1372" s="154" t="s">
        <v>106</v>
      </c>
      <c r="B1372" s="155" t="s">
        <v>10587</v>
      </c>
      <c r="C1372" s="132" t="s">
        <v>108</v>
      </c>
      <c r="D1372" s="132" t="s">
        <v>2117</v>
      </c>
      <c r="E1372" s="132" t="s">
        <v>10588</v>
      </c>
      <c r="F1372" s="132" t="s">
        <v>40</v>
      </c>
      <c r="G1372" s="156">
        <v>45541.456944444442</v>
      </c>
      <c r="H1372" s="156">
        <v>45541.484027777777</v>
      </c>
      <c r="I1372" s="168" t="s">
        <v>10589</v>
      </c>
      <c r="J1372" s="169" t="s">
        <v>88</v>
      </c>
    </row>
    <row r="1373" spans="1:10">
      <c r="A1373" s="154" t="s">
        <v>95</v>
      </c>
      <c r="B1373" s="155" t="s">
        <v>10590</v>
      </c>
      <c r="C1373" s="132" t="s">
        <v>97</v>
      </c>
      <c r="D1373" s="132" t="s">
        <v>10591</v>
      </c>
      <c r="E1373" s="132" t="s">
        <v>10592</v>
      </c>
      <c r="F1373" s="132" t="s">
        <v>40</v>
      </c>
      <c r="G1373" s="156">
        <v>45541.582638888889</v>
      </c>
      <c r="H1373" s="156">
        <v>45541.635416666664</v>
      </c>
      <c r="I1373" s="168" t="s">
        <v>10593</v>
      </c>
      <c r="J1373" s="169" t="s">
        <v>88</v>
      </c>
    </row>
    <row r="1374" spans="1:10">
      <c r="A1374" s="154" t="s">
        <v>106</v>
      </c>
      <c r="B1374" s="155" t="s">
        <v>10594</v>
      </c>
      <c r="C1374" s="132" t="s">
        <v>108</v>
      </c>
      <c r="D1374" s="132" t="s">
        <v>10595</v>
      </c>
      <c r="E1374" s="132" t="s">
        <v>10596</v>
      </c>
      <c r="F1374" s="132" t="s">
        <v>40</v>
      </c>
      <c r="G1374" s="156">
        <v>45541.636111111111</v>
      </c>
      <c r="H1374" s="156">
        <v>45541.689583333333</v>
      </c>
      <c r="I1374" s="168" t="s">
        <v>3825</v>
      </c>
      <c r="J1374" s="169" t="s">
        <v>88</v>
      </c>
    </row>
    <row r="1375" spans="1:10">
      <c r="A1375" s="154" t="s">
        <v>95</v>
      </c>
      <c r="B1375" s="155" t="s">
        <v>10597</v>
      </c>
      <c r="C1375" s="132" t="s">
        <v>118</v>
      </c>
      <c r="D1375" s="132" t="s">
        <v>10598</v>
      </c>
      <c r="E1375" s="132" t="s">
        <v>10566</v>
      </c>
      <c r="F1375" s="132" t="s">
        <v>40</v>
      </c>
      <c r="G1375" s="156">
        <v>45571.138888888891</v>
      </c>
      <c r="H1375" s="156">
        <v>45571.15</v>
      </c>
      <c r="I1375" s="168" t="s">
        <v>10567</v>
      </c>
      <c r="J1375" s="169" t="s">
        <v>94</v>
      </c>
    </row>
    <row r="1376" spans="1:10">
      <c r="A1376" s="154" t="s">
        <v>106</v>
      </c>
      <c r="B1376" s="155" t="s">
        <v>10599</v>
      </c>
      <c r="C1376" s="132" t="s">
        <v>108</v>
      </c>
      <c r="D1376" s="132" t="s">
        <v>10600</v>
      </c>
      <c r="E1376" s="132" t="s">
        <v>10601</v>
      </c>
      <c r="F1376" s="132" t="s">
        <v>40</v>
      </c>
      <c r="G1376" s="156">
        <v>45571.263194444444</v>
      </c>
      <c r="H1376" s="156">
        <v>45571.381249999999</v>
      </c>
      <c r="I1376" s="168" t="s">
        <v>111</v>
      </c>
      <c r="J1376" s="169" t="s">
        <v>88</v>
      </c>
    </row>
    <row r="1377" spans="1:11">
      <c r="A1377" s="154" t="s">
        <v>106</v>
      </c>
      <c r="B1377" s="155" t="s">
        <v>10602</v>
      </c>
      <c r="C1377" s="132" t="s">
        <v>108</v>
      </c>
      <c r="D1377" s="132" t="s">
        <v>10603</v>
      </c>
      <c r="E1377" s="132" t="s">
        <v>10604</v>
      </c>
      <c r="F1377" s="132" t="s">
        <v>40</v>
      </c>
      <c r="G1377" s="156">
        <v>45571.443749999999</v>
      </c>
      <c r="H1377" s="156">
        <v>45571.670138888891</v>
      </c>
      <c r="I1377" s="168" t="s">
        <v>10589</v>
      </c>
      <c r="J1377" s="169" t="s">
        <v>88</v>
      </c>
    </row>
    <row r="1378" spans="1:11">
      <c r="A1378" s="154" t="s">
        <v>106</v>
      </c>
      <c r="B1378" s="155" t="s">
        <v>10605</v>
      </c>
      <c r="C1378" s="132" t="s">
        <v>108</v>
      </c>
      <c r="D1378" s="132" t="s">
        <v>10606</v>
      </c>
      <c r="E1378" s="132" t="s">
        <v>10607</v>
      </c>
      <c r="F1378" s="132" t="s">
        <v>40</v>
      </c>
      <c r="G1378" s="156">
        <v>45571.582638888889</v>
      </c>
      <c r="H1378" s="156">
        <v>45571.665972222225</v>
      </c>
      <c r="I1378" s="168" t="s">
        <v>6799</v>
      </c>
      <c r="J1378" s="169" t="s">
        <v>88</v>
      </c>
    </row>
    <row r="1379" spans="1:11">
      <c r="A1379" s="154" t="s">
        <v>20</v>
      </c>
      <c r="B1379" s="155" t="s">
        <v>10608</v>
      </c>
      <c r="C1379" s="132" t="s">
        <v>13</v>
      </c>
      <c r="D1379" s="132" t="s">
        <v>10609</v>
      </c>
      <c r="E1379" s="132" t="s">
        <v>10610</v>
      </c>
      <c r="F1379" s="132" t="s">
        <v>40</v>
      </c>
      <c r="G1379" s="156">
        <v>45571.678472222222</v>
      </c>
      <c r="H1379" s="156">
        <v>45571.700694444444</v>
      </c>
      <c r="I1379" s="168" t="s">
        <v>17</v>
      </c>
      <c r="J1379" s="169" t="s">
        <v>88</v>
      </c>
    </row>
    <row r="1380" spans="1:11">
      <c r="A1380" s="154" t="s">
        <v>20</v>
      </c>
      <c r="B1380" s="155" t="s">
        <v>10611</v>
      </c>
      <c r="C1380" s="132" t="s">
        <v>21</v>
      </c>
      <c r="D1380" s="132" t="s">
        <v>10612</v>
      </c>
      <c r="E1380" s="132" t="s">
        <v>10613</v>
      </c>
      <c r="F1380" s="132" t="s">
        <v>40</v>
      </c>
      <c r="G1380" s="156">
        <v>45571.813194444447</v>
      </c>
      <c r="H1380" s="156">
        <v>45602.728472222225</v>
      </c>
      <c r="I1380" s="168" t="s">
        <v>4359</v>
      </c>
      <c r="J1380" s="169" t="s">
        <v>94</v>
      </c>
    </row>
    <row r="1381" spans="1:11" ht="72.5">
      <c r="A1381" s="154" t="s">
        <v>106</v>
      </c>
      <c r="B1381" s="155" t="s">
        <v>10614</v>
      </c>
      <c r="C1381" s="132" t="s">
        <v>78</v>
      </c>
      <c r="D1381" s="132" t="s">
        <v>10615</v>
      </c>
      <c r="E1381" s="137" t="s">
        <v>10616</v>
      </c>
      <c r="F1381" s="132" t="s">
        <v>40</v>
      </c>
      <c r="G1381" s="156">
        <v>45602.368055555555</v>
      </c>
      <c r="H1381" s="178" t="s">
        <v>10617</v>
      </c>
      <c r="I1381" s="168" t="s">
        <v>258</v>
      </c>
      <c r="J1381" s="169" t="s">
        <v>88</v>
      </c>
    </row>
    <row r="1382" spans="1:11">
      <c r="A1382" s="154" t="s">
        <v>20</v>
      </c>
      <c r="B1382" s="155" t="s">
        <v>10618</v>
      </c>
      <c r="C1382" s="132" t="s">
        <v>13</v>
      </c>
      <c r="D1382" s="132" t="s">
        <v>10619</v>
      </c>
      <c r="E1382" s="132" t="s">
        <v>10620</v>
      </c>
      <c r="F1382" s="132" t="s">
        <v>40</v>
      </c>
      <c r="G1382" s="156">
        <v>45602.401388888888</v>
      </c>
      <c r="H1382" s="156" t="s">
        <v>10621</v>
      </c>
      <c r="I1382" s="168" t="s">
        <v>1557</v>
      </c>
      <c r="J1382" s="169" t="s">
        <v>1557</v>
      </c>
      <c r="K1382" s="169" t="s">
        <v>88</v>
      </c>
    </row>
    <row r="1383" spans="1:11" ht="29" hidden="1">
      <c r="A1383" s="154" t="s">
        <v>20</v>
      </c>
      <c r="B1383" s="155" t="s">
        <v>10622</v>
      </c>
      <c r="C1383" s="132" t="s">
        <v>13</v>
      </c>
      <c r="D1383" s="132" t="s">
        <v>10623</v>
      </c>
      <c r="E1383" s="137" t="s">
        <v>10624</v>
      </c>
      <c r="F1383" s="132" t="s">
        <v>214</v>
      </c>
      <c r="G1383" s="156">
        <v>45602.404861111114</v>
      </c>
      <c r="H1383" s="156">
        <v>45602.600694444445</v>
      </c>
      <c r="I1383" s="168" t="s">
        <v>17</v>
      </c>
      <c r="J1383" s="169" t="s">
        <v>88</v>
      </c>
    </row>
    <row r="1384" spans="1:11">
      <c r="A1384" s="154" t="s">
        <v>95</v>
      </c>
      <c r="B1384" s="155" t="s">
        <v>10625</v>
      </c>
      <c r="C1384" s="132" t="s">
        <v>1763</v>
      </c>
      <c r="D1384" s="132" t="s">
        <v>10626</v>
      </c>
      <c r="E1384" s="132" t="s">
        <v>10627</v>
      </c>
      <c r="F1384" s="132" t="s">
        <v>40</v>
      </c>
      <c r="G1384" s="156">
        <v>45602.410416666666</v>
      </c>
      <c r="H1384" s="156">
        <v>45602.565972222219</v>
      </c>
      <c r="I1384" s="168" t="s">
        <v>2585</v>
      </c>
      <c r="J1384" s="169" t="s">
        <v>88</v>
      </c>
    </row>
    <row r="1385" spans="1:11">
      <c r="A1385" s="154" t="s">
        <v>95</v>
      </c>
      <c r="B1385" s="155" t="s">
        <v>10628</v>
      </c>
      <c r="C1385" s="132" t="s">
        <v>28</v>
      </c>
      <c r="D1385" s="132" t="s">
        <v>10629</v>
      </c>
      <c r="E1385" s="132" t="s">
        <v>10630</v>
      </c>
      <c r="F1385" s="132" t="s">
        <v>40</v>
      </c>
      <c r="G1385" s="156">
        <v>45602.413888888892</v>
      </c>
      <c r="H1385" s="156">
        <v>45602.566666666666</v>
      </c>
      <c r="I1385" s="168" t="s">
        <v>980</v>
      </c>
      <c r="J1385" s="169" t="s">
        <v>88</v>
      </c>
    </row>
    <row r="1386" spans="1:11">
      <c r="A1386" s="154" t="s">
        <v>20</v>
      </c>
      <c r="B1386" s="155" t="s">
        <v>10631</v>
      </c>
      <c r="C1386" s="132" t="s">
        <v>21</v>
      </c>
      <c r="D1386" s="132" t="s">
        <v>10632</v>
      </c>
      <c r="E1386" s="132" t="s">
        <v>10633</v>
      </c>
      <c r="F1386" s="132" t="s">
        <v>40</v>
      </c>
      <c r="G1386" s="156">
        <v>45602.51458333333</v>
      </c>
      <c r="H1386" s="156">
        <v>45602.563888888886</v>
      </c>
      <c r="I1386" s="168" t="s">
        <v>10634</v>
      </c>
      <c r="J1386" s="169" t="s">
        <v>88</v>
      </c>
    </row>
    <row r="1387" spans="1:11">
      <c r="A1387" s="154" t="s">
        <v>106</v>
      </c>
      <c r="B1387" s="155" t="s">
        <v>10635</v>
      </c>
      <c r="C1387" s="132" t="s">
        <v>108</v>
      </c>
      <c r="D1387" s="132" t="s">
        <v>10636</v>
      </c>
      <c r="E1387" s="132" t="s">
        <v>10637</v>
      </c>
      <c r="F1387" s="132" t="s">
        <v>40</v>
      </c>
      <c r="G1387" s="156">
        <v>45602.538888888892</v>
      </c>
      <c r="H1387" s="156">
        <v>45602.567361111112</v>
      </c>
      <c r="I1387" s="168" t="s">
        <v>10638</v>
      </c>
      <c r="J1387" s="169" t="s">
        <v>88</v>
      </c>
    </row>
    <row r="1388" spans="1:11">
      <c r="A1388" s="154" t="s">
        <v>20</v>
      </c>
      <c r="B1388" s="155" t="s">
        <v>10639</v>
      </c>
      <c r="C1388" s="132" t="s">
        <v>13</v>
      </c>
      <c r="D1388" s="132" t="s">
        <v>10640</v>
      </c>
      <c r="E1388" s="132" t="s">
        <v>10641</v>
      </c>
      <c r="F1388" s="132" t="s">
        <v>40</v>
      </c>
      <c r="G1388" s="156">
        <v>45602.662499999999</v>
      </c>
      <c r="H1388" s="156">
        <v>45602.980555555558</v>
      </c>
      <c r="I1388" s="168" t="s">
        <v>17</v>
      </c>
      <c r="J1388" s="169" t="s">
        <v>88</v>
      </c>
      <c r="K1388" s="169" t="s">
        <v>94</v>
      </c>
    </row>
    <row r="1389" spans="1:11">
      <c r="A1389" s="154" t="s">
        <v>20</v>
      </c>
      <c r="B1389" s="155" t="s">
        <v>10642</v>
      </c>
      <c r="C1389" s="132" t="s">
        <v>21</v>
      </c>
      <c r="D1389" s="132" t="s">
        <v>10643</v>
      </c>
      <c r="E1389" s="132" t="s">
        <v>10644</v>
      </c>
      <c r="F1389" s="132" t="s">
        <v>40</v>
      </c>
      <c r="G1389" s="156">
        <v>45602.978472222225</v>
      </c>
      <c r="H1389" s="156">
        <v>45632.129861111112</v>
      </c>
      <c r="I1389" s="168" t="s">
        <v>8532</v>
      </c>
      <c r="J1389" s="169" t="s">
        <v>94</v>
      </c>
    </row>
    <row r="1390" spans="1:11">
      <c r="A1390" s="154" t="s">
        <v>106</v>
      </c>
      <c r="B1390" s="155" t="s">
        <v>10645</v>
      </c>
      <c r="C1390" s="132" t="s">
        <v>108</v>
      </c>
      <c r="D1390" s="132" t="s">
        <v>10646</v>
      </c>
      <c r="E1390" s="132" t="s">
        <v>10647</v>
      </c>
      <c r="F1390" s="132" t="s">
        <v>40</v>
      </c>
      <c r="G1390" s="156">
        <v>45632.425694444442</v>
      </c>
      <c r="H1390" s="156">
        <v>45634.461805555555</v>
      </c>
      <c r="I1390" s="168" t="s">
        <v>1173</v>
      </c>
      <c r="J1390" s="169" t="s">
        <v>9367</v>
      </c>
    </row>
    <row r="1391" spans="1:11">
      <c r="A1391" s="154" t="s">
        <v>95</v>
      </c>
      <c r="B1391" s="155" t="s">
        <v>10648</v>
      </c>
      <c r="C1391" s="132" t="s">
        <v>28</v>
      </c>
      <c r="D1391" s="132" t="s">
        <v>10649</v>
      </c>
      <c r="E1391" s="132" t="s">
        <v>10650</v>
      </c>
      <c r="F1391" s="132" t="s">
        <v>40</v>
      </c>
      <c r="G1391" s="156">
        <v>45632.467361111114</v>
      </c>
      <c r="H1391" s="156">
        <v>45632.476388888892</v>
      </c>
      <c r="I1391" s="168" t="s">
        <v>10651</v>
      </c>
      <c r="J1391" s="169" t="s">
        <v>9367</v>
      </c>
    </row>
    <row r="1392" spans="1:11">
      <c r="A1392" s="154" t="s">
        <v>106</v>
      </c>
      <c r="B1392" s="155" t="s">
        <v>10652</v>
      </c>
      <c r="C1392" s="132" t="s">
        <v>108</v>
      </c>
      <c r="D1392" s="132" t="s">
        <v>10653</v>
      </c>
      <c r="E1392" s="132" t="s">
        <v>10654</v>
      </c>
      <c r="F1392" s="132" t="s">
        <v>40</v>
      </c>
      <c r="G1392" s="156">
        <v>45632.648611111108</v>
      </c>
      <c r="H1392" s="156">
        <v>45632.681250000001</v>
      </c>
      <c r="I1392" s="168" t="s">
        <v>10655</v>
      </c>
      <c r="J1392" s="169" t="s">
        <v>9367</v>
      </c>
    </row>
    <row r="1393" spans="1:10">
      <c r="A1393" s="154" t="s">
        <v>20</v>
      </c>
      <c r="B1393" s="155" t="s">
        <v>10656</v>
      </c>
      <c r="C1393" s="132" t="s">
        <v>13</v>
      </c>
      <c r="D1393" s="132" t="s">
        <v>10657</v>
      </c>
      <c r="E1393" s="132" t="s">
        <v>10658</v>
      </c>
      <c r="F1393" s="132" t="s">
        <v>40</v>
      </c>
      <c r="G1393" s="156">
        <v>45632.5</v>
      </c>
      <c r="H1393" s="156" t="s">
        <v>10659</v>
      </c>
      <c r="I1393" s="168" t="s">
        <v>10660</v>
      </c>
      <c r="J1393" s="169" t="s">
        <v>9367</v>
      </c>
    </row>
    <row r="1394" spans="1:10">
      <c r="A1394" s="154" t="s">
        <v>95</v>
      </c>
      <c r="B1394" s="155" t="s">
        <v>10661</v>
      </c>
      <c r="C1394" s="132" t="s">
        <v>97</v>
      </c>
      <c r="D1394" s="132" t="s">
        <v>10662</v>
      </c>
      <c r="E1394" s="132" t="s">
        <v>10663</v>
      </c>
      <c r="F1394" s="132" t="s">
        <v>40</v>
      </c>
      <c r="G1394" s="156">
        <v>45632.865972222222</v>
      </c>
      <c r="H1394" s="156">
        <v>45632.902777777781</v>
      </c>
      <c r="I1394" s="168" t="s">
        <v>356</v>
      </c>
      <c r="J1394" s="169" t="s">
        <v>72</v>
      </c>
    </row>
    <row r="1395" spans="1:10">
      <c r="A1395" s="154" t="s">
        <v>106</v>
      </c>
      <c r="B1395" s="155" t="s">
        <v>10664</v>
      </c>
      <c r="C1395" s="132" t="s">
        <v>108</v>
      </c>
      <c r="D1395" s="132" t="s">
        <v>10665</v>
      </c>
      <c r="E1395" s="132" t="s">
        <v>10666</v>
      </c>
      <c r="F1395" s="132" t="s">
        <v>40</v>
      </c>
      <c r="G1395" s="156">
        <v>45632.833333333336</v>
      </c>
      <c r="H1395" s="156" t="s">
        <v>10667</v>
      </c>
      <c r="J1395" s="169" t="s">
        <v>72</v>
      </c>
    </row>
    <row r="1396" spans="1:10" ht="72.5">
      <c r="A1396" s="154" t="s">
        <v>20</v>
      </c>
      <c r="B1396" s="155" t="s">
        <v>10668</v>
      </c>
      <c r="C1396" s="132" t="s">
        <v>21</v>
      </c>
      <c r="D1396" s="132" t="s">
        <v>10669</v>
      </c>
      <c r="E1396" s="137" t="s">
        <v>10670</v>
      </c>
      <c r="F1396" s="132" t="s">
        <v>40</v>
      </c>
      <c r="G1396" s="156">
        <v>45632.856944444444</v>
      </c>
      <c r="H1396" s="156" t="s">
        <v>10671</v>
      </c>
      <c r="I1396" s="168" t="s">
        <v>10393</v>
      </c>
      <c r="J1396" s="169" t="s">
        <v>72</v>
      </c>
    </row>
    <row r="1397" spans="1:10">
      <c r="A1397" s="154" t="s">
        <v>106</v>
      </c>
      <c r="B1397" s="155" t="s">
        <v>10672</v>
      </c>
      <c r="C1397" s="132" t="s">
        <v>108</v>
      </c>
      <c r="D1397" s="132" t="s">
        <v>10673</v>
      </c>
      <c r="E1397" s="132" t="s">
        <v>10674</v>
      </c>
      <c r="F1397" s="132" t="s">
        <v>40</v>
      </c>
      <c r="G1397" s="156">
        <v>45632.902777777781</v>
      </c>
      <c r="J1397" s="169" t="s">
        <v>72</v>
      </c>
    </row>
    <row r="1398" spans="1:10">
      <c r="A1398" s="154" t="s">
        <v>95</v>
      </c>
      <c r="B1398" s="155" t="s">
        <v>10675</v>
      </c>
      <c r="C1398" s="132" t="s">
        <v>118</v>
      </c>
      <c r="D1398" s="132" t="s">
        <v>9804</v>
      </c>
      <c r="E1398" s="132" t="s">
        <v>9805</v>
      </c>
      <c r="F1398" s="132" t="s">
        <v>40</v>
      </c>
      <c r="G1398" s="156">
        <v>45633.068055555559</v>
      </c>
      <c r="H1398" s="156">
        <v>45633.080555555556</v>
      </c>
      <c r="I1398" s="168" t="s">
        <v>2478</v>
      </c>
      <c r="J1398" s="169" t="s">
        <v>72</v>
      </c>
    </row>
    <row r="1399" spans="1:10">
      <c r="A1399" s="154" t="s">
        <v>20</v>
      </c>
      <c r="B1399" s="155" t="s">
        <v>10676</v>
      </c>
      <c r="C1399" s="132" t="s">
        <v>21</v>
      </c>
      <c r="D1399" s="132" t="s">
        <v>8673</v>
      </c>
      <c r="E1399" s="132" t="s">
        <v>10677</v>
      </c>
      <c r="F1399" s="132" t="s">
        <v>40</v>
      </c>
      <c r="G1399" s="156">
        <v>45633.160416666666</v>
      </c>
      <c r="H1399" s="156">
        <v>45633.166666666664</v>
      </c>
      <c r="I1399" s="168" t="s">
        <v>52</v>
      </c>
      <c r="J1399" s="169" t="s">
        <v>72</v>
      </c>
    </row>
    <row r="1400" spans="1:10" hidden="1">
      <c r="A1400" s="154" t="s">
        <v>106</v>
      </c>
      <c r="B1400" s="155" t="s">
        <v>10678</v>
      </c>
      <c r="C1400" s="132" t="s">
        <v>6047</v>
      </c>
      <c r="D1400" s="132" t="s">
        <v>10679</v>
      </c>
      <c r="E1400" s="132" t="s">
        <v>10680</v>
      </c>
      <c r="F1400" s="132" t="s">
        <v>214</v>
      </c>
      <c r="G1400" s="156" t="s">
        <v>10681</v>
      </c>
      <c r="I1400" s="168" t="s">
        <v>10418</v>
      </c>
      <c r="J1400" s="169" t="s">
        <v>9367</v>
      </c>
    </row>
    <row r="1401" spans="1:10">
      <c r="A1401" s="154" t="s">
        <v>95</v>
      </c>
      <c r="B1401" s="155" t="s">
        <v>10682</v>
      </c>
      <c r="C1401" s="132" t="s">
        <v>97</v>
      </c>
      <c r="D1401" s="132" t="s">
        <v>10683</v>
      </c>
      <c r="E1401" s="132" t="s">
        <v>10684</v>
      </c>
      <c r="F1401" s="132" t="s">
        <v>40</v>
      </c>
      <c r="G1401" s="156" t="s">
        <v>10685</v>
      </c>
      <c r="H1401" s="156" t="s">
        <v>10686</v>
      </c>
      <c r="I1401" s="168" t="s">
        <v>991</v>
      </c>
      <c r="J1401" s="169" t="s">
        <v>9367</v>
      </c>
    </row>
    <row r="1402" spans="1:10">
      <c r="A1402" s="154" t="s">
        <v>20</v>
      </c>
      <c r="B1402" s="155" t="s">
        <v>10687</v>
      </c>
      <c r="C1402" s="132" t="s">
        <v>21</v>
      </c>
      <c r="D1402" s="132" t="s">
        <v>10688</v>
      </c>
      <c r="E1402" s="132" t="s">
        <v>10689</v>
      </c>
      <c r="F1402" s="132" t="s">
        <v>40</v>
      </c>
      <c r="G1402" s="156" t="s">
        <v>10690</v>
      </c>
      <c r="H1402" s="156" t="s">
        <v>10691</v>
      </c>
      <c r="I1402" s="168" t="s">
        <v>52</v>
      </c>
      <c r="J1402" s="169" t="s">
        <v>72</v>
      </c>
    </row>
    <row r="1403" spans="1:10">
      <c r="A1403" s="154" t="s">
        <v>20</v>
      </c>
      <c r="B1403" s="155" t="s">
        <v>10692</v>
      </c>
      <c r="C1403" s="132" t="s">
        <v>21</v>
      </c>
      <c r="D1403" s="132" t="s">
        <v>10693</v>
      </c>
      <c r="E1403" s="132" t="s">
        <v>10694</v>
      </c>
      <c r="F1403" s="132" t="s">
        <v>40</v>
      </c>
      <c r="G1403" s="156" t="s">
        <v>10695</v>
      </c>
      <c r="H1403" s="156" t="s">
        <v>10696</v>
      </c>
      <c r="I1403" s="168" t="s">
        <v>52</v>
      </c>
      <c r="J1403" s="169" t="s">
        <v>72</v>
      </c>
    </row>
    <row r="1404" spans="1:10">
      <c r="A1404" s="154" t="s">
        <v>20</v>
      </c>
      <c r="B1404" s="155" t="s">
        <v>10697</v>
      </c>
      <c r="C1404" s="132" t="s">
        <v>21</v>
      </c>
      <c r="D1404" s="132" t="s">
        <v>10698</v>
      </c>
      <c r="E1404" s="132" t="s">
        <v>10699</v>
      </c>
      <c r="F1404" s="132" t="s">
        <v>40</v>
      </c>
      <c r="G1404" s="156" t="s">
        <v>10700</v>
      </c>
      <c r="H1404" s="156" t="s">
        <v>10701</v>
      </c>
      <c r="I1404" s="168" t="s">
        <v>52</v>
      </c>
      <c r="J1404" s="169" t="s">
        <v>72</v>
      </c>
    </row>
    <row r="1405" spans="1:10">
      <c r="A1405" s="154" t="s">
        <v>106</v>
      </c>
      <c r="B1405" s="155" t="s">
        <v>10702</v>
      </c>
      <c r="C1405" s="132" t="s">
        <v>108</v>
      </c>
      <c r="D1405" s="132" t="s">
        <v>10653</v>
      </c>
      <c r="E1405" s="132" t="s">
        <v>10703</v>
      </c>
      <c r="F1405" s="132" t="s">
        <v>40</v>
      </c>
      <c r="G1405" s="156" t="s">
        <v>10704</v>
      </c>
      <c r="H1405" s="156" t="s">
        <v>10705</v>
      </c>
      <c r="I1405" s="168" t="s">
        <v>10655</v>
      </c>
      <c r="J1405" s="169" t="s">
        <v>9367</v>
      </c>
    </row>
    <row r="1406" spans="1:10">
      <c r="A1406" s="154" t="s">
        <v>95</v>
      </c>
      <c r="B1406" s="155" t="s">
        <v>10706</v>
      </c>
      <c r="C1406" s="132" t="s">
        <v>118</v>
      </c>
      <c r="D1406" s="132" t="s">
        <v>10707</v>
      </c>
      <c r="E1406" s="132" t="s">
        <v>10708</v>
      </c>
      <c r="F1406" s="132" t="s">
        <v>40</v>
      </c>
      <c r="G1406" s="156" t="s">
        <v>10709</v>
      </c>
      <c r="H1406" s="156" t="s">
        <v>10710</v>
      </c>
      <c r="I1406" s="168" t="s">
        <v>1999</v>
      </c>
      <c r="J1406" s="169" t="s">
        <v>9367</v>
      </c>
    </row>
    <row r="1407" spans="1:10">
      <c r="A1407" s="154" t="s">
        <v>95</v>
      </c>
      <c r="B1407" s="155" t="s">
        <v>10711</v>
      </c>
      <c r="C1407" s="132" t="s">
        <v>6047</v>
      </c>
      <c r="D1407" s="132" t="s">
        <v>10712</v>
      </c>
      <c r="E1407" s="132" t="s">
        <v>10713</v>
      </c>
      <c r="F1407" s="132" t="s">
        <v>40</v>
      </c>
      <c r="G1407" s="156" t="s">
        <v>10714</v>
      </c>
      <c r="H1407" s="156" t="s">
        <v>10715</v>
      </c>
      <c r="I1407" s="168" t="s">
        <v>10418</v>
      </c>
      <c r="J1407" s="169" t="s">
        <v>9367</v>
      </c>
    </row>
    <row r="1408" spans="1:10">
      <c r="A1408" s="154" t="s">
        <v>95</v>
      </c>
      <c r="B1408" s="155" t="s">
        <v>10716</v>
      </c>
      <c r="C1408" s="132" t="s">
        <v>1763</v>
      </c>
      <c r="D1408" s="132" t="s">
        <v>10717</v>
      </c>
      <c r="E1408" s="132" t="s">
        <v>10718</v>
      </c>
      <c r="F1408" s="132" t="s">
        <v>40</v>
      </c>
      <c r="G1408" s="156" t="s">
        <v>10719</v>
      </c>
      <c r="H1408" s="156" t="s">
        <v>10720</v>
      </c>
      <c r="I1408" s="168" t="s">
        <v>155</v>
      </c>
      <c r="J1408" s="169" t="s">
        <v>9367</v>
      </c>
    </row>
    <row r="1409" spans="1:10">
      <c r="A1409" s="154" t="s">
        <v>95</v>
      </c>
      <c r="B1409" s="155" t="s">
        <v>10721</v>
      </c>
      <c r="C1409" s="132" t="s">
        <v>97</v>
      </c>
      <c r="D1409" s="132" t="s">
        <v>10722</v>
      </c>
      <c r="E1409" s="132" t="s">
        <v>10723</v>
      </c>
      <c r="F1409" s="132" t="s">
        <v>40</v>
      </c>
      <c r="G1409" s="156" t="s">
        <v>10724</v>
      </c>
      <c r="H1409" s="156" t="s">
        <v>10725</v>
      </c>
      <c r="I1409" s="168" t="s">
        <v>10726</v>
      </c>
      <c r="J1409" s="169" t="s">
        <v>9367</v>
      </c>
    </row>
    <row r="1410" spans="1:10">
      <c r="A1410" s="154" t="s">
        <v>95</v>
      </c>
      <c r="B1410" s="155" t="s">
        <v>10727</v>
      </c>
      <c r="C1410" s="132" t="s">
        <v>97</v>
      </c>
      <c r="D1410" s="132" t="s">
        <v>10728</v>
      </c>
      <c r="E1410" s="132" t="s">
        <v>10729</v>
      </c>
      <c r="F1410" s="132" t="s">
        <v>40</v>
      </c>
      <c r="G1410" s="156" t="s">
        <v>10730</v>
      </c>
      <c r="H1410" s="156" t="s">
        <v>10731</v>
      </c>
      <c r="I1410" s="168" t="s">
        <v>2400</v>
      </c>
      <c r="J1410" s="169" t="s">
        <v>9367</v>
      </c>
    </row>
    <row r="1411" spans="1:10">
      <c r="A1411" s="154" t="s">
        <v>95</v>
      </c>
      <c r="B1411" s="155" t="s">
        <v>10732</v>
      </c>
      <c r="C1411" s="132" t="s">
        <v>6047</v>
      </c>
      <c r="D1411" s="132" t="s">
        <v>10733</v>
      </c>
      <c r="E1411" s="132" t="s">
        <v>10734</v>
      </c>
      <c r="F1411" s="132" t="s">
        <v>40</v>
      </c>
      <c r="G1411" s="156" t="s">
        <v>10735</v>
      </c>
      <c r="H1411" s="156" t="s">
        <v>10736</v>
      </c>
      <c r="I1411" s="168" t="s">
        <v>10737</v>
      </c>
      <c r="J1411" s="169" t="s">
        <v>72</v>
      </c>
    </row>
    <row r="1412" spans="1:10">
      <c r="A1412" s="154" t="s">
        <v>20</v>
      </c>
      <c r="B1412" s="155" t="s">
        <v>10738</v>
      </c>
      <c r="C1412" s="132" t="s">
        <v>49</v>
      </c>
      <c r="D1412" s="132" t="s">
        <v>10739</v>
      </c>
      <c r="E1412" s="132" t="s">
        <v>10740</v>
      </c>
      <c r="F1412" s="132" t="s">
        <v>40</v>
      </c>
      <c r="G1412" s="156" t="s">
        <v>10741</v>
      </c>
      <c r="H1412" s="156" t="s">
        <v>10742</v>
      </c>
      <c r="I1412" s="168" t="s">
        <v>7747</v>
      </c>
      <c r="J1412" s="169" t="s">
        <v>72</v>
      </c>
    </row>
    <row r="1413" spans="1:10">
      <c r="A1413" s="154" t="s">
        <v>106</v>
      </c>
      <c r="B1413" s="155" t="s">
        <v>10743</v>
      </c>
      <c r="C1413" s="132" t="s">
        <v>108</v>
      </c>
      <c r="D1413" s="132" t="s">
        <v>10744</v>
      </c>
      <c r="E1413" s="132" t="s">
        <v>10745</v>
      </c>
      <c r="F1413" s="132" t="s">
        <v>40</v>
      </c>
      <c r="G1413" s="156" t="s">
        <v>10746</v>
      </c>
      <c r="H1413" s="156" t="s">
        <v>10747</v>
      </c>
      <c r="I1413" s="168" t="s">
        <v>3320</v>
      </c>
      <c r="J1413" s="169" t="s">
        <v>72</v>
      </c>
    </row>
    <row r="1414" spans="1:10">
      <c r="A1414" s="154" t="s">
        <v>20</v>
      </c>
      <c r="B1414" s="155" t="s">
        <v>10748</v>
      </c>
      <c r="C1414" s="132" t="s">
        <v>21</v>
      </c>
      <c r="D1414" s="132" t="s">
        <v>10749</v>
      </c>
      <c r="E1414" s="132" t="s">
        <v>6892</v>
      </c>
      <c r="F1414" s="132" t="s">
        <v>40</v>
      </c>
      <c r="G1414" s="156" t="s">
        <v>10750</v>
      </c>
      <c r="H1414" s="156" t="s">
        <v>10751</v>
      </c>
      <c r="I1414" s="168" t="s">
        <v>52</v>
      </c>
      <c r="J1414" s="169" t="s">
        <v>72</v>
      </c>
    </row>
    <row r="1415" spans="1:10">
      <c r="A1415" s="154" t="s">
        <v>95</v>
      </c>
      <c r="B1415" s="155" t="s">
        <v>10752</v>
      </c>
      <c r="C1415" s="132" t="s">
        <v>97</v>
      </c>
      <c r="D1415" s="132" t="s">
        <v>10753</v>
      </c>
      <c r="E1415" s="132" t="s">
        <v>6892</v>
      </c>
      <c r="F1415" s="132" t="s">
        <v>40</v>
      </c>
      <c r="G1415" s="156" t="s">
        <v>10754</v>
      </c>
      <c r="H1415" s="156" t="s">
        <v>10755</v>
      </c>
      <c r="I1415" s="168" t="s">
        <v>10756</v>
      </c>
      <c r="J1415" s="169" t="s">
        <v>72</v>
      </c>
    </row>
    <row r="1416" spans="1:10">
      <c r="A1416" s="154" t="s">
        <v>95</v>
      </c>
      <c r="B1416" s="155" t="s">
        <v>10757</v>
      </c>
      <c r="C1416" s="132" t="s">
        <v>97</v>
      </c>
      <c r="D1416" s="132" t="s">
        <v>10758</v>
      </c>
      <c r="E1416" s="132" t="s">
        <v>10759</v>
      </c>
      <c r="F1416" s="132" t="s">
        <v>40</v>
      </c>
      <c r="G1416" s="156" t="s">
        <v>10760</v>
      </c>
      <c r="H1416" s="156" t="s">
        <v>10761</v>
      </c>
      <c r="I1416" s="168" t="s">
        <v>991</v>
      </c>
      <c r="J1416" s="169" t="s">
        <v>9367</v>
      </c>
    </row>
    <row r="1417" spans="1:10">
      <c r="A1417" s="154" t="s">
        <v>106</v>
      </c>
      <c r="B1417" s="155" t="s">
        <v>10762</v>
      </c>
      <c r="C1417" s="132" t="s">
        <v>108</v>
      </c>
      <c r="D1417" s="132" t="s">
        <v>10763</v>
      </c>
      <c r="E1417" s="132" t="s">
        <v>10764</v>
      </c>
      <c r="F1417" s="132" t="s">
        <v>40</v>
      </c>
      <c r="G1417" s="156" t="s">
        <v>10765</v>
      </c>
      <c r="H1417" s="156" t="s">
        <v>10766</v>
      </c>
      <c r="I1417" s="168" t="s">
        <v>10767</v>
      </c>
      <c r="J1417" s="169" t="s">
        <v>9367</v>
      </c>
    </row>
    <row r="1418" spans="1:10">
      <c r="A1418" s="154" t="s">
        <v>20</v>
      </c>
      <c r="B1418" s="155" t="s">
        <v>10768</v>
      </c>
      <c r="C1418" s="132" t="s">
        <v>13</v>
      </c>
      <c r="D1418" s="132" t="s">
        <v>10769</v>
      </c>
      <c r="E1418" s="132" t="s">
        <v>10770</v>
      </c>
      <c r="F1418" s="132" t="s">
        <v>40</v>
      </c>
      <c r="G1418" s="156" t="s">
        <v>10771</v>
      </c>
      <c r="H1418" s="156" t="s">
        <v>10772</v>
      </c>
      <c r="I1418" s="168" t="s">
        <v>5489</v>
      </c>
      <c r="J1418" s="169" t="s">
        <v>9367</v>
      </c>
    </row>
    <row r="1419" spans="1:10">
      <c r="A1419" s="154" t="s">
        <v>95</v>
      </c>
      <c r="B1419" s="155" t="s">
        <v>10773</v>
      </c>
      <c r="C1419" s="132" t="s">
        <v>118</v>
      </c>
      <c r="D1419" s="132" t="s">
        <v>10774</v>
      </c>
      <c r="E1419" s="132" t="s">
        <v>10775</v>
      </c>
      <c r="F1419" s="132" t="s">
        <v>40</v>
      </c>
      <c r="G1419" s="156" t="s">
        <v>10776</v>
      </c>
      <c r="H1419" s="156" t="s">
        <v>10777</v>
      </c>
      <c r="I1419" s="168" t="s">
        <v>502</v>
      </c>
      <c r="J1419" s="169" t="s">
        <v>72</v>
      </c>
    </row>
    <row r="1420" spans="1:10" ht="29">
      <c r="A1420" s="154" t="s">
        <v>95</v>
      </c>
      <c r="B1420" s="155" t="s">
        <v>10778</v>
      </c>
      <c r="C1420" s="132" t="s">
        <v>97</v>
      </c>
      <c r="D1420" s="137" t="s">
        <v>10779</v>
      </c>
      <c r="E1420" s="132" t="s">
        <v>10780</v>
      </c>
      <c r="F1420" s="132" t="s">
        <v>40</v>
      </c>
      <c r="G1420" s="156" t="s">
        <v>10781</v>
      </c>
      <c r="H1420" s="156" t="s">
        <v>10782</v>
      </c>
      <c r="I1420" s="168" t="s">
        <v>10756</v>
      </c>
      <c r="J1420" s="169" t="s">
        <v>72</v>
      </c>
    </row>
    <row r="1421" spans="1:10">
      <c r="A1421" s="154" t="s">
        <v>95</v>
      </c>
      <c r="B1421" s="155" t="s">
        <v>10783</v>
      </c>
      <c r="C1421" s="132" t="s">
        <v>118</v>
      </c>
      <c r="D1421" s="132" t="s">
        <v>2416</v>
      </c>
      <c r="E1421" s="132" t="s">
        <v>10784</v>
      </c>
      <c r="F1421" s="132" t="s">
        <v>40</v>
      </c>
      <c r="G1421" s="156" t="s">
        <v>10785</v>
      </c>
      <c r="H1421" s="156" t="s">
        <v>10786</v>
      </c>
      <c r="I1421" s="168" t="s">
        <v>10787</v>
      </c>
      <c r="J1421" s="169" t="s">
        <v>72</v>
      </c>
    </row>
    <row r="1422" spans="1:10">
      <c r="A1422" s="154" t="s">
        <v>95</v>
      </c>
      <c r="B1422" s="155" t="s">
        <v>10788</v>
      </c>
      <c r="C1422" s="132" t="s">
        <v>118</v>
      </c>
      <c r="D1422" s="132" t="s">
        <v>10789</v>
      </c>
      <c r="E1422" s="132" t="s">
        <v>10790</v>
      </c>
      <c r="F1422" s="132" t="s">
        <v>40</v>
      </c>
      <c r="G1422" s="156" t="s">
        <v>10791</v>
      </c>
      <c r="H1422" s="156" t="s">
        <v>10792</v>
      </c>
      <c r="I1422" s="168" t="s">
        <v>502</v>
      </c>
      <c r="J1422" s="169" t="s">
        <v>72</v>
      </c>
    </row>
    <row r="1423" spans="1:10">
      <c r="A1423" s="154" t="s">
        <v>95</v>
      </c>
      <c r="B1423" s="155" t="s">
        <v>10793</v>
      </c>
      <c r="C1423" s="132" t="s">
        <v>113</v>
      </c>
      <c r="D1423" s="132" t="s">
        <v>10794</v>
      </c>
      <c r="E1423" s="132" t="s">
        <v>10795</v>
      </c>
      <c r="F1423" s="132" t="s">
        <v>40</v>
      </c>
      <c r="G1423" s="156" t="s">
        <v>10796</v>
      </c>
      <c r="H1423" s="156" t="s">
        <v>10797</v>
      </c>
      <c r="I1423" s="168" t="s">
        <v>10249</v>
      </c>
      <c r="J1423" s="169" t="s">
        <v>9367</v>
      </c>
    </row>
    <row r="1424" spans="1:10">
      <c r="A1424" s="154" t="s">
        <v>106</v>
      </c>
      <c r="B1424" s="155" t="s">
        <v>10798</v>
      </c>
      <c r="C1424" s="132" t="s">
        <v>108</v>
      </c>
      <c r="D1424" s="132" t="s">
        <v>10799</v>
      </c>
      <c r="E1424" s="132" t="s">
        <v>10800</v>
      </c>
      <c r="F1424" s="132" t="s">
        <v>40</v>
      </c>
      <c r="G1424" s="156" t="s">
        <v>10801</v>
      </c>
      <c r="H1424" s="156" t="s">
        <v>10802</v>
      </c>
      <c r="I1424" s="168" t="s">
        <v>10803</v>
      </c>
      <c r="J1424" s="169" t="s">
        <v>9367</v>
      </c>
    </row>
    <row r="1425" spans="1:10">
      <c r="A1425" s="154" t="s">
        <v>106</v>
      </c>
      <c r="B1425" s="155" t="s">
        <v>10804</v>
      </c>
      <c r="C1425" s="132" t="s">
        <v>37</v>
      </c>
      <c r="D1425" s="132" t="s">
        <v>10805</v>
      </c>
      <c r="E1425" s="132" t="s">
        <v>10806</v>
      </c>
      <c r="F1425" s="132" t="s">
        <v>40</v>
      </c>
      <c r="G1425" s="156" t="s">
        <v>10807</v>
      </c>
      <c r="H1425" s="156" t="s">
        <v>10808</v>
      </c>
      <c r="I1425" s="168" t="s">
        <v>10809</v>
      </c>
      <c r="J1425" s="169" t="s">
        <v>9367</v>
      </c>
    </row>
    <row r="1426" spans="1:10">
      <c r="A1426" s="154" t="s">
        <v>20</v>
      </c>
      <c r="B1426" s="155" t="s">
        <v>10810</v>
      </c>
      <c r="C1426" s="132" t="s">
        <v>21</v>
      </c>
      <c r="D1426" s="132" t="s">
        <v>10811</v>
      </c>
      <c r="E1426" s="132" t="s">
        <v>10812</v>
      </c>
      <c r="F1426" s="132" t="s">
        <v>40</v>
      </c>
      <c r="G1426" s="156" t="s">
        <v>10813</v>
      </c>
      <c r="H1426" s="156" t="s">
        <v>10814</v>
      </c>
      <c r="I1426" s="168" t="s">
        <v>6116</v>
      </c>
      <c r="J1426" s="169" t="s">
        <v>9367</v>
      </c>
    </row>
    <row r="1427" spans="1:10">
      <c r="A1427" s="154" t="s">
        <v>106</v>
      </c>
      <c r="B1427" s="155" t="s">
        <v>10815</v>
      </c>
      <c r="C1427" s="132" t="s">
        <v>108</v>
      </c>
      <c r="D1427" s="132" t="s">
        <v>10816</v>
      </c>
      <c r="E1427" s="132" t="s">
        <v>10817</v>
      </c>
      <c r="F1427" s="132" t="s">
        <v>40</v>
      </c>
      <c r="G1427" s="156" t="s">
        <v>10818</v>
      </c>
      <c r="H1427" s="156" t="s">
        <v>10819</v>
      </c>
      <c r="I1427" s="168" t="s">
        <v>10820</v>
      </c>
      <c r="J1427" s="169" t="s">
        <v>9367</v>
      </c>
    </row>
    <row r="1428" spans="1:10">
      <c r="A1428" s="154" t="s">
        <v>95</v>
      </c>
      <c r="B1428" s="155" t="s">
        <v>10821</v>
      </c>
      <c r="C1428" s="132" t="s">
        <v>118</v>
      </c>
      <c r="D1428" s="132" t="s">
        <v>10822</v>
      </c>
      <c r="E1428" s="132" t="s">
        <v>10823</v>
      </c>
      <c r="F1428" s="132" t="s">
        <v>40</v>
      </c>
      <c r="G1428" s="156" t="s">
        <v>10824</v>
      </c>
      <c r="H1428" s="156" t="s">
        <v>10824</v>
      </c>
      <c r="I1428" s="168" t="s">
        <v>502</v>
      </c>
      <c r="J1428" s="169" t="s">
        <v>72</v>
      </c>
    </row>
    <row r="1429" spans="1:10">
      <c r="A1429" s="154" t="s">
        <v>106</v>
      </c>
      <c r="B1429" s="155" t="s">
        <v>10825</v>
      </c>
      <c r="C1429" s="132" t="s">
        <v>108</v>
      </c>
      <c r="D1429" s="132" t="s">
        <v>10826</v>
      </c>
      <c r="E1429" s="132" t="s">
        <v>10827</v>
      </c>
      <c r="F1429" s="132" t="s">
        <v>40</v>
      </c>
      <c r="G1429" s="156" t="s">
        <v>10828</v>
      </c>
      <c r="H1429" s="156" t="s">
        <v>10829</v>
      </c>
      <c r="I1429" s="168" t="s">
        <v>10830</v>
      </c>
      <c r="J1429" s="169" t="s">
        <v>72</v>
      </c>
    </row>
    <row r="1430" spans="1:10">
      <c r="A1430" s="154" t="s">
        <v>20</v>
      </c>
      <c r="B1430" s="155" t="s">
        <v>10831</v>
      </c>
      <c r="C1430" s="132" t="s">
        <v>21</v>
      </c>
      <c r="D1430" s="132" t="s">
        <v>10832</v>
      </c>
      <c r="E1430" s="132" t="s">
        <v>10833</v>
      </c>
      <c r="F1430" s="132" t="s">
        <v>40</v>
      </c>
      <c r="G1430" s="156" t="s">
        <v>10834</v>
      </c>
      <c r="H1430" s="156" t="s">
        <v>10835</v>
      </c>
      <c r="I1430" s="168" t="s">
        <v>10836</v>
      </c>
      <c r="J1430" s="169" t="s">
        <v>72</v>
      </c>
    </row>
    <row r="1431" spans="1:10">
      <c r="A1431" s="154" t="s">
        <v>106</v>
      </c>
      <c r="B1431" s="155" t="s">
        <v>10837</v>
      </c>
      <c r="C1431" s="132" t="s">
        <v>108</v>
      </c>
      <c r="D1431" s="132" t="s">
        <v>8467</v>
      </c>
      <c r="E1431" s="132" t="s">
        <v>9751</v>
      </c>
      <c r="F1431" s="132" t="s">
        <v>40</v>
      </c>
      <c r="G1431" s="156" t="s">
        <v>10838</v>
      </c>
      <c r="H1431" s="156" t="s">
        <v>10839</v>
      </c>
      <c r="I1431" s="168" t="s">
        <v>32</v>
      </c>
      <c r="J1431" s="169" t="s">
        <v>72</v>
      </c>
    </row>
    <row r="1432" spans="1:10">
      <c r="A1432" s="154" t="s">
        <v>95</v>
      </c>
      <c r="B1432" s="155" t="s">
        <v>10840</v>
      </c>
      <c r="C1432" s="132" t="s">
        <v>118</v>
      </c>
      <c r="D1432" s="132" t="s">
        <v>10841</v>
      </c>
      <c r="E1432" s="132" t="s">
        <v>10842</v>
      </c>
      <c r="F1432" s="132" t="s">
        <v>40</v>
      </c>
      <c r="G1432" s="156" t="s">
        <v>10843</v>
      </c>
      <c r="H1432" s="156" t="s">
        <v>10844</v>
      </c>
      <c r="I1432" s="168" t="s">
        <v>502</v>
      </c>
      <c r="J1432" s="169" t="s">
        <v>72</v>
      </c>
    </row>
    <row r="1433" spans="1:10">
      <c r="A1433" s="154" t="s">
        <v>106</v>
      </c>
      <c r="B1433" s="155" t="s">
        <v>10845</v>
      </c>
      <c r="C1433" s="132" t="s">
        <v>108</v>
      </c>
      <c r="D1433" s="132" t="s">
        <v>10846</v>
      </c>
      <c r="E1433" s="132" t="s">
        <v>10847</v>
      </c>
      <c r="F1433" s="132" t="s">
        <v>40</v>
      </c>
      <c r="G1433" s="156" t="s">
        <v>10848</v>
      </c>
      <c r="H1433" s="156" t="s">
        <v>10849</v>
      </c>
      <c r="I1433" s="168" t="s">
        <v>1470</v>
      </c>
      <c r="J1433" s="169" t="s">
        <v>9367</v>
      </c>
    </row>
    <row r="1434" spans="1:10">
      <c r="A1434" s="154" t="s">
        <v>20</v>
      </c>
      <c r="B1434" s="155" t="s">
        <v>10850</v>
      </c>
      <c r="C1434" s="132" t="s">
        <v>21</v>
      </c>
      <c r="D1434" s="132" t="s">
        <v>10851</v>
      </c>
      <c r="E1434" s="132" t="s">
        <v>10852</v>
      </c>
      <c r="F1434" s="132" t="s">
        <v>40</v>
      </c>
      <c r="G1434" s="156" t="s">
        <v>10853</v>
      </c>
      <c r="H1434" s="156" t="s">
        <v>10854</v>
      </c>
      <c r="I1434" s="168" t="s">
        <v>32</v>
      </c>
      <c r="J1434" s="169" t="s">
        <v>9367</v>
      </c>
    </row>
    <row r="1435" spans="1:10">
      <c r="A1435" s="154" t="s">
        <v>106</v>
      </c>
      <c r="B1435" s="155" t="s">
        <v>10855</v>
      </c>
      <c r="C1435" s="132" t="s">
        <v>37</v>
      </c>
      <c r="D1435" s="132" t="s">
        <v>10856</v>
      </c>
      <c r="E1435" s="132" t="s">
        <v>10857</v>
      </c>
      <c r="F1435" s="132" t="s">
        <v>40</v>
      </c>
      <c r="G1435" s="156" t="s">
        <v>10858</v>
      </c>
      <c r="H1435" s="156" t="s">
        <v>10859</v>
      </c>
      <c r="I1435" s="168" t="s">
        <v>10809</v>
      </c>
      <c r="J1435" s="169" t="s">
        <v>9367</v>
      </c>
    </row>
    <row r="1436" spans="1:10">
      <c r="A1436" s="154" t="s">
        <v>20</v>
      </c>
      <c r="B1436" s="155" t="s">
        <v>10860</v>
      </c>
      <c r="C1436" s="132" t="s">
        <v>21</v>
      </c>
      <c r="D1436" s="132" t="s">
        <v>10861</v>
      </c>
      <c r="E1436" s="132" t="s">
        <v>10862</v>
      </c>
      <c r="F1436" s="132" t="s">
        <v>40</v>
      </c>
      <c r="G1436" s="156" t="s">
        <v>10863</v>
      </c>
      <c r="H1436" s="156" t="s">
        <v>10864</v>
      </c>
      <c r="I1436" s="168" t="s">
        <v>2909</v>
      </c>
      <c r="J1436" s="169" t="s">
        <v>9367</v>
      </c>
    </row>
    <row r="1437" spans="1:10">
      <c r="A1437" s="154" t="s">
        <v>95</v>
      </c>
      <c r="B1437" s="155" t="s">
        <v>10865</v>
      </c>
      <c r="C1437" s="132" t="s">
        <v>97</v>
      </c>
      <c r="D1437" s="132" t="s">
        <v>1933</v>
      </c>
      <c r="E1437" s="132" t="s">
        <v>10866</v>
      </c>
      <c r="F1437" s="132" t="s">
        <v>40</v>
      </c>
      <c r="G1437" s="156" t="s">
        <v>10867</v>
      </c>
      <c r="H1437" s="156" t="s">
        <v>10868</v>
      </c>
      <c r="I1437" s="168" t="s">
        <v>32</v>
      </c>
      <c r="J1437" s="169" t="s">
        <v>9367</v>
      </c>
    </row>
    <row r="1438" spans="1:10">
      <c r="A1438" s="154" t="s">
        <v>106</v>
      </c>
      <c r="B1438" s="155" t="s">
        <v>10869</v>
      </c>
      <c r="C1438" s="132" t="s">
        <v>78</v>
      </c>
      <c r="D1438" s="132" t="s">
        <v>10870</v>
      </c>
      <c r="E1438" s="132" t="s">
        <v>10871</v>
      </c>
      <c r="F1438" s="132" t="s">
        <v>40</v>
      </c>
      <c r="G1438" s="156" t="s">
        <v>10872</v>
      </c>
      <c r="H1438" s="156" t="s">
        <v>10873</v>
      </c>
      <c r="I1438" s="168" t="s">
        <v>258</v>
      </c>
      <c r="J1438" s="169" t="s">
        <v>9367</v>
      </c>
    </row>
    <row r="1439" spans="1:10">
      <c r="A1439" s="154" t="s">
        <v>106</v>
      </c>
      <c r="B1439" s="155" t="s">
        <v>10874</v>
      </c>
      <c r="C1439" s="132" t="s">
        <v>37</v>
      </c>
      <c r="D1439" s="132" t="s">
        <v>10856</v>
      </c>
      <c r="E1439" s="132" t="s">
        <v>10875</v>
      </c>
      <c r="F1439" s="132" t="s">
        <v>40</v>
      </c>
      <c r="G1439" s="156" t="s">
        <v>10876</v>
      </c>
      <c r="H1439" s="156" t="s">
        <v>10877</v>
      </c>
      <c r="I1439" s="168" t="s">
        <v>10809</v>
      </c>
      <c r="J1439" s="169" t="s">
        <v>9367</v>
      </c>
    </row>
    <row r="1440" spans="1:10">
      <c r="A1440" s="154" t="s">
        <v>106</v>
      </c>
      <c r="B1440" s="155" t="s">
        <v>10878</v>
      </c>
      <c r="C1440" s="132" t="s">
        <v>108</v>
      </c>
      <c r="D1440" s="132" t="s">
        <v>10879</v>
      </c>
      <c r="E1440" s="132" t="s">
        <v>10880</v>
      </c>
      <c r="F1440" s="132" t="s">
        <v>40</v>
      </c>
      <c r="G1440" s="156" t="s">
        <v>10881</v>
      </c>
      <c r="H1440" s="156" t="s">
        <v>10882</v>
      </c>
      <c r="I1440" s="168" t="s">
        <v>1349</v>
      </c>
      <c r="J1440" s="169" t="s">
        <v>72</v>
      </c>
    </row>
    <row r="1441" spans="1:10">
      <c r="A1441" s="154" t="s">
        <v>95</v>
      </c>
      <c r="B1441" s="155" t="s">
        <v>10883</v>
      </c>
      <c r="C1441" s="132" t="s">
        <v>6047</v>
      </c>
      <c r="D1441" s="132" t="s">
        <v>10884</v>
      </c>
      <c r="E1441" s="132" t="s">
        <v>10885</v>
      </c>
      <c r="F1441" s="132" t="s">
        <v>40</v>
      </c>
      <c r="G1441" s="156" t="s">
        <v>10886</v>
      </c>
      <c r="H1441" s="156" t="s">
        <v>10887</v>
      </c>
      <c r="I1441" s="168" t="s">
        <v>10888</v>
      </c>
      <c r="J1441" s="169" t="s">
        <v>72</v>
      </c>
    </row>
    <row r="1442" spans="1:10">
      <c r="A1442" s="154" t="s">
        <v>95</v>
      </c>
      <c r="B1442" s="155" t="s">
        <v>10889</v>
      </c>
      <c r="C1442" s="132" t="s">
        <v>118</v>
      </c>
      <c r="D1442" s="132" t="s">
        <v>10890</v>
      </c>
      <c r="E1442" s="132" t="s">
        <v>10891</v>
      </c>
      <c r="F1442" s="132" t="s">
        <v>40</v>
      </c>
      <c r="G1442" s="156" t="s">
        <v>10892</v>
      </c>
      <c r="H1442" s="156" t="s">
        <v>10893</v>
      </c>
      <c r="I1442" s="168" t="s">
        <v>502</v>
      </c>
      <c r="J1442" s="169" t="s">
        <v>72</v>
      </c>
    </row>
    <row r="1443" spans="1:10" hidden="1">
      <c r="A1443" s="154" t="s">
        <v>20</v>
      </c>
      <c r="B1443" s="155" t="s">
        <v>10894</v>
      </c>
      <c r="C1443" s="132" t="s">
        <v>13</v>
      </c>
      <c r="D1443" s="132" t="s">
        <v>10895</v>
      </c>
      <c r="E1443" s="132" t="s">
        <v>10896</v>
      </c>
      <c r="F1443" s="132" t="s">
        <v>308</v>
      </c>
      <c r="G1443" s="156" t="s">
        <v>10897</v>
      </c>
      <c r="H1443" s="156" t="s">
        <v>10898</v>
      </c>
      <c r="I1443" s="168" t="s">
        <v>17</v>
      </c>
      <c r="J1443" s="169" t="s">
        <v>9367</v>
      </c>
    </row>
    <row r="1444" spans="1:10">
      <c r="A1444" s="154" t="s">
        <v>106</v>
      </c>
      <c r="B1444" s="155" t="s">
        <v>10899</v>
      </c>
      <c r="C1444" s="132" t="s">
        <v>108</v>
      </c>
      <c r="D1444" s="132" t="s">
        <v>10846</v>
      </c>
      <c r="E1444" s="132" t="s">
        <v>10847</v>
      </c>
      <c r="F1444" s="132" t="s">
        <v>40</v>
      </c>
      <c r="G1444" s="156" t="s">
        <v>10900</v>
      </c>
      <c r="H1444" s="156" t="s">
        <v>10901</v>
      </c>
      <c r="I1444" s="168" t="s">
        <v>1470</v>
      </c>
      <c r="J1444" s="169" t="s">
        <v>9367</v>
      </c>
    </row>
    <row r="1445" spans="1:10">
      <c r="A1445" s="154" t="s">
        <v>95</v>
      </c>
      <c r="B1445" s="155" t="s">
        <v>10902</v>
      </c>
      <c r="C1445" s="132" t="s">
        <v>97</v>
      </c>
      <c r="D1445" s="132" t="s">
        <v>10903</v>
      </c>
      <c r="E1445" s="132" t="s">
        <v>10904</v>
      </c>
      <c r="F1445" s="132" t="s">
        <v>40</v>
      </c>
      <c r="G1445" s="156" t="s">
        <v>10905</v>
      </c>
      <c r="H1445" s="156" t="s">
        <v>10906</v>
      </c>
      <c r="I1445" s="168" t="s">
        <v>6855</v>
      </c>
      <c r="J1445" s="169" t="s">
        <v>9367</v>
      </c>
    </row>
    <row r="1446" spans="1:10">
      <c r="A1446" s="154" t="s">
        <v>95</v>
      </c>
      <c r="B1446" s="155" t="s">
        <v>10907</v>
      </c>
      <c r="C1446" s="132" t="s">
        <v>118</v>
      </c>
      <c r="D1446" s="132" t="s">
        <v>10908</v>
      </c>
      <c r="E1446" s="132" t="s">
        <v>10909</v>
      </c>
      <c r="F1446" s="132" t="s">
        <v>40</v>
      </c>
      <c r="G1446" s="156" t="s">
        <v>10910</v>
      </c>
      <c r="H1446" s="156" t="s">
        <v>10911</v>
      </c>
      <c r="I1446" s="168" t="s">
        <v>10912</v>
      </c>
      <c r="J1446" s="169" t="s">
        <v>9367</v>
      </c>
    </row>
    <row r="1447" spans="1:10">
      <c r="A1447" s="154" t="s">
        <v>106</v>
      </c>
      <c r="B1447" s="155" t="s">
        <v>10913</v>
      </c>
      <c r="C1447" s="132" t="s">
        <v>37</v>
      </c>
      <c r="D1447" s="132" t="s">
        <v>10914</v>
      </c>
      <c r="E1447" s="132" t="s">
        <v>10915</v>
      </c>
      <c r="F1447" s="132" t="s">
        <v>40</v>
      </c>
      <c r="G1447" s="156" t="s">
        <v>10916</v>
      </c>
      <c r="H1447" s="156" t="s">
        <v>10917</v>
      </c>
      <c r="I1447" s="168" t="s">
        <v>10809</v>
      </c>
      <c r="J1447" s="169" t="s">
        <v>9367</v>
      </c>
    </row>
    <row r="1448" spans="1:10">
      <c r="A1448" s="154" t="s">
        <v>20</v>
      </c>
      <c r="B1448" s="155" t="s">
        <v>10918</v>
      </c>
      <c r="C1448" s="132" t="s">
        <v>21</v>
      </c>
      <c r="D1448" s="132" t="s">
        <v>10919</v>
      </c>
      <c r="E1448" s="132" t="s">
        <v>10920</v>
      </c>
      <c r="F1448" s="132" t="s">
        <v>40</v>
      </c>
      <c r="G1448" s="156" t="s">
        <v>10921</v>
      </c>
      <c r="H1448" s="156" t="s">
        <v>10922</v>
      </c>
      <c r="I1448" s="168" t="s">
        <v>2909</v>
      </c>
      <c r="J1448" s="169" t="s">
        <v>9367</v>
      </c>
    </row>
    <row r="1449" spans="1:10" hidden="1">
      <c r="A1449" s="154" t="s">
        <v>95</v>
      </c>
      <c r="B1449" s="155" t="s">
        <v>10923</v>
      </c>
      <c r="C1449" s="132" t="s">
        <v>28</v>
      </c>
      <c r="D1449" s="132" t="s">
        <v>10924</v>
      </c>
      <c r="E1449" s="132" t="s">
        <v>10925</v>
      </c>
      <c r="F1449" s="132" t="s">
        <v>308</v>
      </c>
      <c r="G1449" s="156" t="s">
        <v>10926</v>
      </c>
      <c r="H1449" s="156" t="s">
        <v>10927</v>
      </c>
      <c r="I1449" s="168" t="s">
        <v>10928</v>
      </c>
      <c r="J1449" s="169" t="s">
        <v>9367</v>
      </c>
    </row>
    <row r="1450" spans="1:10">
      <c r="A1450" s="154" t="s">
        <v>106</v>
      </c>
      <c r="B1450" s="155" t="s">
        <v>10929</v>
      </c>
      <c r="C1450" s="132" t="s">
        <v>108</v>
      </c>
      <c r="D1450" s="132" t="s">
        <v>8467</v>
      </c>
      <c r="E1450" s="132" t="s">
        <v>9751</v>
      </c>
      <c r="F1450" s="132" t="s">
        <v>40</v>
      </c>
      <c r="G1450" s="156" t="s">
        <v>10930</v>
      </c>
      <c r="H1450" s="156" t="s">
        <v>10931</v>
      </c>
      <c r="I1450" s="168" t="s">
        <v>32</v>
      </c>
      <c r="J1450" s="169" t="s">
        <v>72</v>
      </c>
    </row>
    <row r="1451" spans="1:10">
      <c r="A1451" s="154" t="s">
        <v>20</v>
      </c>
      <c r="B1451" s="155" t="s">
        <v>10932</v>
      </c>
      <c r="C1451" s="132" t="s">
        <v>21</v>
      </c>
      <c r="D1451" s="132" t="s">
        <v>10933</v>
      </c>
      <c r="E1451" s="132" t="s">
        <v>10934</v>
      </c>
      <c r="F1451" s="132" t="s">
        <v>40</v>
      </c>
      <c r="G1451" s="156" t="s">
        <v>10935</v>
      </c>
      <c r="H1451" s="156" t="s">
        <v>10936</v>
      </c>
      <c r="I1451" s="168" t="s">
        <v>52</v>
      </c>
      <c r="J1451" s="169" t="s">
        <v>72</v>
      </c>
    </row>
    <row r="1452" spans="1:10" ht="43.5">
      <c r="A1452" s="154" t="s">
        <v>20</v>
      </c>
      <c r="B1452" s="155" t="s">
        <v>10937</v>
      </c>
      <c r="C1452" s="132" t="s">
        <v>13</v>
      </c>
      <c r="D1452" s="132" t="s">
        <v>10938</v>
      </c>
      <c r="E1452" s="137" t="s">
        <v>10939</v>
      </c>
      <c r="F1452" s="132" t="s">
        <v>40</v>
      </c>
      <c r="G1452" s="156" t="s">
        <v>10940</v>
      </c>
      <c r="H1452" s="156" t="s">
        <v>10941</v>
      </c>
      <c r="I1452" s="168" t="s">
        <v>32</v>
      </c>
      <c r="J1452" s="169" t="s">
        <v>94</v>
      </c>
    </row>
    <row r="1453" spans="1:10">
      <c r="A1453" s="154" t="s">
        <v>106</v>
      </c>
      <c r="B1453" s="155" t="s">
        <v>10942</v>
      </c>
      <c r="C1453" s="132" t="s">
        <v>37</v>
      </c>
      <c r="D1453" s="132" t="s">
        <v>10943</v>
      </c>
      <c r="E1453" s="132" t="s">
        <v>10944</v>
      </c>
      <c r="F1453" s="132" t="s">
        <v>40</v>
      </c>
      <c r="G1453" s="156" t="s">
        <v>10945</v>
      </c>
      <c r="H1453" s="156" t="s">
        <v>10946</v>
      </c>
      <c r="I1453" s="168" t="s">
        <v>105</v>
      </c>
      <c r="J1453" s="169" t="s">
        <v>514</v>
      </c>
    </row>
    <row r="1454" spans="1:10">
      <c r="A1454" s="154" t="s">
        <v>95</v>
      </c>
      <c r="B1454" s="155" t="s">
        <v>10947</v>
      </c>
      <c r="C1454" s="132" t="s">
        <v>28</v>
      </c>
      <c r="D1454" s="132" t="s">
        <v>10948</v>
      </c>
      <c r="E1454" s="132" t="s">
        <v>10949</v>
      </c>
      <c r="F1454" s="132" t="s">
        <v>40</v>
      </c>
      <c r="G1454" s="156" t="s">
        <v>10950</v>
      </c>
      <c r="H1454" s="156" t="s">
        <v>10951</v>
      </c>
      <c r="I1454" s="168" t="s">
        <v>10928</v>
      </c>
      <c r="J1454" s="169" t="s">
        <v>514</v>
      </c>
    </row>
    <row r="1455" spans="1:10">
      <c r="A1455" s="154" t="s">
        <v>95</v>
      </c>
      <c r="B1455" s="155" t="s">
        <v>10952</v>
      </c>
      <c r="C1455" s="132" t="s">
        <v>28</v>
      </c>
      <c r="D1455" s="132" t="s">
        <v>10953</v>
      </c>
      <c r="E1455" s="132" t="s">
        <v>10954</v>
      </c>
      <c r="F1455" s="132" t="s">
        <v>40</v>
      </c>
      <c r="G1455" s="156" t="s">
        <v>10955</v>
      </c>
      <c r="H1455" s="156" t="s">
        <v>10956</v>
      </c>
      <c r="I1455" s="168" t="s">
        <v>105</v>
      </c>
      <c r="J1455" s="169" t="s">
        <v>514</v>
      </c>
    </row>
    <row r="1456" spans="1:10">
      <c r="A1456" s="154" t="s">
        <v>20</v>
      </c>
      <c r="B1456" s="155" t="s">
        <v>10957</v>
      </c>
      <c r="C1456" s="132" t="s">
        <v>21</v>
      </c>
      <c r="D1456" s="132" t="s">
        <v>10958</v>
      </c>
      <c r="E1456" s="132" t="s">
        <v>10959</v>
      </c>
      <c r="F1456" s="132" t="s">
        <v>40</v>
      </c>
      <c r="G1456" s="156" t="s">
        <v>10960</v>
      </c>
      <c r="H1456" s="156" t="s">
        <v>10961</v>
      </c>
      <c r="I1456" s="168" t="s">
        <v>61</v>
      </c>
      <c r="J1456" s="169" t="s">
        <v>514</v>
      </c>
    </row>
    <row r="1457" spans="1:11">
      <c r="A1457" s="154" t="s">
        <v>106</v>
      </c>
      <c r="B1457" s="155" t="s">
        <v>10962</v>
      </c>
      <c r="C1457" s="132" t="s">
        <v>108</v>
      </c>
      <c r="D1457" s="132" t="s">
        <v>10963</v>
      </c>
      <c r="E1457" s="132" t="s">
        <v>10964</v>
      </c>
      <c r="F1457" s="132" t="s">
        <v>40</v>
      </c>
      <c r="G1457" s="156" t="s">
        <v>10965</v>
      </c>
      <c r="H1457" s="156" t="s">
        <v>10966</v>
      </c>
      <c r="I1457" s="168" t="s">
        <v>3825</v>
      </c>
      <c r="J1457" s="169" t="s">
        <v>88</v>
      </c>
    </row>
    <row r="1458" spans="1:11" hidden="1">
      <c r="A1458" s="154" t="s">
        <v>20</v>
      </c>
      <c r="B1458" s="155" t="s">
        <v>10967</v>
      </c>
      <c r="C1458" s="132" t="s">
        <v>13</v>
      </c>
      <c r="D1458" s="132" t="s">
        <v>10968</v>
      </c>
      <c r="F1458" s="132" t="s">
        <v>214</v>
      </c>
      <c r="G1458" s="156" t="s">
        <v>10969</v>
      </c>
      <c r="I1458" s="168" t="s">
        <v>17</v>
      </c>
      <c r="J1458" s="169" t="s">
        <v>88</v>
      </c>
    </row>
    <row r="1459" spans="1:11">
      <c r="A1459" s="154" t="s">
        <v>95</v>
      </c>
      <c r="B1459" s="155" t="s">
        <v>10970</v>
      </c>
      <c r="C1459" s="132" t="s">
        <v>97</v>
      </c>
      <c r="D1459" s="132" t="s">
        <v>10971</v>
      </c>
      <c r="E1459" s="132" t="s">
        <v>10972</v>
      </c>
      <c r="F1459" s="132" t="s">
        <v>40</v>
      </c>
      <c r="G1459" s="156" t="s">
        <v>10973</v>
      </c>
      <c r="H1459" s="156" t="s">
        <v>10974</v>
      </c>
      <c r="I1459" s="168" t="s">
        <v>6713</v>
      </c>
      <c r="J1459" s="169" t="s">
        <v>88</v>
      </c>
      <c r="K1459" s="169" t="s">
        <v>514</v>
      </c>
    </row>
    <row r="1460" spans="1:11">
      <c r="A1460" s="154" t="s">
        <v>20</v>
      </c>
      <c r="B1460" s="155" t="s">
        <v>10975</v>
      </c>
      <c r="C1460" s="132" t="s">
        <v>21</v>
      </c>
      <c r="D1460" s="132" t="s">
        <v>10976</v>
      </c>
      <c r="E1460" s="132" t="s">
        <v>10977</v>
      </c>
      <c r="F1460" s="132" t="s">
        <v>40</v>
      </c>
      <c r="G1460" s="156" t="s">
        <v>10978</v>
      </c>
      <c r="H1460" s="156" t="s">
        <v>10979</v>
      </c>
      <c r="I1460" s="168" t="s">
        <v>1628</v>
      </c>
      <c r="J1460" s="169" t="s">
        <v>88</v>
      </c>
    </row>
    <row r="1461" spans="1:11">
      <c r="A1461" s="154" t="s">
        <v>106</v>
      </c>
      <c r="B1461" s="155" t="s">
        <v>10980</v>
      </c>
      <c r="C1461" s="132" t="s">
        <v>108</v>
      </c>
      <c r="D1461" s="132" t="s">
        <v>10981</v>
      </c>
      <c r="E1461" s="132" t="s">
        <v>10982</v>
      </c>
      <c r="F1461" s="132" t="s">
        <v>40</v>
      </c>
      <c r="G1461" s="156" t="s">
        <v>10983</v>
      </c>
      <c r="H1461" s="156" t="s">
        <v>10984</v>
      </c>
      <c r="I1461" s="168" t="s">
        <v>2358</v>
      </c>
      <c r="J1461" s="169" t="s">
        <v>514</v>
      </c>
    </row>
    <row r="1462" spans="1:11">
      <c r="A1462" s="154" t="s">
        <v>95</v>
      </c>
      <c r="B1462" s="155" t="s">
        <v>10985</v>
      </c>
      <c r="C1462" s="132" t="s">
        <v>6047</v>
      </c>
      <c r="D1462" s="132" t="s">
        <v>10986</v>
      </c>
      <c r="E1462" s="132" t="s">
        <v>10987</v>
      </c>
      <c r="F1462" s="132" t="s">
        <v>40</v>
      </c>
      <c r="G1462" s="156" t="s">
        <v>10988</v>
      </c>
      <c r="H1462" s="156" t="s">
        <v>10989</v>
      </c>
      <c r="I1462" s="168" t="s">
        <v>10990</v>
      </c>
      <c r="J1462" s="169" t="s">
        <v>514</v>
      </c>
    </row>
    <row r="1463" spans="1:11">
      <c r="A1463" s="154" t="s">
        <v>95</v>
      </c>
      <c r="B1463" s="155" t="s">
        <v>10991</v>
      </c>
      <c r="C1463" s="132" t="s">
        <v>97</v>
      </c>
      <c r="D1463" s="132" t="s">
        <v>10992</v>
      </c>
      <c r="E1463" s="132" t="s">
        <v>10993</v>
      </c>
      <c r="F1463" s="132" t="s">
        <v>40</v>
      </c>
      <c r="G1463" s="156" t="s">
        <v>10994</v>
      </c>
      <c r="H1463" s="156" t="s">
        <v>10995</v>
      </c>
      <c r="I1463" s="168" t="s">
        <v>2814</v>
      </c>
      <c r="J1463" s="169" t="s">
        <v>514</v>
      </c>
    </row>
    <row r="1464" spans="1:11">
      <c r="A1464" s="154" t="s">
        <v>20</v>
      </c>
      <c r="B1464" s="155" t="s">
        <v>10996</v>
      </c>
      <c r="C1464" s="132" t="s">
        <v>21</v>
      </c>
      <c r="D1464" s="132" t="s">
        <v>10997</v>
      </c>
      <c r="E1464" s="132" t="s">
        <v>10998</v>
      </c>
      <c r="F1464" s="132" t="s">
        <v>40</v>
      </c>
      <c r="G1464" s="156" t="s">
        <v>10999</v>
      </c>
      <c r="H1464" s="156" t="s">
        <v>11000</v>
      </c>
      <c r="I1464" s="168" t="s">
        <v>6091</v>
      </c>
      <c r="J1464" s="169" t="s">
        <v>88</v>
      </c>
    </row>
    <row r="1465" spans="1:11">
      <c r="A1465" s="154" t="s">
        <v>20</v>
      </c>
      <c r="B1465" s="155" t="s">
        <v>11001</v>
      </c>
      <c r="C1465" s="132" t="s">
        <v>49</v>
      </c>
      <c r="D1465" s="132" t="s">
        <v>11002</v>
      </c>
      <c r="E1465" s="132" t="s">
        <v>11003</v>
      </c>
      <c r="F1465" s="132" t="s">
        <v>40</v>
      </c>
      <c r="G1465" s="156" t="s">
        <v>11004</v>
      </c>
      <c r="H1465" s="156" t="s">
        <v>11005</v>
      </c>
      <c r="I1465" s="168" t="s">
        <v>143</v>
      </c>
      <c r="J1465" s="169" t="s">
        <v>88</v>
      </c>
    </row>
    <row r="1466" spans="1:11">
      <c r="A1466" s="154" t="s">
        <v>20</v>
      </c>
      <c r="B1466" s="155" t="s">
        <v>11006</v>
      </c>
      <c r="C1466" s="132" t="s">
        <v>21</v>
      </c>
      <c r="D1466" s="132" t="s">
        <v>11007</v>
      </c>
      <c r="E1466" s="132" t="s">
        <v>11008</v>
      </c>
      <c r="F1466" s="132" t="s">
        <v>40</v>
      </c>
      <c r="G1466" s="156" t="s">
        <v>11009</v>
      </c>
      <c r="H1466" s="156" t="s">
        <v>11010</v>
      </c>
      <c r="I1466" s="168" t="s">
        <v>1628</v>
      </c>
      <c r="J1466" s="169" t="s">
        <v>88</v>
      </c>
    </row>
    <row r="1467" spans="1:11">
      <c r="A1467" s="154" t="s">
        <v>95</v>
      </c>
      <c r="B1467" s="159" t="s">
        <v>11011</v>
      </c>
      <c r="C1467" s="132" t="s">
        <v>97</v>
      </c>
      <c r="D1467" s="132" t="s">
        <v>11012</v>
      </c>
      <c r="E1467" s="132" t="s">
        <v>11013</v>
      </c>
      <c r="F1467" s="132" t="s">
        <v>40</v>
      </c>
      <c r="G1467" s="156" t="s">
        <v>11014</v>
      </c>
      <c r="H1467" s="156" t="s">
        <v>11015</v>
      </c>
      <c r="I1467" s="168" t="s">
        <v>11016</v>
      </c>
      <c r="J1467" s="169" t="s">
        <v>514</v>
      </c>
    </row>
    <row r="1468" spans="1:11">
      <c r="A1468" s="154" t="s">
        <v>106</v>
      </c>
      <c r="B1468" s="159" t="s">
        <v>11017</v>
      </c>
      <c r="C1468" s="132" t="s">
        <v>333</v>
      </c>
      <c r="D1468" s="132" t="s">
        <v>11018</v>
      </c>
      <c r="E1468" s="132" t="s">
        <v>11019</v>
      </c>
      <c r="F1468" s="132" t="s">
        <v>40</v>
      </c>
      <c r="G1468" s="156" t="s">
        <v>11020</v>
      </c>
      <c r="H1468" s="156" t="s">
        <v>11021</v>
      </c>
      <c r="I1468" s="168" t="s">
        <v>2724</v>
      </c>
      <c r="J1468" s="169" t="s">
        <v>514</v>
      </c>
    </row>
    <row r="1469" spans="1:11">
      <c r="A1469" s="154" t="s">
        <v>95</v>
      </c>
      <c r="B1469" s="155" t="s">
        <v>11022</v>
      </c>
      <c r="C1469" s="132" t="s">
        <v>97</v>
      </c>
      <c r="D1469" s="132" t="s">
        <v>11023</v>
      </c>
      <c r="E1469" s="132" t="s">
        <v>11024</v>
      </c>
      <c r="F1469" s="132" t="s">
        <v>40</v>
      </c>
      <c r="G1469" s="156" t="s">
        <v>11025</v>
      </c>
      <c r="H1469" s="156" t="s">
        <v>11026</v>
      </c>
      <c r="I1469" s="168" t="s">
        <v>325</v>
      </c>
      <c r="J1469" s="169" t="s">
        <v>514</v>
      </c>
    </row>
    <row r="1470" spans="1:11" hidden="1">
      <c r="A1470" s="154" t="s">
        <v>95</v>
      </c>
      <c r="B1470" s="155" t="s">
        <v>11027</v>
      </c>
      <c r="C1470" s="132" t="s">
        <v>118</v>
      </c>
      <c r="D1470" s="132" t="s">
        <v>11028</v>
      </c>
      <c r="F1470" s="132" t="s">
        <v>214</v>
      </c>
      <c r="G1470" s="156" t="s">
        <v>11029</v>
      </c>
      <c r="I1470" s="168" t="s">
        <v>1241</v>
      </c>
      <c r="J1470" s="169" t="s">
        <v>514</v>
      </c>
    </row>
    <row r="1471" spans="1:11">
      <c r="A1471" s="154" t="s">
        <v>20</v>
      </c>
      <c r="B1471" s="155" t="s">
        <v>11030</v>
      </c>
      <c r="C1471" s="132" t="s">
        <v>21</v>
      </c>
      <c r="D1471" s="132" t="s">
        <v>11031</v>
      </c>
      <c r="E1471" s="132" t="s">
        <v>11032</v>
      </c>
      <c r="F1471" s="132" t="s">
        <v>40</v>
      </c>
      <c r="G1471" s="156" t="s">
        <v>11033</v>
      </c>
      <c r="H1471" s="156" t="s">
        <v>11034</v>
      </c>
      <c r="I1471" s="168" t="s">
        <v>6091</v>
      </c>
      <c r="J1471" s="169" t="s">
        <v>88</v>
      </c>
    </row>
    <row r="1472" spans="1:11">
      <c r="A1472" s="154" t="s">
        <v>20</v>
      </c>
      <c r="B1472" s="155" t="s">
        <v>11035</v>
      </c>
      <c r="C1472" s="132" t="s">
        <v>21</v>
      </c>
      <c r="D1472" s="132" t="s">
        <v>11036</v>
      </c>
      <c r="E1472" s="132" t="s">
        <v>11037</v>
      </c>
      <c r="F1472" s="132" t="s">
        <v>40</v>
      </c>
      <c r="G1472" s="156" t="s">
        <v>11038</v>
      </c>
      <c r="H1472" s="156" t="s">
        <v>11039</v>
      </c>
      <c r="I1472" s="168" t="s">
        <v>1628</v>
      </c>
      <c r="J1472" s="169" t="s">
        <v>88</v>
      </c>
    </row>
    <row r="1473" spans="1:10">
      <c r="A1473" s="154" t="s">
        <v>106</v>
      </c>
      <c r="B1473" s="155" t="s">
        <v>11040</v>
      </c>
      <c r="C1473" s="132" t="s">
        <v>108</v>
      </c>
      <c r="D1473" s="132" t="s">
        <v>11041</v>
      </c>
      <c r="E1473" s="132" t="s">
        <v>11042</v>
      </c>
      <c r="F1473" s="132" t="s">
        <v>40</v>
      </c>
      <c r="G1473" s="156" t="s">
        <v>11043</v>
      </c>
      <c r="H1473" s="156" t="s">
        <v>11039</v>
      </c>
      <c r="I1473" s="168" t="s">
        <v>3825</v>
      </c>
      <c r="J1473" s="169" t="s">
        <v>88</v>
      </c>
    </row>
    <row r="1474" spans="1:10">
      <c r="A1474" s="154" t="s">
        <v>20</v>
      </c>
      <c r="B1474" s="155" t="s">
        <v>11044</v>
      </c>
      <c r="C1474" s="132" t="s">
        <v>21</v>
      </c>
      <c r="D1474" s="132" t="s">
        <v>11045</v>
      </c>
      <c r="E1474" s="132" t="s">
        <v>11046</v>
      </c>
      <c r="F1474" s="132" t="s">
        <v>40</v>
      </c>
      <c r="G1474" s="156" t="s">
        <v>11047</v>
      </c>
      <c r="H1474" s="156" t="s">
        <v>11048</v>
      </c>
      <c r="I1474" s="168" t="s">
        <v>1628</v>
      </c>
      <c r="J1474" s="169" t="s">
        <v>88</v>
      </c>
    </row>
    <row r="1475" spans="1:10">
      <c r="A1475" s="154" t="s">
        <v>106</v>
      </c>
      <c r="B1475" s="155" t="s">
        <v>11049</v>
      </c>
      <c r="C1475" s="132" t="s">
        <v>333</v>
      </c>
      <c r="D1475" s="132" t="s">
        <v>11050</v>
      </c>
      <c r="E1475" s="132" t="s">
        <v>11051</v>
      </c>
      <c r="F1475" s="132" t="s">
        <v>40</v>
      </c>
      <c r="G1475" s="156" t="s">
        <v>11052</v>
      </c>
      <c r="H1475" s="156" t="s">
        <v>11053</v>
      </c>
      <c r="I1475" s="168" t="s">
        <v>2595</v>
      </c>
      <c r="J1475" s="169" t="s">
        <v>514</v>
      </c>
    </row>
    <row r="1476" spans="1:10">
      <c r="A1476" s="154" t="s">
        <v>95</v>
      </c>
      <c r="B1476" s="155" t="s">
        <v>11054</v>
      </c>
      <c r="C1476" s="132" t="s">
        <v>97</v>
      </c>
      <c r="D1476" s="132" t="s">
        <v>11055</v>
      </c>
      <c r="E1476" s="132" t="s">
        <v>11056</v>
      </c>
      <c r="F1476" s="132" t="s">
        <v>40</v>
      </c>
      <c r="G1476" s="156" t="s">
        <v>11057</v>
      </c>
      <c r="H1476" s="156" t="s">
        <v>11058</v>
      </c>
      <c r="I1476" s="168" t="s">
        <v>105</v>
      </c>
      <c r="J1476" s="169" t="s">
        <v>514</v>
      </c>
    </row>
    <row r="1477" spans="1:10">
      <c r="A1477" s="154" t="s">
        <v>106</v>
      </c>
      <c r="B1477" s="155" t="s">
        <v>11059</v>
      </c>
      <c r="C1477" s="132" t="s">
        <v>108</v>
      </c>
      <c r="D1477" s="132" t="s">
        <v>11060</v>
      </c>
      <c r="E1477" s="132" t="s">
        <v>11061</v>
      </c>
      <c r="F1477" s="132" t="s">
        <v>40</v>
      </c>
      <c r="G1477" s="156" t="s">
        <v>11062</v>
      </c>
      <c r="H1477" s="156" t="s">
        <v>11063</v>
      </c>
      <c r="I1477" s="168" t="s">
        <v>6223</v>
      </c>
      <c r="J1477" s="169" t="s">
        <v>514</v>
      </c>
    </row>
    <row r="1478" spans="1:10">
      <c r="A1478" s="154" t="s">
        <v>20</v>
      </c>
      <c r="B1478" s="155" t="s">
        <v>11064</v>
      </c>
      <c r="C1478" s="132" t="s">
        <v>21</v>
      </c>
      <c r="D1478" s="132" t="s">
        <v>11065</v>
      </c>
      <c r="E1478" s="132" t="s">
        <v>11066</v>
      </c>
      <c r="F1478" s="132" t="s">
        <v>40</v>
      </c>
      <c r="G1478" s="156" t="s">
        <v>11067</v>
      </c>
      <c r="H1478" s="156" t="s">
        <v>11068</v>
      </c>
      <c r="I1478" s="168" t="s">
        <v>1628</v>
      </c>
      <c r="J1478" s="169" t="s">
        <v>88</v>
      </c>
    </row>
    <row r="1479" spans="1:10">
      <c r="A1479" s="154" t="s">
        <v>20</v>
      </c>
      <c r="B1479" s="155" t="s">
        <v>11069</v>
      </c>
      <c r="C1479" s="132" t="s">
        <v>21</v>
      </c>
      <c r="D1479" s="132" t="s">
        <v>11070</v>
      </c>
      <c r="E1479" s="132" t="s">
        <v>11071</v>
      </c>
      <c r="F1479" s="132" t="s">
        <v>40</v>
      </c>
      <c r="G1479" s="156" t="s">
        <v>11072</v>
      </c>
      <c r="H1479" s="156" t="s">
        <v>11073</v>
      </c>
      <c r="I1479" s="168" t="s">
        <v>1628</v>
      </c>
      <c r="J1479" s="169" t="s">
        <v>88</v>
      </c>
    </row>
    <row r="1480" spans="1:10">
      <c r="A1480" s="154" t="s">
        <v>106</v>
      </c>
      <c r="B1480" s="155" t="s">
        <v>11074</v>
      </c>
      <c r="C1480" s="132" t="s">
        <v>108</v>
      </c>
      <c r="D1480" s="132" t="s">
        <v>11075</v>
      </c>
      <c r="E1480" s="132" t="s">
        <v>11076</v>
      </c>
      <c r="F1480" s="132" t="s">
        <v>40</v>
      </c>
      <c r="G1480" s="156" t="s">
        <v>11077</v>
      </c>
      <c r="H1480" s="156" t="s">
        <v>11068</v>
      </c>
      <c r="I1480" s="168" t="s">
        <v>6799</v>
      </c>
      <c r="J1480" s="169" t="s">
        <v>88</v>
      </c>
    </row>
    <row r="1481" spans="1:10">
      <c r="A1481" s="154" t="s">
        <v>20</v>
      </c>
      <c r="B1481" s="155" t="s">
        <v>11078</v>
      </c>
      <c r="C1481" s="132" t="s">
        <v>21</v>
      </c>
      <c r="D1481" s="132" t="s">
        <v>11079</v>
      </c>
      <c r="E1481" s="132" t="s">
        <v>11080</v>
      </c>
      <c r="F1481" s="132" t="s">
        <v>40</v>
      </c>
      <c r="G1481" s="156" t="s">
        <v>11081</v>
      </c>
      <c r="H1481" s="156" t="s">
        <v>11082</v>
      </c>
      <c r="I1481" s="168" t="s">
        <v>1628</v>
      </c>
      <c r="J1481" s="169" t="s">
        <v>88</v>
      </c>
    </row>
    <row r="1482" spans="1:10">
      <c r="A1482" s="154" t="s">
        <v>20</v>
      </c>
      <c r="B1482" s="155" t="s">
        <v>11083</v>
      </c>
      <c r="C1482" s="132" t="s">
        <v>21</v>
      </c>
      <c r="D1482" s="132" t="s">
        <v>11084</v>
      </c>
      <c r="E1482" s="132" t="s">
        <v>11085</v>
      </c>
      <c r="F1482" s="132" t="s">
        <v>40</v>
      </c>
      <c r="G1482" s="156" t="s">
        <v>11086</v>
      </c>
      <c r="H1482" s="156" t="s">
        <v>11082</v>
      </c>
      <c r="I1482" s="168" t="s">
        <v>1628</v>
      </c>
      <c r="J1482" s="169" t="s">
        <v>88</v>
      </c>
    </row>
    <row r="1483" spans="1:10">
      <c r="A1483" s="154" t="s">
        <v>95</v>
      </c>
      <c r="B1483" s="155" t="s">
        <v>11087</v>
      </c>
      <c r="C1483" s="132" t="s">
        <v>118</v>
      </c>
      <c r="D1483" s="132" t="s">
        <v>11088</v>
      </c>
      <c r="E1483" s="132" t="s">
        <v>11089</v>
      </c>
      <c r="F1483" s="132" t="s">
        <v>40</v>
      </c>
      <c r="G1483" s="156" t="s">
        <v>11090</v>
      </c>
      <c r="H1483" s="156" t="s">
        <v>11091</v>
      </c>
      <c r="I1483" s="168" t="s">
        <v>2951</v>
      </c>
      <c r="J1483" s="169" t="s">
        <v>514</v>
      </c>
    </row>
    <row r="1484" spans="1:10">
      <c r="A1484" s="154" t="s">
        <v>106</v>
      </c>
      <c r="B1484" s="155" t="s">
        <v>11092</v>
      </c>
      <c r="C1484" s="132" t="s">
        <v>108</v>
      </c>
      <c r="D1484" s="132" t="s">
        <v>11093</v>
      </c>
      <c r="E1484" s="132" t="s">
        <v>11094</v>
      </c>
      <c r="F1484" s="132" t="s">
        <v>40</v>
      </c>
      <c r="G1484" s="156" t="s">
        <v>11095</v>
      </c>
      <c r="H1484" s="156" t="s">
        <v>11096</v>
      </c>
      <c r="I1484" s="168" t="s">
        <v>6223</v>
      </c>
      <c r="J1484" s="169" t="s">
        <v>514</v>
      </c>
    </row>
    <row r="1485" spans="1:10">
      <c r="A1485" s="154" t="s">
        <v>106</v>
      </c>
      <c r="B1485" s="155" t="s">
        <v>11097</v>
      </c>
      <c r="C1485" s="132" t="s">
        <v>333</v>
      </c>
      <c r="D1485" s="132" t="s">
        <v>11098</v>
      </c>
      <c r="E1485" s="132" t="s">
        <v>11099</v>
      </c>
      <c r="F1485" s="132" t="s">
        <v>40</v>
      </c>
      <c r="G1485" s="156" t="s">
        <v>11100</v>
      </c>
      <c r="H1485" s="156" t="s">
        <v>11101</v>
      </c>
      <c r="I1485" s="168" t="s">
        <v>11102</v>
      </c>
      <c r="J1485" s="169" t="s">
        <v>514</v>
      </c>
    </row>
    <row r="1486" spans="1:10">
      <c r="A1486" s="154" t="s">
        <v>20</v>
      </c>
      <c r="B1486" s="155" t="s">
        <v>11103</v>
      </c>
      <c r="C1486" s="132" t="s">
        <v>21</v>
      </c>
      <c r="D1486" s="132" t="s">
        <v>11104</v>
      </c>
      <c r="E1486" s="132" t="s">
        <v>11105</v>
      </c>
      <c r="F1486" s="132" t="s">
        <v>40</v>
      </c>
      <c r="G1486" s="156" t="s">
        <v>11106</v>
      </c>
      <c r="H1486" s="156" t="s">
        <v>11107</v>
      </c>
      <c r="I1486" s="168" t="s">
        <v>6091</v>
      </c>
      <c r="J1486" s="169" t="s">
        <v>514</v>
      </c>
    </row>
    <row r="1487" spans="1:10" ht="29">
      <c r="A1487" s="154" t="s">
        <v>106</v>
      </c>
      <c r="B1487" s="155" t="s">
        <v>11108</v>
      </c>
      <c r="C1487" s="132" t="s">
        <v>108</v>
      </c>
      <c r="D1487" s="132" t="s">
        <v>11109</v>
      </c>
      <c r="E1487" s="137" t="s">
        <v>11110</v>
      </c>
      <c r="F1487" s="132" t="s">
        <v>40</v>
      </c>
      <c r="G1487" s="156" t="s">
        <v>11111</v>
      </c>
      <c r="H1487" s="156" t="s">
        <v>11112</v>
      </c>
      <c r="I1487" s="168" t="s">
        <v>6223</v>
      </c>
      <c r="J1487" s="169" t="s">
        <v>514</v>
      </c>
    </row>
    <row r="1488" spans="1:10" hidden="1">
      <c r="A1488" s="154" t="s">
        <v>106</v>
      </c>
      <c r="B1488" s="155" t="s">
        <v>11113</v>
      </c>
      <c r="C1488" s="132" t="s">
        <v>108</v>
      </c>
      <c r="D1488" s="132" t="s">
        <v>11114</v>
      </c>
      <c r="F1488" s="132" t="s">
        <v>214</v>
      </c>
      <c r="G1488" s="156" t="s">
        <v>11115</v>
      </c>
      <c r="I1488" s="168" t="s">
        <v>105</v>
      </c>
      <c r="J1488" s="169" t="s">
        <v>514</v>
      </c>
    </row>
    <row r="1489" spans="1:11">
      <c r="A1489" s="154" t="s">
        <v>95</v>
      </c>
      <c r="B1489" s="155" t="s">
        <v>11116</v>
      </c>
      <c r="C1489" s="132" t="s">
        <v>97</v>
      </c>
      <c r="D1489" s="132" t="s">
        <v>11117</v>
      </c>
      <c r="E1489" s="132" t="s">
        <v>11118</v>
      </c>
      <c r="F1489" s="132" t="s">
        <v>40</v>
      </c>
      <c r="G1489" s="156" t="s">
        <v>11119</v>
      </c>
      <c r="H1489" s="156" t="s">
        <v>11120</v>
      </c>
      <c r="I1489" s="168" t="s">
        <v>2951</v>
      </c>
      <c r="J1489" s="169" t="s">
        <v>514</v>
      </c>
    </row>
    <row r="1490" spans="1:11">
      <c r="A1490" s="164" t="s">
        <v>20</v>
      </c>
      <c r="B1490" s="155" t="s">
        <v>11121</v>
      </c>
      <c r="C1490" s="132" t="s">
        <v>21</v>
      </c>
      <c r="D1490" s="132" t="s">
        <v>11122</v>
      </c>
      <c r="E1490" s="132" t="s">
        <v>11123</v>
      </c>
      <c r="F1490" s="132" t="s">
        <v>40</v>
      </c>
      <c r="G1490" s="156" t="s">
        <v>11124</v>
      </c>
      <c r="H1490" s="156" t="s">
        <v>11125</v>
      </c>
      <c r="I1490" s="168" t="s">
        <v>1628</v>
      </c>
      <c r="J1490" s="169" t="s">
        <v>88</v>
      </c>
    </row>
    <row r="1491" spans="1:11">
      <c r="A1491" s="164" t="s">
        <v>20</v>
      </c>
      <c r="B1491" s="159" t="s">
        <v>11126</v>
      </c>
      <c r="C1491" s="132" t="s">
        <v>13</v>
      </c>
      <c r="D1491" s="132" t="s">
        <v>11127</v>
      </c>
      <c r="E1491" s="132" t="s">
        <v>11128</v>
      </c>
      <c r="F1491" s="132" t="s">
        <v>40</v>
      </c>
      <c r="G1491" s="156" t="s">
        <v>11129</v>
      </c>
      <c r="H1491" s="156" t="s">
        <v>11130</v>
      </c>
      <c r="I1491" s="168" t="s">
        <v>8015</v>
      </c>
      <c r="J1491" s="169" t="s">
        <v>88</v>
      </c>
    </row>
    <row r="1492" spans="1:11">
      <c r="A1492" s="164" t="s">
        <v>106</v>
      </c>
      <c r="B1492" s="159" t="s">
        <v>11131</v>
      </c>
      <c r="C1492" s="132" t="s">
        <v>108</v>
      </c>
      <c r="D1492" s="132" t="s">
        <v>11132</v>
      </c>
      <c r="E1492" s="132" t="s">
        <v>11133</v>
      </c>
      <c r="F1492" s="132" t="s">
        <v>40</v>
      </c>
      <c r="G1492" s="156" t="s">
        <v>11134</v>
      </c>
      <c r="H1492" s="156" t="s">
        <v>11130</v>
      </c>
      <c r="I1492" s="168" t="s">
        <v>11135</v>
      </c>
      <c r="J1492" s="169" t="s">
        <v>88</v>
      </c>
    </row>
    <row r="1493" spans="1:11">
      <c r="A1493" s="164" t="s">
        <v>20</v>
      </c>
      <c r="B1493" s="159" t="s">
        <v>11136</v>
      </c>
      <c r="C1493" s="132" t="s">
        <v>21</v>
      </c>
      <c r="D1493" s="132" t="s">
        <v>9076</v>
      </c>
      <c r="E1493" s="132" t="s">
        <v>11137</v>
      </c>
      <c r="F1493" s="132" t="s">
        <v>40</v>
      </c>
      <c r="G1493" s="156" t="s">
        <v>11138</v>
      </c>
      <c r="H1493" s="156" t="s">
        <v>11139</v>
      </c>
      <c r="I1493" s="168" t="s">
        <v>1628</v>
      </c>
      <c r="J1493" s="169" t="s">
        <v>88</v>
      </c>
    </row>
    <row r="1494" spans="1:11">
      <c r="A1494" s="164" t="s">
        <v>20</v>
      </c>
      <c r="B1494" s="159" t="s">
        <v>11140</v>
      </c>
      <c r="C1494" s="132" t="s">
        <v>21</v>
      </c>
      <c r="D1494" s="132" t="s">
        <v>11141</v>
      </c>
      <c r="E1494" s="132" t="s">
        <v>11142</v>
      </c>
      <c r="F1494" s="132" t="s">
        <v>40</v>
      </c>
      <c r="G1494" s="156" t="s">
        <v>11143</v>
      </c>
      <c r="H1494" s="156" t="s">
        <v>11144</v>
      </c>
      <c r="I1494" s="168" t="s">
        <v>1628</v>
      </c>
      <c r="J1494" s="169" t="s">
        <v>88</v>
      </c>
    </row>
    <row r="1495" spans="1:11">
      <c r="A1495" s="164" t="s">
        <v>20</v>
      </c>
      <c r="B1495" s="159" t="s">
        <v>11145</v>
      </c>
      <c r="C1495" s="132" t="s">
        <v>21</v>
      </c>
      <c r="D1495" s="132" t="s">
        <v>11146</v>
      </c>
      <c r="E1495" s="132" t="s">
        <v>11147</v>
      </c>
      <c r="F1495" s="132" t="s">
        <v>40</v>
      </c>
      <c r="G1495" s="156" t="s">
        <v>11148</v>
      </c>
      <c r="H1495" s="156" t="s">
        <v>11149</v>
      </c>
      <c r="I1495" s="168" t="s">
        <v>1628</v>
      </c>
      <c r="J1495" s="169" t="s">
        <v>88</v>
      </c>
    </row>
    <row r="1496" spans="1:11">
      <c r="A1496" s="164" t="s">
        <v>106</v>
      </c>
      <c r="B1496" s="159" t="s">
        <v>11150</v>
      </c>
      <c r="C1496" s="132" t="s">
        <v>333</v>
      </c>
      <c r="D1496" s="132" t="s">
        <v>11151</v>
      </c>
      <c r="E1496" s="132" t="s">
        <v>11152</v>
      </c>
      <c r="F1496" s="132" t="s">
        <v>40</v>
      </c>
      <c r="G1496" s="156" t="s">
        <v>11153</v>
      </c>
      <c r="H1496" s="156">
        <v>45298.331250000003</v>
      </c>
      <c r="I1496" s="132" t="s">
        <v>32</v>
      </c>
      <c r="J1496" s="169" t="s">
        <v>94</v>
      </c>
      <c r="K1496" s="132"/>
    </row>
    <row r="1497" spans="1:11">
      <c r="A1497" s="164" t="s">
        <v>95</v>
      </c>
      <c r="B1497" s="159" t="s">
        <v>11154</v>
      </c>
      <c r="C1497" s="132" t="s">
        <v>97</v>
      </c>
      <c r="D1497" s="132" t="s">
        <v>10163</v>
      </c>
      <c r="E1497" s="132" t="s">
        <v>10087</v>
      </c>
      <c r="F1497" s="132" t="s">
        <v>40</v>
      </c>
      <c r="G1497" s="156" t="s">
        <v>11155</v>
      </c>
      <c r="I1497" s="168" t="s">
        <v>32</v>
      </c>
      <c r="J1497" s="169" t="s">
        <v>94</v>
      </c>
    </row>
    <row r="1498" spans="1:11">
      <c r="A1498" s="164" t="s">
        <v>95</v>
      </c>
      <c r="B1498" s="159" t="s">
        <v>11156</v>
      </c>
      <c r="C1498" s="132" t="s">
        <v>113</v>
      </c>
      <c r="D1498" s="132" t="s">
        <v>10091</v>
      </c>
      <c r="E1498" s="132" t="s">
        <v>11157</v>
      </c>
      <c r="F1498" s="132" t="s">
        <v>40</v>
      </c>
      <c r="G1498" s="156" t="s">
        <v>11158</v>
      </c>
      <c r="H1498" s="156" t="s">
        <v>11159</v>
      </c>
      <c r="I1498" s="168" t="s">
        <v>32</v>
      </c>
      <c r="J1498" s="169" t="s">
        <v>94</v>
      </c>
    </row>
    <row r="1499" spans="1:11">
      <c r="A1499" s="164" t="s">
        <v>95</v>
      </c>
      <c r="B1499" s="159" t="s">
        <v>11160</v>
      </c>
      <c r="C1499" s="132" t="s">
        <v>118</v>
      </c>
      <c r="D1499" s="132" t="s">
        <v>10086</v>
      </c>
      <c r="E1499" s="132" t="s">
        <v>11157</v>
      </c>
      <c r="F1499" s="132" t="s">
        <v>40</v>
      </c>
      <c r="G1499" s="156" t="s">
        <v>11158</v>
      </c>
      <c r="H1499" s="156" t="s">
        <v>11161</v>
      </c>
      <c r="I1499" s="132" t="s">
        <v>32</v>
      </c>
      <c r="J1499" s="169" t="s">
        <v>94</v>
      </c>
      <c r="K1499" s="132"/>
    </row>
    <row r="1500" spans="1:11">
      <c r="A1500" s="164" t="s">
        <v>106</v>
      </c>
      <c r="B1500" s="159" t="s">
        <v>11162</v>
      </c>
      <c r="C1500" s="132" t="s">
        <v>108</v>
      </c>
      <c r="D1500" s="132" t="s">
        <v>11163</v>
      </c>
      <c r="E1500" s="132" t="s">
        <v>11164</v>
      </c>
      <c r="F1500" s="132" t="s">
        <v>40</v>
      </c>
      <c r="G1500" s="156" t="s">
        <v>11165</v>
      </c>
      <c r="H1500" s="156" t="s">
        <v>11166</v>
      </c>
      <c r="I1500" s="168" t="s">
        <v>3825</v>
      </c>
      <c r="J1500" s="169" t="s">
        <v>88</v>
      </c>
    </row>
    <row r="1501" spans="1:11">
      <c r="A1501" s="164" t="s">
        <v>20</v>
      </c>
      <c r="B1501" s="159" t="s">
        <v>11167</v>
      </c>
      <c r="C1501" s="132" t="s">
        <v>21</v>
      </c>
      <c r="D1501" s="132" t="s">
        <v>11168</v>
      </c>
      <c r="E1501" s="132" t="s">
        <v>11169</v>
      </c>
      <c r="F1501" s="132" t="s">
        <v>40</v>
      </c>
      <c r="G1501" s="156" t="s">
        <v>11170</v>
      </c>
      <c r="H1501" s="156" t="s">
        <v>11171</v>
      </c>
      <c r="I1501" s="168" t="s">
        <v>1628</v>
      </c>
      <c r="J1501" s="169" t="s">
        <v>88</v>
      </c>
    </row>
    <row r="1502" spans="1:11">
      <c r="A1502" s="164" t="s">
        <v>20</v>
      </c>
      <c r="B1502" s="159" t="s">
        <v>11172</v>
      </c>
      <c r="C1502" s="132" t="s">
        <v>21</v>
      </c>
      <c r="D1502" s="132" t="s">
        <v>11173</v>
      </c>
      <c r="E1502" s="132" t="s">
        <v>11174</v>
      </c>
      <c r="F1502" s="132" t="s">
        <v>40</v>
      </c>
      <c r="G1502" s="156" t="s">
        <v>11175</v>
      </c>
      <c r="H1502" s="156" t="s">
        <v>11176</v>
      </c>
      <c r="I1502" s="168" t="s">
        <v>1628</v>
      </c>
      <c r="J1502" s="169" t="s">
        <v>88</v>
      </c>
    </row>
    <row r="1503" spans="1:11">
      <c r="A1503" s="164" t="s">
        <v>20</v>
      </c>
      <c r="B1503" s="155" t="s">
        <v>11177</v>
      </c>
      <c r="C1503" s="132" t="s">
        <v>21</v>
      </c>
      <c r="D1503" s="132" t="s">
        <v>11178</v>
      </c>
      <c r="E1503" s="132" t="s">
        <v>11179</v>
      </c>
      <c r="F1503" s="132" t="s">
        <v>40</v>
      </c>
      <c r="G1503" s="156" t="s">
        <v>11180</v>
      </c>
      <c r="H1503" s="156" t="s">
        <v>11181</v>
      </c>
      <c r="I1503" s="168" t="s">
        <v>1628</v>
      </c>
      <c r="J1503" s="169" t="s">
        <v>88</v>
      </c>
    </row>
    <row r="1504" spans="1:11">
      <c r="A1504" s="154" t="s">
        <v>106</v>
      </c>
      <c r="B1504" s="159" t="s">
        <v>11182</v>
      </c>
      <c r="C1504" s="132" t="s">
        <v>108</v>
      </c>
      <c r="D1504" s="132" t="s">
        <v>11183</v>
      </c>
      <c r="E1504" s="132" t="s">
        <v>11184</v>
      </c>
      <c r="F1504" s="132" t="s">
        <v>40</v>
      </c>
      <c r="G1504" s="156" t="s">
        <v>11185</v>
      </c>
      <c r="H1504" s="156" t="s">
        <v>11186</v>
      </c>
      <c r="I1504" s="168" t="s">
        <v>6006</v>
      </c>
      <c r="J1504" s="169" t="s">
        <v>514</v>
      </c>
    </row>
    <row r="1505" spans="1:11">
      <c r="A1505" s="164" t="s">
        <v>106</v>
      </c>
      <c r="B1505" s="159" t="s">
        <v>11187</v>
      </c>
      <c r="C1505" s="132" t="s">
        <v>108</v>
      </c>
      <c r="D1505" s="132" t="s">
        <v>11188</v>
      </c>
      <c r="E1505" s="132" t="s">
        <v>11189</v>
      </c>
      <c r="F1505" s="132" t="s">
        <v>40</v>
      </c>
      <c r="G1505" s="156" t="s">
        <v>11190</v>
      </c>
      <c r="H1505" s="156" t="s">
        <v>11191</v>
      </c>
      <c r="I1505" s="132" t="s">
        <v>1173</v>
      </c>
      <c r="J1505" s="132" t="s">
        <v>514</v>
      </c>
      <c r="K1505" s="132"/>
    </row>
    <row r="1506" spans="1:11">
      <c r="A1506" s="164" t="s">
        <v>106</v>
      </c>
      <c r="B1506" s="155" t="s">
        <v>11192</v>
      </c>
      <c r="C1506" s="132" t="s">
        <v>49</v>
      </c>
      <c r="D1506" s="132" t="s">
        <v>11193</v>
      </c>
      <c r="E1506" s="132" t="s">
        <v>11194</v>
      </c>
      <c r="F1506" s="132" t="s">
        <v>40</v>
      </c>
      <c r="G1506" s="156" t="s">
        <v>11195</v>
      </c>
      <c r="H1506" s="156" t="s">
        <v>11196</v>
      </c>
      <c r="I1506" s="132" t="s">
        <v>161</v>
      </c>
      <c r="J1506" s="132" t="s">
        <v>514</v>
      </c>
      <c r="K1506" s="132"/>
    </row>
    <row r="1507" spans="1:11">
      <c r="A1507" s="154" t="s">
        <v>106</v>
      </c>
      <c r="B1507" s="159" t="s">
        <v>11197</v>
      </c>
      <c r="C1507" s="132" t="s">
        <v>78</v>
      </c>
      <c r="D1507" s="132" t="s">
        <v>11198</v>
      </c>
      <c r="E1507" s="132" t="s">
        <v>11199</v>
      </c>
      <c r="F1507" s="132" t="s">
        <v>40</v>
      </c>
      <c r="G1507" s="156" t="s">
        <v>11200</v>
      </c>
      <c r="H1507" s="156" t="s">
        <v>11201</v>
      </c>
      <c r="I1507" s="132" t="s">
        <v>258</v>
      </c>
      <c r="J1507" s="132" t="s">
        <v>514</v>
      </c>
      <c r="K1507" s="132"/>
    </row>
    <row r="1508" spans="1:11" hidden="1">
      <c r="A1508" s="154" t="s">
        <v>106</v>
      </c>
      <c r="B1508" s="159" t="s">
        <v>11202</v>
      </c>
      <c r="C1508" s="132" t="s">
        <v>108</v>
      </c>
      <c r="D1508" s="132" t="s">
        <v>11203</v>
      </c>
      <c r="E1508" s="132" t="s">
        <v>11204</v>
      </c>
      <c r="F1508" s="132" t="s">
        <v>308</v>
      </c>
      <c r="G1508" s="156" t="s">
        <v>11205</v>
      </c>
      <c r="H1508" s="156">
        <v>45298.455555555556</v>
      </c>
      <c r="I1508" s="168" t="s">
        <v>111</v>
      </c>
      <c r="J1508" s="169" t="s">
        <v>94</v>
      </c>
    </row>
    <row r="1509" spans="1:11">
      <c r="A1509" s="154" t="s">
        <v>95</v>
      </c>
      <c r="B1509" s="159" t="s">
        <v>11206</v>
      </c>
      <c r="C1509" s="132" t="s">
        <v>1763</v>
      </c>
      <c r="D1509" s="132" t="s">
        <v>11207</v>
      </c>
      <c r="E1509" s="132" t="s">
        <v>11157</v>
      </c>
      <c r="F1509" s="132" t="s">
        <v>40</v>
      </c>
      <c r="G1509" s="156" t="s">
        <v>11208</v>
      </c>
      <c r="H1509" s="156" t="s">
        <v>11209</v>
      </c>
      <c r="I1509" s="132" t="s">
        <v>32</v>
      </c>
      <c r="J1509" s="132" t="s">
        <v>94</v>
      </c>
      <c r="K1509" s="132"/>
    </row>
    <row r="1510" spans="1:11" hidden="1">
      <c r="A1510" s="154" t="s">
        <v>95</v>
      </c>
      <c r="B1510" s="159" t="s">
        <v>11210</v>
      </c>
      <c r="C1510" s="132" t="s">
        <v>28</v>
      </c>
      <c r="D1510" s="132" t="s">
        <v>11211</v>
      </c>
      <c r="F1510" s="132" t="s">
        <v>214</v>
      </c>
      <c r="G1510" s="156" t="s">
        <v>11212</v>
      </c>
      <c r="H1510" s="156">
        <v>45511.822916666664</v>
      </c>
      <c r="I1510" s="132" t="s">
        <v>980</v>
      </c>
      <c r="J1510" s="132" t="s">
        <v>514</v>
      </c>
      <c r="K1510" s="132"/>
    </row>
    <row r="1511" spans="1:11">
      <c r="A1511" s="164" t="s">
        <v>20</v>
      </c>
      <c r="B1511" s="155" t="s">
        <v>11213</v>
      </c>
      <c r="C1511" s="132" t="s">
        <v>21</v>
      </c>
      <c r="D1511" s="132" t="s">
        <v>11214</v>
      </c>
      <c r="E1511" s="132" t="s">
        <v>11215</v>
      </c>
      <c r="F1511" s="132" t="s">
        <v>40</v>
      </c>
      <c r="G1511" s="156" t="s">
        <v>11216</v>
      </c>
      <c r="H1511" s="156" t="s">
        <v>11217</v>
      </c>
      <c r="I1511" s="132" t="s">
        <v>1628</v>
      </c>
      <c r="J1511" s="169" t="s">
        <v>88</v>
      </c>
      <c r="K1511" s="132"/>
    </row>
    <row r="1512" spans="1:11">
      <c r="A1512" s="164" t="s">
        <v>20</v>
      </c>
      <c r="B1512" s="159" t="s">
        <v>11218</v>
      </c>
      <c r="C1512" s="132" t="s">
        <v>21</v>
      </c>
      <c r="D1512" s="132" t="s">
        <v>11219</v>
      </c>
      <c r="E1512" s="132" t="s">
        <v>11220</v>
      </c>
      <c r="F1512" s="132" t="s">
        <v>40</v>
      </c>
      <c r="G1512" s="156" t="s">
        <v>11221</v>
      </c>
      <c r="H1512" s="156" t="s">
        <v>11222</v>
      </c>
      <c r="I1512" s="168" t="s">
        <v>1628</v>
      </c>
      <c r="J1512" s="169" t="s">
        <v>88</v>
      </c>
    </row>
    <row r="1513" spans="1:11">
      <c r="A1513" s="164" t="s">
        <v>20</v>
      </c>
      <c r="B1513" s="155" t="s">
        <v>11223</v>
      </c>
      <c r="C1513" s="132" t="s">
        <v>21</v>
      </c>
      <c r="D1513" s="132" t="s">
        <v>11224</v>
      </c>
      <c r="E1513" s="132" t="s">
        <v>11225</v>
      </c>
      <c r="F1513" s="132" t="s">
        <v>40</v>
      </c>
      <c r="G1513" s="156" t="s">
        <v>11221</v>
      </c>
      <c r="H1513" s="156" t="s">
        <v>11226</v>
      </c>
      <c r="I1513" s="132" t="s">
        <v>1628</v>
      </c>
      <c r="J1513" s="169" t="s">
        <v>88</v>
      </c>
      <c r="K1513" s="132"/>
    </row>
    <row r="1514" spans="1:11">
      <c r="A1514" s="164" t="s">
        <v>20</v>
      </c>
      <c r="B1514" s="155" t="s">
        <v>11227</v>
      </c>
      <c r="C1514" s="132" t="s">
        <v>21</v>
      </c>
      <c r="D1514" s="132" t="s">
        <v>11228</v>
      </c>
      <c r="E1514" s="132" t="s">
        <v>11229</v>
      </c>
      <c r="F1514" s="132" t="s">
        <v>40</v>
      </c>
      <c r="G1514" s="156" t="s">
        <v>11230</v>
      </c>
      <c r="H1514" s="156" t="s">
        <v>11231</v>
      </c>
      <c r="I1514" s="132" t="s">
        <v>1628</v>
      </c>
      <c r="J1514" s="169" t="s">
        <v>88</v>
      </c>
      <c r="K1514" s="132"/>
    </row>
    <row r="1515" spans="1:11">
      <c r="A1515" s="164" t="s">
        <v>106</v>
      </c>
      <c r="B1515" s="155" t="s">
        <v>11232</v>
      </c>
      <c r="C1515" s="132" t="s">
        <v>108</v>
      </c>
      <c r="D1515" s="132" t="s">
        <v>11233</v>
      </c>
      <c r="E1515" s="132" t="s">
        <v>11234</v>
      </c>
      <c r="F1515" s="132" t="s">
        <v>40</v>
      </c>
      <c r="G1515" s="156" t="s">
        <v>11235</v>
      </c>
      <c r="H1515" s="156" t="s">
        <v>11236</v>
      </c>
      <c r="I1515" s="132" t="s">
        <v>3825</v>
      </c>
      <c r="J1515" s="169" t="s">
        <v>88</v>
      </c>
      <c r="K1515" s="132"/>
    </row>
    <row r="1516" spans="1:11">
      <c r="A1516" s="164" t="s">
        <v>106</v>
      </c>
      <c r="B1516" s="155" t="s">
        <v>11237</v>
      </c>
      <c r="C1516" s="132" t="s">
        <v>333</v>
      </c>
      <c r="D1516" s="132" t="s">
        <v>11238</v>
      </c>
      <c r="E1516" s="132" t="s">
        <v>11239</v>
      </c>
      <c r="F1516" s="132" t="s">
        <v>40</v>
      </c>
      <c r="G1516" s="156" t="s">
        <v>11240</v>
      </c>
      <c r="H1516" s="156" t="s">
        <v>11241</v>
      </c>
      <c r="I1516" s="132" t="s">
        <v>346</v>
      </c>
      <c r="J1516" s="169" t="s">
        <v>72</v>
      </c>
      <c r="K1516" s="132"/>
    </row>
    <row r="1517" spans="1:11">
      <c r="A1517" s="164" t="s">
        <v>106</v>
      </c>
      <c r="B1517" s="155" t="s">
        <v>11242</v>
      </c>
      <c r="C1517" s="132" t="s">
        <v>108</v>
      </c>
      <c r="D1517" s="132" t="s">
        <v>11243</v>
      </c>
      <c r="E1517" s="132" t="s">
        <v>11244</v>
      </c>
      <c r="F1517" s="132" t="s">
        <v>40</v>
      </c>
      <c r="G1517" s="156" t="s">
        <v>11245</v>
      </c>
      <c r="H1517" s="156" t="s">
        <v>11245</v>
      </c>
      <c r="I1517" s="132"/>
      <c r="J1517" s="169" t="s">
        <v>72</v>
      </c>
      <c r="K1517" s="132"/>
    </row>
    <row r="1518" spans="1:11">
      <c r="A1518" s="164" t="s">
        <v>95</v>
      </c>
      <c r="B1518" s="155" t="s">
        <v>11246</v>
      </c>
      <c r="C1518" s="132" t="s">
        <v>6047</v>
      </c>
      <c r="D1518" s="132" t="s">
        <v>11247</v>
      </c>
      <c r="E1518" s="132" t="s">
        <v>11248</v>
      </c>
      <c r="F1518" s="132" t="s">
        <v>40</v>
      </c>
      <c r="G1518" s="156" t="s">
        <v>11249</v>
      </c>
      <c r="H1518" s="156" t="s">
        <v>11250</v>
      </c>
      <c r="I1518" s="132" t="s">
        <v>1173</v>
      </c>
      <c r="J1518" s="169" t="s">
        <v>72</v>
      </c>
      <c r="K1518" s="132"/>
    </row>
    <row r="1519" spans="1:11">
      <c r="A1519" s="164" t="s">
        <v>20</v>
      </c>
      <c r="B1519" s="155" t="s">
        <v>11251</v>
      </c>
      <c r="C1519" s="132" t="s">
        <v>13</v>
      </c>
      <c r="D1519" s="132" t="s">
        <v>11252</v>
      </c>
      <c r="E1519" s="132" t="s">
        <v>11253</v>
      </c>
      <c r="F1519" s="132" t="s">
        <v>40</v>
      </c>
      <c r="G1519" s="156" t="s">
        <v>11254</v>
      </c>
      <c r="H1519" s="156" t="s">
        <v>11255</v>
      </c>
      <c r="I1519" s="132" t="s">
        <v>32</v>
      </c>
      <c r="J1519" s="169" t="s">
        <v>72</v>
      </c>
      <c r="K1519" s="132"/>
    </row>
    <row r="1520" spans="1:11">
      <c r="A1520" s="164" t="s">
        <v>106</v>
      </c>
      <c r="B1520" s="182" t="s">
        <v>11256</v>
      </c>
      <c r="C1520" s="132" t="s">
        <v>108</v>
      </c>
      <c r="D1520" s="132" t="s">
        <v>11257</v>
      </c>
      <c r="E1520" s="132" t="s">
        <v>11258</v>
      </c>
      <c r="F1520" s="132" t="s">
        <v>40</v>
      </c>
      <c r="G1520" s="156" t="s">
        <v>11259</v>
      </c>
      <c r="H1520" s="156" t="s">
        <v>11260</v>
      </c>
      <c r="I1520" s="132" t="s">
        <v>1173</v>
      </c>
      <c r="J1520" s="169" t="s">
        <v>72</v>
      </c>
      <c r="K1520" s="132"/>
    </row>
    <row r="1521" spans="1:11">
      <c r="A1521" s="164" t="s">
        <v>106</v>
      </c>
      <c r="B1521" s="155" t="s">
        <v>11261</v>
      </c>
      <c r="C1521" s="132" t="s">
        <v>78</v>
      </c>
      <c r="D1521" s="132" t="s">
        <v>11262</v>
      </c>
      <c r="E1521" s="132" t="s">
        <v>11244</v>
      </c>
      <c r="F1521" s="132" t="s">
        <v>40</v>
      </c>
      <c r="G1521" s="156" t="s">
        <v>11263</v>
      </c>
      <c r="H1521" s="156" t="s">
        <v>11264</v>
      </c>
      <c r="I1521" s="132" t="s">
        <v>258</v>
      </c>
      <c r="J1521" s="169" t="s">
        <v>72</v>
      </c>
      <c r="K1521" s="132"/>
    </row>
    <row r="1522" spans="1:11">
      <c r="A1522" s="164" t="s">
        <v>106</v>
      </c>
      <c r="B1522" s="155" t="s">
        <v>11265</v>
      </c>
      <c r="C1522" s="132" t="s">
        <v>108</v>
      </c>
      <c r="D1522" s="132" t="s">
        <v>11266</v>
      </c>
      <c r="E1522" s="132" t="s">
        <v>11267</v>
      </c>
      <c r="F1522" s="132" t="s">
        <v>40</v>
      </c>
      <c r="G1522" s="156" t="s">
        <v>11268</v>
      </c>
      <c r="H1522" s="156" t="s">
        <v>11269</v>
      </c>
      <c r="I1522" s="132" t="s">
        <v>11270</v>
      </c>
      <c r="J1522" s="169" t="s">
        <v>72</v>
      </c>
      <c r="K1522" s="132" t="s">
        <v>9367</v>
      </c>
    </row>
    <row r="1523" spans="1:11">
      <c r="A1523" s="164" t="s">
        <v>106</v>
      </c>
      <c r="B1523" s="155" t="s">
        <v>11271</v>
      </c>
      <c r="C1523" s="132" t="s">
        <v>108</v>
      </c>
      <c r="D1523" s="132" t="s">
        <v>11272</v>
      </c>
      <c r="E1523" s="132" t="s">
        <v>11273</v>
      </c>
      <c r="F1523" s="132" t="s">
        <v>40</v>
      </c>
      <c r="G1523" s="156" t="s">
        <v>11274</v>
      </c>
      <c r="H1523" s="156" t="s">
        <v>11275</v>
      </c>
      <c r="I1523" s="132" t="s">
        <v>1470</v>
      </c>
      <c r="J1523" s="169" t="s">
        <v>9367</v>
      </c>
      <c r="K1523" s="132"/>
    </row>
    <row r="1524" spans="1:11">
      <c r="A1524" s="164" t="s">
        <v>106</v>
      </c>
      <c r="B1524" s="155" t="s">
        <v>11276</v>
      </c>
      <c r="C1524" s="132" t="s">
        <v>108</v>
      </c>
      <c r="D1524" s="132" t="s">
        <v>11277</v>
      </c>
      <c r="E1524" s="132" t="s">
        <v>11278</v>
      </c>
      <c r="F1524" s="132" t="s">
        <v>40</v>
      </c>
      <c r="G1524" s="156" t="s">
        <v>11279</v>
      </c>
      <c r="H1524" s="156" t="s">
        <v>11280</v>
      </c>
      <c r="I1524" s="132" t="s">
        <v>1470</v>
      </c>
      <c r="J1524" s="169" t="s">
        <v>9367</v>
      </c>
      <c r="K1524" s="132"/>
    </row>
    <row r="1525" spans="1:11">
      <c r="A1525" s="164" t="s">
        <v>20</v>
      </c>
      <c r="B1525" s="155" t="s">
        <v>11281</v>
      </c>
      <c r="C1525" s="132" t="s">
        <v>21</v>
      </c>
      <c r="D1525" s="132" t="s">
        <v>11282</v>
      </c>
      <c r="E1525" s="132" t="s">
        <v>11283</v>
      </c>
      <c r="F1525" s="132" t="s">
        <v>40</v>
      </c>
      <c r="G1525" s="156" t="s">
        <v>11284</v>
      </c>
      <c r="H1525" s="156" t="s">
        <v>11285</v>
      </c>
      <c r="I1525" s="132" t="s">
        <v>64</v>
      </c>
      <c r="J1525" s="169" t="s">
        <v>9367</v>
      </c>
      <c r="K1525" s="132"/>
    </row>
    <row r="1526" spans="1:11">
      <c r="A1526" s="164" t="s">
        <v>106</v>
      </c>
      <c r="B1526" s="155" t="s">
        <v>11286</v>
      </c>
      <c r="C1526" s="132" t="s">
        <v>108</v>
      </c>
      <c r="D1526" s="132" t="s">
        <v>10846</v>
      </c>
      <c r="E1526" s="132" t="s">
        <v>10847</v>
      </c>
      <c r="F1526" s="132" t="s">
        <v>40</v>
      </c>
      <c r="G1526" s="156" t="s">
        <v>11287</v>
      </c>
      <c r="H1526" s="156" t="s">
        <v>11288</v>
      </c>
      <c r="I1526" s="132" t="s">
        <v>1470</v>
      </c>
      <c r="J1526" s="169" t="s">
        <v>9367</v>
      </c>
      <c r="K1526" s="132"/>
    </row>
    <row r="1527" spans="1:11">
      <c r="A1527" s="164" t="s">
        <v>20</v>
      </c>
      <c r="B1527" s="155" t="s">
        <v>11289</v>
      </c>
      <c r="C1527" s="132" t="s">
        <v>13</v>
      </c>
      <c r="D1527" s="132" t="s">
        <v>11290</v>
      </c>
      <c r="E1527" s="132" t="s">
        <v>11291</v>
      </c>
      <c r="F1527" s="132" t="s">
        <v>40</v>
      </c>
      <c r="G1527" s="156" t="s">
        <v>11292</v>
      </c>
      <c r="H1527" s="156" t="s">
        <v>11293</v>
      </c>
      <c r="I1527" s="132" t="s">
        <v>2618</v>
      </c>
      <c r="J1527" s="169" t="s">
        <v>72</v>
      </c>
      <c r="K1527" s="132" t="s">
        <v>9367</v>
      </c>
    </row>
    <row r="1528" spans="1:11">
      <c r="A1528" s="164" t="s">
        <v>106</v>
      </c>
      <c r="B1528" s="155" t="s">
        <v>11294</v>
      </c>
      <c r="C1528" s="132" t="s">
        <v>108</v>
      </c>
      <c r="D1528" s="132" t="s">
        <v>1989</v>
      </c>
      <c r="E1528" s="132" t="s">
        <v>11295</v>
      </c>
      <c r="F1528" s="132" t="s">
        <v>40</v>
      </c>
      <c r="G1528" s="156" t="s">
        <v>11296</v>
      </c>
      <c r="H1528" s="156" t="s">
        <v>11297</v>
      </c>
      <c r="I1528" s="132" t="s">
        <v>616</v>
      </c>
      <c r="J1528" s="169" t="s">
        <v>72</v>
      </c>
      <c r="K1528" s="132"/>
    </row>
    <row r="1529" spans="1:11">
      <c r="A1529" s="164" t="s">
        <v>106</v>
      </c>
      <c r="B1529" s="159" t="s">
        <v>11298</v>
      </c>
      <c r="C1529" s="132" t="s">
        <v>108</v>
      </c>
      <c r="D1529" s="132" t="s">
        <v>11299</v>
      </c>
      <c r="E1529" s="132" t="s">
        <v>11300</v>
      </c>
      <c r="F1529" s="132" t="s">
        <v>40</v>
      </c>
      <c r="G1529" s="156" t="s">
        <v>11301</v>
      </c>
      <c r="H1529" s="156" t="s">
        <v>11302</v>
      </c>
      <c r="I1529" s="168" t="s">
        <v>1651</v>
      </c>
      <c r="J1529" s="169" t="s">
        <v>72</v>
      </c>
    </row>
    <row r="1530" spans="1:11">
      <c r="A1530" s="164" t="s">
        <v>106</v>
      </c>
      <c r="B1530" s="155" t="s">
        <v>11303</v>
      </c>
      <c r="C1530" s="132" t="s">
        <v>108</v>
      </c>
      <c r="D1530" s="132" t="s">
        <v>11304</v>
      </c>
      <c r="E1530" s="132" t="s">
        <v>11305</v>
      </c>
      <c r="F1530" s="132" t="s">
        <v>40</v>
      </c>
      <c r="G1530" s="156" t="s">
        <v>11306</v>
      </c>
      <c r="H1530" s="156" t="s">
        <v>11307</v>
      </c>
      <c r="I1530" s="168" t="s">
        <v>1651</v>
      </c>
      <c r="J1530" s="169" t="s">
        <v>72</v>
      </c>
    </row>
    <row r="1531" spans="1:11">
      <c r="A1531" s="164" t="s">
        <v>95</v>
      </c>
      <c r="B1531" s="155" t="s">
        <v>11308</v>
      </c>
      <c r="C1531" s="132" t="s">
        <v>113</v>
      </c>
      <c r="D1531" s="132" t="s">
        <v>11309</v>
      </c>
      <c r="E1531" s="132" t="s">
        <v>11310</v>
      </c>
      <c r="F1531" s="132" t="s">
        <v>40</v>
      </c>
      <c r="G1531" s="156" t="s">
        <v>11311</v>
      </c>
      <c r="H1531" s="156" t="s">
        <v>11312</v>
      </c>
      <c r="I1531" s="168" t="s">
        <v>32</v>
      </c>
      <c r="J1531" s="169" t="s">
        <v>72</v>
      </c>
    </row>
    <row r="1532" spans="1:11">
      <c r="A1532" s="164" t="s">
        <v>20</v>
      </c>
      <c r="B1532" s="155" t="s">
        <v>11313</v>
      </c>
      <c r="C1532" s="132" t="s">
        <v>13</v>
      </c>
      <c r="D1532" s="132" t="s">
        <v>11314</v>
      </c>
      <c r="E1532" s="132" t="s">
        <v>11315</v>
      </c>
      <c r="F1532" s="132" t="s">
        <v>40</v>
      </c>
      <c r="G1532" s="156" t="s">
        <v>11316</v>
      </c>
      <c r="H1532" s="156" t="s">
        <v>11317</v>
      </c>
      <c r="I1532" s="168" t="s">
        <v>74</v>
      </c>
      <c r="J1532" s="169" t="s">
        <v>72</v>
      </c>
    </row>
    <row r="1533" spans="1:11">
      <c r="A1533" s="164" t="s">
        <v>20</v>
      </c>
      <c r="B1533" s="155" t="s">
        <v>11318</v>
      </c>
      <c r="C1533" s="132" t="s">
        <v>13</v>
      </c>
      <c r="D1533" s="132" t="s">
        <v>11290</v>
      </c>
      <c r="E1533" s="132" t="s">
        <v>11319</v>
      </c>
      <c r="F1533" s="132" t="s">
        <v>40</v>
      </c>
      <c r="G1533" s="156" t="s">
        <v>11320</v>
      </c>
      <c r="H1533" s="156" t="s">
        <v>11321</v>
      </c>
      <c r="I1533" s="168" t="s">
        <v>149</v>
      </c>
      <c r="J1533" s="169" t="s">
        <v>72</v>
      </c>
    </row>
    <row r="1534" spans="1:11">
      <c r="A1534" s="164" t="s">
        <v>95</v>
      </c>
      <c r="B1534" s="155" t="s">
        <v>11322</v>
      </c>
      <c r="C1534" s="132" t="s">
        <v>97</v>
      </c>
      <c r="D1534" s="132" t="s">
        <v>11323</v>
      </c>
      <c r="E1534" s="132" t="s">
        <v>11324</v>
      </c>
      <c r="F1534" s="132" t="s">
        <v>40</v>
      </c>
      <c r="G1534" s="156" t="s">
        <v>11325</v>
      </c>
      <c r="H1534" s="156" t="s">
        <v>11326</v>
      </c>
      <c r="I1534" s="168" t="s">
        <v>356</v>
      </c>
      <c r="J1534" s="169" t="s">
        <v>72</v>
      </c>
    </row>
    <row r="1535" spans="1:11">
      <c r="A1535" s="164" t="s">
        <v>106</v>
      </c>
      <c r="B1535" s="155" t="s">
        <v>11327</v>
      </c>
      <c r="C1535" s="132" t="s">
        <v>108</v>
      </c>
      <c r="D1535" s="132" t="s">
        <v>8467</v>
      </c>
      <c r="E1535" s="132" t="s">
        <v>9751</v>
      </c>
      <c r="F1535" s="132" t="s">
        <v>40</v>
      </c>
      <c r="G1535" s="156" t="s">
        <v>11328</v>
      </c>
      <c r="H1535" s="156" t="s">
        <v>11329</v>
      </c>
      <c r="I1535" s="168" t="s">
        <v>32</v>
      </c>
      <c r="J1535" s="169" t="s">
        <v>72</v>
      </c>
    </row>
    <row r="1536" spans="1:11">
      <c r="A1536" s="164" t="s">
        <v>95</v>
      </c>
      <c r="B1536" s="155" t="s">
        <v>11330</v>
      </c>
      <c r="C1536" s="132" t="s">
        <v>113</v>
      </c>
      <c r="D1536" s="132" t="s">
        <v>11331</v>
      </c>
      <c r="E1536" s="132" t="s">
        <v>11332</v>
      </c>
      <c r="F1536" s="132" t="s">
        <v>40</v>
      </c>
      <c r="G1536" s="156" t="s">
        <v>11333</v>
      </c>
      <c r="H1536" s="156" t="s">
        <v>11334</v>
      </c>
      <c r="I1536" s="168" t="s">
        <v>11335</v>
      </c>
      <c r="J1536" s="169" t="s">
        <v>72</v>
      </c>
    </row>
    <row r="1537" spans="1:10">
      <c r="A1537" s="164" t="s">
        <v>106</v>
      </c>
      <c r="B1537" s="155" t="s">
        <v>11336</v>
      </c>
      <c r="C1537" s="132" t="s">
        <v>333</v>
      </c>
      <c r="D1537" s="132" t="s">
        <v>11337</v>
      </c>
      <c r="E1537" s="132" t="s">
        <v>11338</v>
      </c>
      <c r="F1537" s="132" t="s">
        <v>40</v>
      </c>
      <c r="G1537" s="156" t="s">
        <v>11339</v>
      </c>
      <c r="H1537" s="156" t="s">
        <v>11340</v>
      </c>
      <c r="I1537" s="168" t="s">
        <v>9275</v>
      </c>
      <c r="J1537" s="169" t="s">
        <v>72</v>
      </c>
    </row>
    <row r="1538" spans="1:10">
      <c r="A1538" s="154" t="s">
        <v>20</v>
      </c>
      <c r="B1538" s="155" t="s">
        <v>11341</v>
      </c>
      <c r="C1538" s="132" t="s">
        <v>21</v>
      </c>
      <c r="D1538" s="132" t="s">
        <v>11342</v>
      </c>
      <c r="E1538" s="141" t="s">
        <v>11343</v>
      </c>
      <c r="F1538" s="132" t="s">
        <v>40</v>
      </c>
      <c r="G1538" s="156" t="s">
        <v>11344</v>
      </c>
      <c r="H1538" s="156" t="s">
        <v>11345</v>
      </c>
      <c r="I1538" s="168" t="s">
        <v>980</v>
      </c>
      <c r="J1538" s="169" t="s">
        <v>9367</v>
      </c>
    </row>
    <row r="1539" spans="1:10">
      <c r="A1539" s="154" t="s">
        <v>106</v>
      </c>
      <c r="B1539" s="155" t="s">
        <v>11346</v>
      </c>
      <c r="C1539" s="132" t="s">
        <v>108</v>
      </c>
      <c r="D1539" s="132" t="s">
        <v>11347</v>
      </c>
      <c r="E1539" s="142" t="s">
        <v>11348</v>
      </c>
      <c r="F1539" s="132" t="s">
        <v>40</v>
      </c>
      <c r="G1539" s="156" t="s">
        <v>11349</v>
      </c>
      <c r="H1539" s="156" t="s">
        <v>11350</v>
      </c>
      <c r="I1539" s="168" t="s">
        <v>1470</v>
      </c>
      <c r="J1539" s="169" t="s">
        <v>9367</v>
      </c>
    </row>
    <row r="1540" spans="1:10">
      <c r="A1540" s="154" t="s">
        <v>95</v>
      </c>
      <c r="B1540" s="155" t="s">
        <v>11351</v>
      </c>
      <c r="C1540" s="132" t="s">
        <v>118</v>
      </c>
      <c r="D1540" s="132" t="s">
        <v>11352</v>
      </c>
      <c r="E1540" s="143" t="s">
        <v>11353</v>
      </c>
      <c r="F1540" s="132" t="s">
        <v>40</v>
      </c>
      <c r="G1540" s="156" t="s">
        <v>11354</v>
      </c>
      <c r="H1540" s="156" t="s">
        <v>11355</v>
      </c>
      <c r="I1540" s="168" t="s">
        <v>11356</v>
      </c>
      <c r="J1540" s="169" t="s">
        <v>9367</v>
      </c>
    </row>
    <row r="1541" spans="1:10">
      <c r="A1541" s="154" t="s">
        <v>95</v>
      </c>
      <c r="B1541" s="155" t="s">
        <v>11357</v>
      </c>
      <c r="C1541" s="132" t="s">
        <v>118</v>
      </c>
      <c r="D1541" s="132" t="s">
        <v>11358</v>
      </c>
      <c r="E1541" s="132" t="s">
        <v>11359</v>
      </c>
      <c r="F1541" s="132" t="s">
        <v>40</v>
      </c>
      <c r="G1541" s="156" t="s">
        <v>11360</v>
      </c>
      <c r="H1541" s="156" t="s">
        <v>11361</v>
      </c>
      <c r="I1541" s="168" t="s">
        <v>11362</v>
      </c>
      <c r="J1541" s="169" t="s">
        <v>72</v>
      </c>
    </row>
    <row r="1542" spans="1:10">
      <c r="A1542" s="154" t="s">
        <v>95</v>
      </c>
      <c r="B1542" s="155" t="s">
        <v>11363</v>
      </c>
      <c r="C1542" s="132" t="s">
        <v>113</v>
      </c>
      <c r="D1542" s="132" t="s">
        <v>11364</v>
      </c>
      <c r="E1542" s="132" t="s">
        <v>11365</v>
      </c>
      <c r="F1542" s="132" t="s">
        <v>40</v>
      </c>
      <c r="G1542" s="156" t="s">
        <v>11366</v>
      </c>
      <c r="H1542" s="156" t="s">
        <v>11367</v>
      </c>
      <c r="I1542" s="168" t="s">
        <v>10888</v>
      </c>
      <c r="J1542" s="169" t="s">
        <v>72</v>
      </c>
    </row>
    <row r="1543" spans="1:10">
      <c r="A1543" s="154" t="s">
        <v>106</v>
      </c>
      <c r="B1543" s="155" t="s">
        <v>11368</v>
      </c>
      <c r="C1543" s="132" t="s">
        <v>108</v>
      </c>
      <c r="D1543" s="132" t="s">
        <v>11369</v>
      </c>
      <c r="E1543" s="132" t="s">
        <v>11370</v>
      </c>
      <c r="F1543" s="132" t="s">
        <v>40</v>
      </c>
      <c r="G1543" s="156" t="s">
        <v>11371</v>
      </c>
      <c r="H1543" s="156" t="s">
        <v>11372</v>
      </c>
      <c r="I1543" s="168" t="s">
        <v>2168</v>
      </c>
      <c r="J1543" s="169" t="s">
        <v>72</v>
      </c>
    </row>
    <row r="1544" spans="1:10">
      <c r="A1544" s="154" t="s">
        <v>106</v>
      </c>
      <c r="B1544" s="155" t="s">
        <v>11373</v>
      </c>
      <c r="C1544" s="132" t="s">
        <v>108</v>
      </c>
      <c r="D1544" s="132" t="s">
        <v>11374</v>
      </c>
      <c r="E1544" s="132" t="s">
        <v>11375</v>
      </c>
      <c r="F1544" s="132" t="s">
        <v>40</v>
      </c>
      <c r="G1544" s="156" t="s">
        <v>11376</v>
      </c>
      <c r="H1544" s="156" t="s">
        <v>11377</v>
      </c>
      <c r="I1544" s="168" t="s">
        <v>3320</v>
      </c>
      <c r="J1544" s="169" t="s">
        <v>72</v>
      </c>
    </row>
    <row r="1545" spans="1:10">
      <c r="A1545" s="154" t="s">
        <v>95</v>
      </c>
      <c r="B1545" s="155" t="s">
        <v>11378</v>
      </c>
      <c r="C1545" s="132" t="s">
        <v>97</v>
      </c>
      <c r="D1545" s="132" t="s">
        <v>11379</v>
      </c>
      <c r="E1545" s="132" t="s">
        <v>11380</v>
      </c>
      <c r="F1545" s="132" t="s">
        <v>40</v>
      </c>
      <c r="G1545" s="156" t="s">
        <v>11381</v>
      </c>
      <c r="H1545" s="156" t="s">
        <v>11382</v>
      </c>
      <c r="I1545" s="168" t="s">
        <v>6016</v>
      </c>
      <c r="J1545" s="169" t="s">
        <v>72</v>
      </c>
    </row>
    <row r="1546" spans="1:10">
      <c r="A1546" s="154" t="s">
        <v>106</v>
      </c>
      <c r="B1546" s="155" t="s">
        <v>11383</v>
      </c>
      <c r="C1546" s="132" t="s">
        <v>78</v>
      </c>
      <c r="D1546" s="132" t="s">
        <v>11384</v>
      </c>
      <c r="E1546" s="132" t="s">
        <v>11385</v>
      </c>
      <c r="F1546" s="132" t="s">
        <v>40</v>
      </c>
      <c r="G1546" s="156" t="s">
        <v>11377</v>
      </c>
      <c r="H1546" s="156" t="s">
        <v>11386</v>
      </c>
      <c r="I1546" s="168" t="s">
        <v>258</v>
      </c>
      <c r="J1546" s="169" t="s">
        <v>72</v>
      </c>
    </row>
    <row r="1547" spans="1:10">
      <c r="A1547" s="154" t="s">
        <v>95</v>
      </c>
      <c r="B1547" s="155" t="s">
        <v>11387</v>
      </c>
      <c r="C1547" s="132" t="s">
        <v>97</v>
      </c>
      <c r="D1547" s="132" t="s">
        <v>11388</v>
      </c>
      <c r="E1547" s="132" t="s">
        <v>11389</v>
      </c>
      <c r="F1547" s="132" t="s">
        <v>40</v>
      </c>
      <c r="G1547" s="156" t="s">
        <v>11390</v>
      </c>
      <c r="I1547" s="168" t="s">
        <v>11391</v>
      </c>
      <c r="J1547" s="169" t="s">
        <v>72</v>
      </c>
    </row>
    <row r="1548" spans="1:10" ht="87">
      <c r="A1548" s="154" t="s">
        <v>95</v>
      </c>
      <c r="B1548" s="155" t="s">
        <v>11392</v>
      </c>
      <c r="C1548" s="132" t="s">
        <v>1763</v>
      </c>
      <c r="D1548" s="132" t="s">
        <v>11393</v>
      </c>
      <c r="E1548" s="137" t="s">
        <v>11394</v>
      </c>
      <c r="F1548" s="132" t="s">
        <v>40</v>
      </c>
      <c r="G1548" s="156" t="s">
        <v>11366</v>
      </c>
      <c r="H1548" s="156" t="s">
        <v>11395</v>
      </c>
      <c r="I1548" s="168" t="s">
        <v>11396</v>
      </c>
      <c r="J1548" s="169" t="s">
        <v>72</v>
      </c>
    </row>
    <row r="1549" spans="1:10">
      <c r="A1549" s="154" t="s">
        <v>106</v>
      </c>
      <c r="B1549" s="155" t="s">
        <v>11397</v>
      </c>
      <c r="C1549" s="132" t="s">
        <v>108</v>
      </c>
      <c r="D1549" s="132" t="s">
        <v>11398</v>
      </c>
      <c r="E1549" s="143" t="s">
        <v>11399</v>
      </c>
      <c r="F1549" s="132" t="s">
        <v>40</v>
      </c>
      <c r="G1549" s="156" t="s">
        <v>11400</v>
      </c>
      <c r="H1549" s="156" t="s">
        <v>11401</v>
      </c>
      <c r="I1549" s="168" t="s">
        <v>1470</v>
      </c>
      <c r="J1549" s="169" t="s">
        <v>9367</v>
      </c>
    </row>
    <row r="1550" spans="1:10">
      <c r="A1550" s="154" t="s">
        <v>20</v>
      </c>
      <c r="B1550" s="155" t="s">
        <v>11402</v>
      </c>
      <c r="C1550" s="132" t="s">
        <v>21</v>
      </c>
      <c r="D1550" s="132" t="s">
        <v>11403</v>
      </c>
      <c r="E1550" s="142" t="s">
        <v>11404</v>
      </c>
      <c r="F1550" s="132" t="s">
        <v>40</v>
      </c>
      <c r="G1550" s="156" t="s">
        <v>11405</v>
      </c>
      <c r="H1550" s="156" t="s">
        <v>11406</v>
      </c>
      <c r="I1550" s="168" t="s">
        <v>61</v>
      </c>
      <c r="J1550" s="169" t="s">
        <v>9367</v>
      </c>
    </row>
    <row r="1551" spans="1:10">
      <c r="A1551" s="154" t="s">
        <v>20</v>
      </c>
      <c r="B1551" s="155" t="s">
        <v>11407</v>
      </c>
      <c r="C1551" s="132" t="s">
        <v>21</v>
      </c>
      <c r="D1551" s="132" t="s">
        <v>11408</v>
      </c>
      <c r="E1551" s="142" t="s">
        <v>11409</v>
      </c>
      <c r="F1551" s="132" t="s">
        <v>40</v>
      </c>
      <c r="G1551" s="156" t="s">
        <v>11410</v>
      </c>
      <c r="H1551" s="156" t="s">
        <v>11411</v>
      </c>
      <c r="I1551" s="168" t="s">
        <v>980</v>
      </c>
      <c r="J1551" s="169" t="s">
        <v>9367</v>
      </c>
    </row>
    <row r="1552" spans="1:10" hidden="1">
      <c r="A1552" s="154" t="s">
        <v>20</v>
      </c>
      <c r="B1552" s="155" t="s">
        <v>11412</v>
      </c>
      <c r="C1552" s="132" t="s">
        <v>13</v>
      </c>
      <c r="D1552" s="132" t="s">
        <v>11413</v>
      </c>
      <c r="E1552" s="143" t="s">
        <v>11414</v>
      </c>
      <c r="F1552" s="132" t="s">
        <v>308</v>
      </c>
      <c r="G1552" s="156" t="s">
        <v>11415</v>
      </c>
      <c r="H1552" s="156" t="s">
        <v>11416</v>
      </c>
      <c r="I1552" s="168" t="s">
        <v>9169</v>
      </c>
      <c r="J1552" s="169" t="s">
        <v>9367</v>
      </c>
    </row>
    <row r="1553" spans="1:10">
      <c r="A1553" s="154" t="s">
        <v>95</v>
      </c>
      <c r="B1553" s="155" t="s">
        <v>11417</v>
      </c>
      <c r="C1553" s="132" t="s">
        <v>113</v>
      </c>
      <c r="D1553" s="132" t="s">
        <v>11418</v>
      </c>
      <c r="E1553" s="141" t="s">
        <v>11419</v>
      </c>
      <c r="F1553" s="132" t="s">
        <v>40</v>
      </c>
      <c r="G1553" s="156" t="s">
        <v>11420</v>
      </c>
      <c r="H1553" s="156" t="s">
        <v>11421</v>
      </c>
      <c r="I1553" s="168" t="s">
        <v>11422</v>
      </c>
      <c r="J1553" s="169" t="s">
        <v>9367</v>
      </c>
    </row>
    <row r="1554" spans="1:10">
      <c r="A1554" s="154" t="s">
        <v>95</v>
      </c>
      <c r="B1554" s="155" t="s">
        <v>11423</v>
      </c>
      <c r="C1554" s="132" t="s">
        <v>118</v>
      </c>
      <c r="D1554" s="132" t="s">
        <v>11424</v>
      </c>
      <c r="E1554" s="132" t="s">
        <v>11425</v>
      </c>
      <c r="F1554" s="132" t="s">
        <v>40</v>
      </c>
      <c r="G1554" s="156" t="s">
        <v>11426</v>
      </c>
      <c r="H1554" s="156" t="s">
        <v>11427</v>
      </c>
      <c r="I1554" s="168" t="s">
        <v>8036</v>
      </c>
      <c r="J1554" s="169" t="s">
        <v>72</v>
      </c>
    </row>
    <row r="1555" spans="1:10">
      <c r="A1555" s="154" t="s">
        <v>20</v>
      </c>
      <c r="B1555" s="155" t="s">
        <v>11428</v>
      </c>
      <c r="C1555" s="132" t="s">
        <v>21</v>
      </c>
      <c r="D1555" s="132" t="s">
        <v>11429</v>
      </c>
      <c r="E1555" s="132" t="s">
        <v>10934</v>
      </c>
      <c r="F1555" s="132" t="s">
        <v>40</v>
      </c>
      <c r="G1555" s="156" t="s">
        <v>11430</v>
      </c>
      <c r="H1555" s="156" t="s">
        <v>11431</v>
      </c>
      <c r="I1555" s="168" t="s">
        <v>980</v>
      </c>
      <c r="J1555" s="169" t="s">
        <v>72</v>
      </c>
    </row>
    <row r="1556" spans="1:10">
      <c r="A1556" s="154" t="s">
        <v>95</v>
      </c>
      <c r="B1556" s="155" t="s">
        <v>11432</v>
      </c>
      <c r="C1556" s="132" t="s">
        <v>118</v>
      </c>
      <c r="D1556" s="132" t="s">
        <v>11433</v>
      </c>
      <c r="E1556" s="132" t="s">
        <v>11434</v>
      </c>
      <c r="F1556" s="132" t="s">
        <v>40</v>
      </c>
      <c r="G1556" s="156" t="s">
        <v>11435</v>
      </c>
      <c r="H1556" s="156" t="s">
        <v>11436</v>
      </c>
      <c r="I1556" s="168" t="s">
        <v>32</v>
      </c>
      <c r="J1556" s="169" t="s">
        <v>72</v>
      </c>
    </row>
    <row r="1557" spans="1:10">
      <c r="A1557" s="154" t="s">
        <v>95</v>
      </c>
      <c r="B1557" s="155" t="s">
        <v>11437</v>
      </c>
      <c r="C1557" s="132" t="s">
        <v>1763</v>
      </c>
      <c r="D1557" s="132" t="s">
        <v>11438</v>
      </c>
      <c r="E1557" s="132" t="s">
        <v>11439</v>
      </c>
      <c r="F1557" s="132" t="s">
        <v>40</v>
      </c>
      <c r="G1557" s="156" t="s">
        <v>11435</v>
      </c>
      <c r="I1557" s="168" t="s">
        <v>32</v>
      </c>
      <c r="J1557" s="169" t="s">
        <v>72</v>
      </c>
    </row>
    <row r="1558" spans="1:10">
      <c r="A1558" s="154" t="s">
        <v>95</v>
      </c>
      <c r="B1558" s="155" t="s">
        <v>11440</v>
      </c>
      <c r="C1558" s="132" t="s">
        <v>113</v>
      </c>
      <c r="D1558" s="132" t="s">
        <v>11441</v>
      </c>
      <c r="E1558" s="132" t="s">
        <v>11442</v>
      </c>
      <c r="F1558" s="132" t="s">
        <v>40</v>
      </c>
      <c r="G1558" s="156" t="s">
        <v>11435</v>
      </c>
      <c r="I1558" s="168" t="s">
        <v>32</v>
      </c>
      <c r="J1558" s="169" t="s">
        <v>72</v>
      </c>
    </row>
    <row r="1559" spans="1:10">
      <c r="A1559" s="154" t="s">
        <v>95</v>
      </c>
      <c r="B1559" s="155" t="s">
        <v>11443</v>
      </c>
      <c r="C1559" s="132" t="s">
        <v>97</v>
      </c>
      <c r="D1559" s="132" t="s">
        <v>11444</v>
      </c>
      <c r="E1559" s="132" t="s">
        <v>11434</v>
      </c>
      <c r="F1559" s="132" t="s">
        <v>40</v>
      </c>
      <c r="G1559" s="156" t="s">
        <v>11435</v>
      </c>
      <c r="H1559" s="156" t="s">
        <v>11445</v>
      </c>
      <c r="I1559" s="168" t="s">
        <v>32</v>
      </c>
      <c r="J1559" s="169" t="s">
        <v>72</v>
      </c>
    </row>
    <row r="1560" spans="1:10">
      <c r="A1560" s="154" t="s">
        <v>20</v>
      </c>
      <c r="B1560" s="155" t="s">
        <v>11446</v>
      </c>
      <c r="C1560" s="132" t="s">
        <v>21</v>
      </c>
      <c r="D1560" s="132" t="s">
        <v>11447</v>
      </c>
      <c r="E1560" s="132" t="s">
        <v>10934</v>
      </c>
      <c r="F1560" s="132" t="s">
        <v>40</v>
      </c>
      <c r="G1560" s="156" t="s">
        <v>11448</v>
      </c>
      <c r="H1560" s="156" t="s">
        <v>11449</v>
      </c>
      <c r="I1560" s="168" t="s">
        <v>2582</v>
      </c>
      <c r="J1560" s="169" t="s">
        <v>72</v>
      </c>
    </row>
    <row r="1561" spans="1:10" ht="87">
      <c r="A1561" s="154" t="s">
        <v>95</v>
      </c>
      <c r="B1561" s="155" t="s">
        <v>11450</v>
      </c>
      <c r="C1561" s="132" t="s">
        <v>113</v>
      </c>
      <c r="D1561" s="132" t="s">
        <v>11451</v>
      </c>
      <c r="E1561" s="137" t="s">
        <v>11394</v>
      </c>
      <c r="F1561" s="132" t="s">
        <v>40</v>
      </c>
      <c r="G1561" s="156" t="s">
        <v>11452</v>
      </c>
      <c r="H1561" s="156" t="s">
        <v>11395</v>
      </c>
      <c r="I1561" s="168" t="s">
        <v>11396</v>
      </c>
      <c r="J1561" s="169" t="s">
        <v>72</v>
      </c>
    </row>
    <row r="1562" spans="1:10">
      <c r="A1562" s="154" t="s">
        <v>106</v>
      </c>
      <c r="B1562" s="155" t="s">
        <v>11453</v>
      </c>
      <c r="C1562" s="132" t="s">
        <v>108</v>
      </c>
      <c r="D1562" s="132" t="s">
        <v>8467</v>
      </c>
      <c r="E1562" s="132" t="s">
        <v>11253</v>
      </c>
      <c r="F1562" s="132" t="s">
        <v>40</v>
      </c>
      <c r="G1562" s="156" t="s">
        <v>11454</v>
      </c>
      <c r="H1562" s="156" t="s">
        <v>11455</v>
      </c>
      <c r="I1562" s="168" t="s">
        <v>32</v>
      </c>
      <c r="J1562" s="169" t="s">
        <v>72</v>
      </c>
    </row>
    <row r="1563" spans="1:10">
      <c r="A1563" s="154" t="s">
        <v>95</v>
      </c>
      <c r="B1563" s="155" t="s">
        <v>11456</v>
      </c>
      <c r="C1563" s="132" t="s">
        <v>118</v>
      </c>
      <c r="D1563" s="132" t="s">
        <v>11457</v>
      </c>
      <c r="E1563" s="132" t="s">
        <v>11458</v>
      </c>
      <c r="F1563" s="132" t="s">
        <v>40</v>
      </c>
      <c r="G1563" s="156" t="s">
        <v>11459</v>
      </c>
      <c r="H1563" s="156" t="s">
        <v>11460</v>
      </c>
      <c r="I1563" s="168" t="s">
        <v>11461</v>
      </c>
      <c r="J1563" s="169" t="s">
        <v>72</v>
      </c>
    </row>
    <row r="1564" spans="1:10">
      <c r="A1564" s="154" t="s">
        <v>20</v>
      </c>
      <c r="B1564" s="155" t="s">
        <v>11462</v>
      </c>
      <c r="C1564" s="132" t="s">
        <v>21</v>
      </c>
      <c r="D1564" s="132" t="s">
        <v>11463</v>
      </c>
      <c r="E1564" s="132" t="s">
        <v>11464</v>
      </c>
      <c r="F1564" s="132" t="s">
        <v>40</v>
      </c>
      <c r="G1564" s="156" t="s">
        <v>11465</v>
      </c>
      <c r="H1564" s="156" t="s">
        <v>11466</v>
      </c>
      <c r="I1564" s="168" t="s">
        <v>2582</v>
      </c>
      <c r="J1564" s="169" t="s">
        <v>72</v>
      </c>
    </row>
    <row r="1565" spans="1:10">
      <c r="A1565" s="154" t="s">
        <v>106</v>
      </c>
      <c r="B1565" s="155" t="s">
        <v>11467</v>
      </c>
      <c r="C1565" s="132" t="s">
        <v>108</v>
      </c>
      <c r="D1565" s="132" t="s">
        <v>11468</v>
      </c>
      <c r="E1565" s="132" t="s">
        <v>11469</v>
      </c>
      <c r="F1565" s="132" t="s">
        <v>40</v>
      </c>
      <c r="G1565" s="156" t="s">
        <v>11470</v>
      </c>
      <c r="H1565" s="156" t="s">
        <v>11471</v>
      </c>
      <c r="I1565" s="168" t="s">
        <v>946</v>
      </c>
      <c r="J1565" s="169" t="s">
        <v>72</v>
      </c>
    </row>
    <row r="1566" spans="1:10">
      <c r="A1566" s="154" t="s">
        <v>20</v>
      </c>
      <c r="B1566" s="155" t="s">
        <v>11472</v>
      </c>
      <c r="C1566" s="132" t="s">
        <v>13</v>
      </c>
      <c r="D1566" s="132" t="s">
        <v>11473</v>
      </c>
      <c r="E1566" s="132" t="s">
        <v>11474</v>
      </c>
      <c r="F1566" s="132" t="s">
        <v>40</v>
      </c>
      <c r="G1566" s="156" t="s">
        <v>11475</v>
      </c>
      <c r="H1566" s="156" t="s">
        <v>11476</v>
      </c>
      <c r="I1566" s="168" t="s">
        <v>11477</v>
      </c>
      <c r="J1566" s="169" t="s">
        <v>72</v>
      </c>
    </row>
    <row r="1567" spans="1:10">
      <c r="A1567" s="154" t="s">
        <v>20</v>
      </c>
      <c r="B1567" s="155" t="s">
        <v>11478</v>
      </c>
      <c r="C1567" s="132" t="s">
        <v>13</v>
      </c>
      <c r="D1567" s="132" t="s">
        <v>11479</v>
      </c>
      <c r="E1567" s="132" t="s">
        <v>11480</v>
      </c>
      <c r="F1567" s="132" t="s">
        <v>40</v>
      </c>
      <c r="G1567" s="156" t="s">
        <v>11481</v>
      </c>
      <c r="H1567" s="156" t="s">
        <v>11482</v>
      </c>
      <c r="I1567" s="168" t="s">
        <v>11483</v>
      </c>
      <c r="J1567" s="169" t="s">
        <v>72</v>
      </c>
    </row>
    <row r="1568" spans="1:10">
      <c r="A1568" s="154" t="s">
        <v>95</v>
      </c>
      <c r="B1568" s="155" t="s">
        <v>11484</v>
      </c>
      <c r="C1568" s="132" t="s">
        <v>97</v>
      </c>
      <c r="D1568" s="132" t="s">
        <v>11485</v>
      </c>
      <c r="E1568" s="143" t="s">
        <v>11486</v>
      </c>
      <c r="F1568" s="132" t="s">
        <v>40</v>
      </c>
      <c r="G1568" s="156" t="s">
        <v>11487</v>
      </c>
      <c r="H1568" s="156" t="s">
        <v>11488</v>
      </c>
      <c r="I1568" s="168" t="s">
        <v>2436</v>
      </c>
      <c r="J1568" s="169" t="s">
        <v>9367</v>
      </c>
    </row>
    <row r="1569" spans="1:11">
      <c r="A1569" s="154" t="s">
        <v>20</v>
      </c>
      <c r="B1569" s="155" t="s">
        <v>11489</v>
      </c>
      <c r="C1569" s="132" t="s">
        <v>13</v>
      </c>
      <c r="D1569" s="132" t="s">
        <v>11490</v>
      </c>
      <c r="E1569" s="143" t="s">
        <v>11491</v>
      </c>
      <c r="F1569" s="132" t="s">
        <v>40</v>
      </c>
      <c r="G1569" s="156" t="s">
        <v>11492</v>
      </c>
      <c r="H1569" s="156" t="s">
        <v>11493</v>
      </c>
      <c r="I1569" s="168" t="s">
        <v>11483</v>
      </c>
      <c r="J1569" s="169" t="s">
        <v>9367</v>
      </c>
    </row>
    <row r="1570" spans="1:11">
      <c r="A1570" s="154" t="s">
        <v>95</v>
      </c>
      <c r="B1570" s="155" t="s">
        <v>11494</v>
      </c>
      <c r="C1570" s="132" t="s">
        <v>113</v>
      </c>
      <c r="D1570" s="143" t="s">
        <v>11495</v>
      </c>
      <c r="E1570" s="143" t="s">
        <v>11496</v>
      </c>
      <c r="F1570" s="132" t="s">
        <v>40</v>
      </c>
      <c r="G1570" s="156" t="s">
        <v>11497</v>
      </c>
      <c r="H1570" s="156" t="s">
        <v>11498</v>
      </c>
      <c r="I1570" s="168" t="s">
        <v>11499</v>
      </c>
      <c r="J1570" s="169" t="s">
        <v>9367</v>
      </c>
    </row>
    <row r="1571" spans="1:11">
      <c r="A1571" s="154" t="s">
        <v>95</v>
      </c>
      <c r="B1571" s="155" t="s">
        <v>11500</v>
      </c>
      <c r="C1571" s="132" t="s">
        <v>113</v>
      </c>
      <c r="D1571" s="143" t="s">
        <v>11501</v>
      </c>
      <c r="E1571" s="143" t="s">
        <v>11502</v>
      </c>
      <c r="F1571" s="132" t="s">
        <v>40</v>
      </c>
      <c r="G1571" s="156" t="s">
        <v>11503</v>
      </c>
      <c r="H1571" s="156" t="s">
        <v>11504</v>
      </c>
      <c r="I1571" s="168" t="s">
        <v>11499</v>
      </c>
      <c r="J1571" s="169" t="s">
        <v>9367</v>
      </c>
    </row>
    <row r="1572" spans="1:11">
      <c r="A1572" s="154" t="s">
        <v>95</v>
      </c>
      <c r="B1572" s="155" t="s">
        <v>11505</v>
      </c>
      <c r="C1572" s="132" t="s">
        <v>113</v>
      </c>
      <c r="D1572" s="132" t="s">
        <v>11506</v>
      </c>
      <c r="E1572" s="132" t="s">
        <v>11507</v>
      </c>
      <c r="F1572" s="132" t="s">
        <v>40</v>
      </c>
      <c r="G1572" s="156" t="s">
        <v>11508</v>
      </c>
      <c r="H1572" s="156" t="s">
        <v>11509</v>
      </c>
      <c r="I1572" s="168" t="s">
        <v>8036</v>
      </c>
      <c r="J1572" s="169" t="s">
        <v>72</v>
      </c>
    </row>
    <row r="1573" spans="1:11">
      <c r="A1573" s="154" t="s">
        <v>20</v>
      </c>
      <c r="B1573" s="155" t="s">
        <v>11510</v>
      </c>
      <c r="C1573" s="132" t="s">
        <v>21</v>
      </c>
      <c r="D1573" s="132" t="s">
        <v>11447</v>
      </c>
      <c r="E1573" s="132" t="s">
        <v>11511</v>
      </c>
      <c r="F1573" s="132" t="s">
        <v>40</v>
      </c>
      <c r="G1573" s="156" t="s">
        <v>11512</v>
      </c>
      <c r="H1573" s="156" t="s">
        <v>11513</v>
      </c>
      <c r="I1573" s="168" t="s">
        <v>2582</v>
      </c>
      <c r="J1573" s="169" t="s">
        <v>72</v>
      </c>
    </row>
    <row r="1574" spans="1:11">
      <c r="A1574" s="154" t="s">
        <v>95</v>
      </c>
      <c r="B1574" s="155" t="s">
        <v>11514</v>
      </c>
      <c r="C1574" s="132" t="s">
        <v>118</v>
      </c>
      <c r="D1574" s="132" t="s">
        <v>11515</v>
      </c>
      <c r="E1574" s="132" t="s">
        <v>11516</v>
      </c>
      <c r="F1574" s="132" t="s">
        <v>40</v>
      </c>
      <c r="G1574" s="156" t="s">
        <v>11517</v>
      </c>
      <c r="H1574" s="156">
        <v>45358.65625</v>
      </c>
      <c r="I1574" s="168" t="s">
        <v>11518</v>
      </c>
      <c r="J1574" s="169" t="s">
        <v>72</v>
      </c>
    </row>
    <row r="1575" spans="1:11">
      <c r="A1575" s="154" t="s">
        <v>95</v>
      </c>
      <c r="B1575" s="155" t="s">
        <v>11514</v>
      </c>
      <c r="C1575" s="132" t="s">
        <v>118</v>
      </c>
      <c r="D1575" s="132" t="s">
        <v>11515</v>
      </c>
      <c r="E1575" s="132" t="s">
        <v>11516</v>
      </c>
      <c r="F1575" s="132" t="s">
        <v>40</v>
      </c>
      <c r="G1575" s="156" t="s">
        <v>11519</v>
      </c>
      <c r="H1575" s="156">
        <v>45358.65625</v>
      </c>
      <c r="I1575" s="168" t="s">
        <v>11518</v>
      </c>
      <c r="J1575" s="169" t="s">
        <v>72</v>
      </c>
      <c r="K1575" s="169" t="s">
        <v>88</v>
      </c>
    </row>
    <row r="1576" spans="1:11">
      <c r="A1576" s="154" t="s">
        <v>20</v>
      </c>
      <c r="B1576" s="155" t="s">
        <v>11520</v>
      </c>
      <c r="C1576" s="132" t="s">
        <v>21</v>
      </c>
      <c r="D1576" s="132" t="s">
        <v>11521</v>
      </c>
      <c r="E1576" s="132" t="s">
        <v>11522</v>
      </c>
      <c r="F1576" s="132" t="s">
        <v>40</v>
      </c>
      <c r="G1576" s="156" t="s">
        <v>11523</v>
      </c>
      <c r="H1576" s="156" t="s">
        <v>11524</v>
      </c>
      <c r="I1576" s="168" t="s">
        <v>2582</v>
      </c>
      <c r="J1576" s="169" t="s">
        <v>72</v>
      </c>
    </row>
    <row r="1577" spans="1:11" ht="43.5">
      <c r="A1577" s="154" t="s">
        <v>95</v>
      </c>
      <c r="B1577" s="155" t="s">
        <v>11525</v>
      </c>
      <c r="C1577" s="132" t="s">
        <v>113</v>
      </c>
      <c r="D1577" s="132" t="s">
        <v>11526</v>
      </c>
      <c r="E1577" s="137" t="s">
        <v>11527</v>
      </c>
      <c r="F1577" s="132" t="s">
        <v>40</v>
      </c>
      <c r="G1577" s="156" t="s">
        <v>11528</v>
      </c>
      <c r="H1577" s="156" t="s">
        <v>11529</v>
      </c>
      <c r="I1577" s="168" t="s">
        <v>11530</v>
      </c>
      <c r="J1577" s="169" t="s">
        <v>72</v>
      </c>
    </row>
    <row r="1578" spans="1:11">
      <c r="A1578" s="154" t="s">
        <v>106</v>
      </c>
      <c r="B1578" s="155" t="s">
        <v>11531</v>
      </c>
      <c r="C1578" s="132" t="s">
        <v>108</v>
      </c>
      <c r="D1578" s="132" t="s">
        <v>11532</v>
      </c>
      <c r="E1578" s="132" t="s">
        <v>11533</v>
      </c>
      <c r="F1578" s="132" t="s">
        <v>40</v>
      </c>
      <c r="G1578" s="156" t="s">
        <v>11534</v>
      </c>
      <c r="H1578" s="156" t="s">
        <v>11535</v>
      </c>
      <c r="I1578" s="168" t="s">
        <v>10389</v>
      </c>
      <c r="J1578" s="169" t="s">
        <v>72</v>
      </c>
    </row>
    <row r="1579" spans="1:11">
      <c r="A1579" s="154" t="s">
        <v>20</v>
      </c>
      <c r="B1579" s="155" t="s">
        <v>11536</v>
      </c>
      <c r="C1579" s="132" t="s">
        <v>21</v>
      </c>
      <c r="D1579" s="132" t="s">
        <v>11537</v>
      </c>
      <c r="E1579" s="132" t="s">
        <v>11538</v>
      </c>
      <c r="F1579" s="132" t="s">
        <v>40</v>
      </c>
      <c r="G1579" s="156" t="s">
        <v>11539</v>
      </c>
      <c r="H1579" s="156" t="s">
        <v>11540</v>
      </c>
      <c r="I1579" s="168" t="s">
        <v>2582</v>
      </c>
      <c r="J1579" s="169" t="s">
        <v>72</v>
      </c>
    </row>
    <row r="1580" spans="1:11">
      <c r="A1580" s="154" t="s">
        <v>20</v>
      </c>
      <c r="B1580" s="155" t="s">
        <v>11541</v>
      </c>
      <c r="C1580" s="132" t="s">
        <v>21</v>
      </c>
      <c r="D1580" s="132" t="s">
        <v>11542</v>
      </c>
      <c r="E1580" s="132" t="s">
        <v>11543</v>
      </c>
      <c r="F1580" s="132" t="s">
        <v>40</v>
      </c>
      <c r="G1580" s="156" t="s">
        <v>11544</v>
      </c>
      <c r="H1580" s="156" t="s">
        <v>11545</v>
      </c>
      <c r="I1580" s="168" t="s">
        <v>2582</v>
      </c>
      <c r="J1580" s="169" t="s">
        <v>72</v>
      </c>
    </row>
    <row r="1581" spans="1:11">
      <c r="A1581" s="154" t="s">
        <v>20</v>
      </c>
      <c r="B1581" s="155" t="s">
        <v>11546</v>
      </c>
      <c r="C1581" s="132" t="s">
        <v>21</v>
      </c>
      <c r="D1581" s="132" t="s">
        <v>11547</v>
      </c>
      <c r="E1581" s="132" t="s">
        <v>2302</v>
      </c>
      <c r="F1581" s="132" t="s">
        <v>40</v>
      </c>
      <c r="G1581" s="156" t="s">
        <v>11548</v>
      </c>
      <c r="H1581" s="156" t="s">
        <v>11549</v>
      </c>
      <c r="I1581" s="168" t="s">
        <v>2582</v>
      </c>
      <c r="J1581" s="169" t="s">
        <v>72</v>
      </c>
    </row>
    <row r="1582" spans="1:11" ht="29">
      <c r="A1582" s="154" t="s">
        <v>106</v>
      </c>
      <c r="B1582" s="155" t="s">
        <v>11550</v>
      </c>
      <c r="C1582" s="132" t="s">
        <v>108</v>
      </c>
      <c r="D1582" s="132" t="s">
        <v>11551</v>
      </c>
      <c r="E1582" s="137" t="s">
        <v>11552</v>
      </c>
      <c r="F1582" s="132" t="s">
        <v>40</v>
      </c>
      <c r="G1582" s="156" t="s">
        <v>11553</v>
      </c>
      <c r="H1582" s="156" t="s">
        <v>11554</v>
      </c>
      <c r="I1582" s="168" t="s">
        <v>946</v>
      </c>
      <c r="J1582" s="169" t="s">
        <v>72</v>
      </c>
    </row>
    <row r="1583" spans="1:11">
      <c r="A1583" s="154" t="s">
        <v>95</v>
      </c>
      <c r="B1583" s="155" t="s">
        <v>11555</v>
      </c>
      <c r="C1583" s="132" t="s">
        <v>118</v>
      </c>
      <c r="D1583" s="132" t="s">
        <v>11556</v>
      </c>
      <c r="E1583" s="132" t="s">
        <v>11557</v>
      </c>
      <c r="F1583" s="132" t="s">
        <v>40</v>
      </c>
      <c r="G1583" s="156" t="s">
        <v>11558</v>
      </c>
      <c r="H1583" s="156" t="s">
        <v>11559</v>
      </c>
      <c r="I1583" s="168" t="s">
        <v>11461</v>
      </c>
      <c r="J1583" s="169" t="s">
        <v>72</v>
      </c>
    </row>
    <row r="1584" spans="1:11">
      <c r="A1584" s="154" t="s">
        <v>106</v>
      </c>
      <c r="B1584" s="155" t="s">
        <v>11560</v>
      </c>
      <c r="C1584" s="132" t="s">
        <v>108</v>
      </c>
      <c r="D1584" s="132" t="s">
        <v>8467</v>
      </c>
      <c r="E1584" s="132" t="s">
        <v>9751</v>
      </c>
      <c r="F1584" s="132" t="s">
        <v>40</v>
      </c>
      <c r="G1584" s="156" t="s">
        <v>11561</v>
      </c>
      <c r="H1584" s="156" t="s">
        <v>11562</v>
      </c>
      <c r="I1584" s="168" t="s">
        <v>32</v>
      </c>
      <c r="J1584" s="169" t="s">
        <v>72</v>
      </c>
    </row>
    <row r="1585" spans="1:10">
      <c r="A1585" s="154" t="s">
        <v>106</v>
      </c>
      <c r="B1585" s="155" t="s">
        <v>11563</v>
      </c>
      <c r="C1585" s="132" t="s">
        <v>108</v>
      </c>
      <c r="D1585" s="132" t="s">
        <v>11564</v>
      </c>
      <c r="E1585" s="132" t="s">
        <v>11565</v>
      </c>
      <c r="F1585" s="132" t="s">
        <v>40</v>
      </c>
      <c r="G1585" s="156" t="s">
        <v>11566</v>
      </c>
      <c r="H1585" s="156" t="s">
        <v>11567</v>
      </c>
      <c r="I1585" s="168" t="s">
        <v>6052</v>
      </c>
      <c r="J1585" s="169" t="s">
        <v>72</v>
      </c>
    </row>
    <row r="1586" spans="1:10">
      <c r="A1586" s="154" t="s">
        <v>106</v>
      </c>
      <c r="B1586" s="155" t="s">
        <v>11568</v>
      </c>
      <c r="C1586" s="132" t="s">
        <v>108</v>
      </c>
      <c r="D1586" s="132" t="s">
        <v>11569</v>
      </c>
      <c r="E1586" s="143" t="s">
        <v>11570</v>
      </c>
      <c r="F1586" s="132" t="s">
        <v>40</v>
      </c>
      <c r="G1586" s="156" t="s">
        <v>11571</v>
      </c>
      <c r="H1586" s="156" t="s">
        <v>11572</v>
      </c>
      <c r="I1586" s="168" t="s">
        <v>111</v>
      </c>
      <c r="J1586" s="169" t="s">
        <v>9367</v>
      </c>
    </row>
    <row r="1587" spans="1:10" hidden="1">
      <c r="A1587" s="154" t="s">
        <v>95</v>
      </c>
      <c r="B1587" s="155" t="s">
        <v>11573</v>
      </c>
      <c r="C1587" s="132" t="s">
        <v>118</v>
      </c>
      <c r="D1587" s="132" t="s">
        <v>11574</v>
      </c>
      <c r="E1587" s="143" t="s">
        <v>11575</v>
      </c>
      <c r="F1587" s="132" t="s">
        <v>308</v>
      </c>
      <c r="G1587" s="156" t="s">
        <v>11576</v>
      </c>
      <c r="I1587" s="168" t="s">
        <v>2618</v>
      </c>
      <c r="J1587" s="169" t="s">
        <v>9367</v>
      </c>
    </row>
    <row r="1588" spans="1:10">
      <c r="A1588" s="154" t="s">
        <v>95</v>
      </c>
      <c r="B1588" s="155" t="s">
        <v>11577</v>
      </c>
      <c r="C1588" s="132" t="s">
        <v>97</v>
      </c>
      <c r="D1588" s="132" t="s">
        <v>1933</v>
      </c>
      <c r="E1588" s="143" t="s">
        <v>11578</v>
      </c>
      <c r="F1588" s="132" t="s">
        <v>40</v>
      </c>
      <c r="G1588" s="156">
        <v>45298.043749999997</v>
      </c>
      <c r="H1588" s="156">
        <v>45298.052083333336</v>
      </c>
      <c r="I1588" s="168" t="s">
        <v>32</v>
      </c>
      <c r="J1588" s="169" t="s">
        <v>9367</v>
      </c>
    </row>
    <row r="1589" spans="1:10" hidden="1">
      <c r="A1589" s="154" t="s">
        <v>20</v>
      </c>
      <c r="B1589" s="155" t="s">
        <v>11579</v>
      </c>
      <c r="C1589" s="132" t="s">
        <v>21</v>
      </c>
      <c r="D1589" s="132" t="s">
        <v>11580</v>
      </c>
      <c r="E1589" s="142" t="s">
        <v>11581</v>
      </c>
      <c r="F1589" s="132" t="s">
        <v>308</v>
      </c>
      <c r="G1589" s="156">
        <v>45298.227083333331</v>
      </c>
      <c r="I1589" s="168" t="s">
        <v>64</v>
      </c>
      <c r="J1589" s="169" t="s">
        <v>9367</v>
      </c>
    </row>
    <row r="1590" spans="1:10" ht="72.5">
      <c r="A1590" s="154" t="s">
        <v>95</v>
      </c>
      <c r="B1590" s="155" t="s">
        <v>11582</v>
      </c>
      <c r="C1590" s="132" t="s">
        <v>118</v>
      </c>
      <c r="D1590" s="132" t="s">
        <v>11583</v>
      </c>
      <c r="E1590" s="137" t="s">
        <v>11584</v>
      </c>
      <c r="F1590" s="132" t="s">
        <v>40</v>
      </c>
      <c r="G1590" s="156">
        <v>45298.343055555553</v>
      </c>
      <c r="H1590" s="156">
        <v>45298.722222222219</v>
      </c>
      <c r="I1590" s="168" t="s">
        <v>11461</v>
      </c>
      <c r="J1590" s="169" t="s">
        <v>72</v>
      </c>
    </row>
    <row r="1591" spans="1:10">
      <c r="A1591" s="154" t="s">
        <v>20</v>
      </c>
      <c r="B1591" s="155" t="s">
        <v>11585</v>
      </c>
      <c r="C1591" s="132" t="s">
        <v>21</v>
      </c>
      <c r="D1591" s="132" t="s">
        <v>11586</v>
      </c>
      <c r="E1591" s="132" t="s">
        <v>11587</v>
      </c>
      <c r="F1591" s="132" t="s">
        <v>40</v>
      </c>
      <c r="G1591" s="156">
        <v>45298.35</v>
      </c>
      <c r="H1591" s="156">
        <v>45298.381944444445</v>
      </c>
      <c r="I1591" s="168" t="s">
        <v>11588</v>
      </c>
      <c r="J1591" s="169" t="s">
        <v>72</v>
      </c>
    </row>
    <row r="1592" spans="1:10">
      <c r="A1592" s="154" t="s">
        <v>20</v>
      </c>
      <c r="B1592" s="155" t="s">
        <v>11589</v>
      </c>
      <c r="C1592" s="132" t="s">
        <v>21</v>
      </c>
      <c r="D1592" s="132" t="s">
        <v>11590</v>
      </c>
      <c r="E1592" s="132" t="s">
        <v>11591</v>
      </c>
      <c r="F1592" s="132" t="s">
        <v>40</v>
      </c>
      <c r="G1592" s="156">
        <v>45298.499305555553</v>
      </c>
      <c r="H1592" s="156">
        <v>45298.53125</v>
      </c>
      <c r="I1592" s="168" t="s">
        <v>32</v>
      </c>
      <c r="J1592" s="169" t="s">
        <v>72</v>
      </c>
    </row>
    <row r="1593" spans="1:10">
      <c r="A1593" s="154" t="s">
        <v>20</v>
      </c>
      <c r="B1593" s="155" t="s">
        <v>11592</v>
      </c>
      <c r="C1593" s="132" t="s">
        <v>49</v>
      </c>
      <c r="D1593" s="132" t="s">
        <v>11593</v>
      </c>
      <c r="E1593" s="143" t="s">
        <v>11594</v>
      </c>
      <c r="F1593" s="132" t="s">
        <v>40</v>
      </c>
      <c r="G1593" s="156">
        <v>45298.53125</v>
      </c>
      <c r="H1593" s="156">
        <v>45298.663888888892</v>
      </c>
      <c r="I1593" s="168" t="s">
        <v>161</v>
      </c>
      <c r="J1593" s="169" t="s">
        <v>72</v>
      </c>
    </row>
    <row r="1594" spans="1:10">
      <c r="A1594" s="154" t="s">
        <v>95</v>
      </c>
      <c r="B1594" s="155" t="s">
        <v>11595</v>
      </c>
      <c r="C1594" s="132" t="s">
        <v>97</v>
      </c>
      <c r="D1594" s="132" t="s">
        <v>1933</v>
      </c>
      <c r="E1594" s="132" t="s">
        <v>9751</v>
      </c>
      <c r="F1594" s="132" t="s">
        <v>40</v>
      </c>
      <c r="G1594" s="156">
        <v>45298.55</v>
      </c>
      <c r="H1594" s="156">
        <v>45298.613888888889</v>
      </c>
      <c r="I1594" s="168" t="s">
        <v>32</v>
      </c>
      <c r="J1594" s="169" t="s">
        <v>72</v>
      </c>
    </row>
    <row r="1595" spans="1:10">
      <c r="A1595" s="154" t="s">
        <v>20</v>
      </c>
      <c r="B1595" s="155" t="s">
        <v>11596</v>
      </c>
      <c r="C1595" s="132" t="s">
        <v>13</v>
      </c>
      <c r="D1595" s="132" t="s">
        <v>11597</v>
      </c>
      <c r="E1595" s="132" t="s">
        <v>2302</v>
      </c>
      <c r="F1595" s="132" t="s">
        <v>40</v>
      </c>
      <c r="G1595" s="156">
        <v>45298.619444444441</v>
      </c>
      <c r="H1595" s="156">
        <v>45298.678472222222</v>
      </c>
      <c r="I1595" s="168" t="s">
        <v>149</v>
      </c>
      <c r="J1595" s="169" t="s">
        <v>72</v>
      </c>
    </row>
    <row r="1596" spans="1:10">
      <c r="A1596" s="154" t="s">
        <v>106</v>
      </c>
      <c r="B1596" s="155" t="s">
        <v>11598</v>
      </c>
      <c r="C1596" s="132" t="s">
        <v>108</v>
      </c>
      <c r="D1596" s="132" t="s">
        <v>11599</v>
      </c>
      <c r="E1596" s="132" t="s">
        <v>11600</v>
      </c>
      <c r="F1596" s="132" t="s">
        <v>40</v>
      </c>
      <c r="G1596" s="156">
        <v>45298.694444444445</v>
      </c>
      <c r="H1596" s="156">
        <v>45329.341666666667</v>
      </c>
      <c r="I1596" s="168" t="s">
        <v>11601</v>
      </c>
      <c r="J1596" s="169" t="s">
        <v>72</v>
      </c>
    </row>
    <row r="1597" spans="1:10">
      <c r="A1597" s="154"/>
      <c r="B1597" s="155" t="s">
        <v>11602</v>
      </c>
      <c r="D1597" s="132" t="s">
        <v>11603</v>
      </c>
      <c r="E1597" s="132" t="s">
        <v>2302</v>
      </c>
      <c r="F1597" s="132" t="s">
        <v>40</v>
      </c>
      <c r="G1597" s="156">
        <v>45298.756944444445</v>
      </c>
      <c r="H1597" s="156">
        <v>45298.792361111111</v>
      </c>
      <c r="I1597" s="168" t="s">
        <v>2582</v>
      </c>
      <c r="J1597" s="169" t="s">
        <v>72</v>
      </c>
    </row>
    <row r="1598" spans="1:10">
      <c r="A1598" s="154"/>
      <c r="B1598" s="155" t="s">
        <v>11604</v>
      </c>
      <c r="D1598" s="132" t="s">
        <v>8467</v>
      </c>
      <c r="E1598" s="132" t="s">
        <v>9751</v>
      </c>
      <c r="F1598" s="132" t="s">
        <v>40</v>
      </c>
      <c r="G1598" s="156">
        <v>45298.768055555556</v>
      </c>
      <c r="H1598" s="156">
        <v>45298.787499999999</v>
      </c>
      <c r="I1598" s="168" t="s">
        <v>32</v>
      </c>
      <c r="J1598" s="169" t="s">
        <v>72</v>
      </c>
    </row>
    <row r="1599" spans="1:10">
      <c r="A1599" s="154"/>
      <c r="B1599" s="155" t="s">
        <v>11605</v>
      </c>
      <c r="D1599" s="132" t="s">
        <v>11606</v>
      </c>
      <c r="E1599" s="132" t="s">
        <v>11607</v>
      </c>
      <c r="F1599" s="132" t="s">
        <v>40</v>
      </c>
      <c r="G1599" s="156">
        <v>45298.811111111114</v>
      </c>
      <c r="H1599" s="156">
        <v>45298.82916666667</v>
      </c>
      <c r="I1599" s="168" t="s">
        <v>11608</v>
      </c>
      <c r="J1599" s="169" t="s">
        <v>72</v>
      </c>
    </row>
    <row r="1600" spans="1:10">
      <c r="A1600" s="154" t="s">
        <v>20</v>
      </c>
      <c r="B1600" s="155" t="s">
        <v>11609</v>
      </c>
      <c r="C1600" s="132" t="s">
        <v>13</v>
      </c>
      <c r="D1600" s="143" t="s">
        <v>11610</v>
      </c>
      <c r="E1600" s="143" t="s">
        <v>11611</v>
      </c>
      <c r="F1600" s="132" t="s">
        <v>40</v>
      </c>
      <c r="G1600" s="156">
        <v>45298.900694444441</v>
      </c>
      <c r="H1600" s="156">
        <v>45329.006944444445</v>
      </c>
      <c r="I1600" s="168" t="s">
        <v>11612</v>
      </c>
      <c r="J1600" s="169" t="s">
        <v>9367</v>
      </c>
    </row>
    <row r="1601" spans="1:10" hidden="1">
      <c r="A1601" s="154" t="s">
        <v>106</v>
      </c>
      <c r="B1601" s="155" t="s">
        <v>11613</v>
      </c>
      <c r="C1601" s="132" t="s">
        <v>108</v>
      </c>
      <c r="D1601" s="143" t="s">
        <v>11614</v>
      </c>
      <c r="E1601" s="132" t="s">
        <v>11615</v>
      </c>
      <c r="F1601" s="132" t="s">
        <v>214</v>
      </c>
      <c r="G1601" s="156">
        <v>45298.947222222225</v>
      </c>
      <c r="H1601" s="156">
        <v>45542.811805555553</v>
      </c>
      <c r="I1601" s="168" t="s">
        <v>111</v>
      </c>
      <c r="J1601" s="169" t="s">
        <v>9367</v>
      </c>
    </row>
    <row r="1602" spans="1:10">
      <c r="A1602" s="154" t="s">
        <v>106</v>
      </c>
      <c r="B1602" s="155" t="s">
        <v>11613</v>
      </c>
      <c r="C1602" s="132" t="s">
        <v>108</v>
      </c>
      <c r="D1602" s="132" t="s">
        <v>11614</v>
      </c>
      <c r="E1602" s="132" t="s">
        <v>11615</v>
      </c>
      <c r="F1602" s="132" t="s">
        <v>40</v>
      </c>
      <c r="G1602" s="156">
        <v>45358.731249999997</v>
      </c>
      <c r="H1602" s="156">
        <v>45542.540972222225</v>
      </c>
      <c r="I1602" s="168" t="s">
        <v>6006</v>
      </c>
      <c r="J1602" s="169" t="s">
        <v>88</v>
      </c>
    </row>
    <row r="1603" spans="1:10">
      <c r="A1603" s="154" t="s">
        <v>20</v>
      </c>
      <c r="B1603" s="155" t="s">
        <v>11616</v>
      </c>
      <c r="C1603" s="132" t="s">
        <v>21</v>
      </c>
      <c r="D1603" s="143" t="s">
        <v>11617</v>
      </c>
      <c r="E1603" s="143" t="s">
        <v>11618</v>
      </c>
      <c r="F1603" s="132" t="s">
        <v>40</v>
      </c>
      <c r="G1603" s="156">
        <v>45329.223611111112</v>
      </c>
      <c r="H1603" s="156">
        <v>45329.261805555558</v>
      </c>
      <c r="I1603" s="168" t="s">
        <v>64</v>
      </c>
      <c r="J1603" s="169" t="s">
        <v>9367</v>
      </c>
    </row>
    <row r="1604" spans="1:10" hidden="1">
      <c r="A1604" s="154" t="s">
        <v>20</v>
      </c>
      <c r="B1604" s="155" t="s">
        <v>11619</v>
      </c>
      <c r="C1604" s="132" t="s">
        <v>21</v>
      </c>
      <c r="D1604" s="143" t="s">
        <v>11620</v>
      </c>
      <c r="E1604" s="132" t="s">
        <v>11621</v>
      </c>
      <c r="F1604" s="132" t="s">
        <v>214</v>
      </c>
      <c r="G1604" s="156">
        <v>45329.04791666667</v>
      </c>
      <c r="I1604" s="168" t="s">
        <v>64</v>
      </c>
      <c r="J1604" s="169" t="s">
        <v>9367</v>
      </c>
    </row>
    <row r="1605" spans="1:10">
      <c r="A1605" s="154" t="s">
        <v>20</v>
      </c>
      <c r="B1605" s="155" t="s">
        <v>11622</v>
      </c>
      <c r="C1605" s="132" t="s">
        <v>49</v>
      </c>
      <c r="D1605" s="143" t="s">
        <v>11623</v>
      </c>
      <c r="E1605" s="141" t="s">
        <v>11624</v>
      </c>
      <c r="F1605" s="132" t="s">
        <v>40</v>
      </c>
      <c r="G1605" s="156">
        <v>45329.010416666664</v>
      </c>
      <c r="H1605" s="156">
        <v>45329.036805555559</v>
      </c>
      <c r="I1605" s="168" t="s">
        <v>11625</v>
      </c>
      <c r="J1605" s="169" t="s">
        <v>9367</v>
      </c>
    </row>
    <row r="1606" spans="1:10">
      <c r="A1606" s="154" t="s">
        <v>95</v>
      </c>
      <c r="B1606" s="155" t="s">
        <v>11626</v>
      </c>
      <c r="C1606" s="132" t="s">
        <v>118</v>
      </c>
      <c r="D1606" s="143" t="s">
        <v>11627</v>
      </c>
      <c r="E1606" s="143" t="s">
        <v>11628</v>
      </c>
      <c r="F1606" s="132" t="s">
        <v>40</v>
      </c>
      <c r="G1606" s="156">
        <v>45329.26458333333</v>
      </c>
      <c r="H1606" s="156">
        <v>45329.270833333336</v>
      </c>
      <c r="I1606" s="168" t="s">
        <v>11629</v>
      </c>
      <c r="J1606" s="169" t="s">
        <v>9367</v>
      </c>
    </row>
    <row r="1607" spans="1:10">
      <c r="A1607" s="154" t="s">
        <v>106</v>
      </c>
      <c r="B1607" s="155" t="s">
        <v>11630</v>
      </c>
      <c r="C1607" s="132" t="s">
        <v>108</v>
      </c>
      <c r="D1607" s="143" t="s">
        <v>11631</v>
      </c>
      <c r="E1607" s="141" t="s">
        <v>11632</v>
      </c>
      <c r="F1607" s="132" t="s">
        <v>40</v>
      </c>
      <c r="G1607" s="156">
        <v>45329.267361111109</v>
      </c>
      <c r="H1607" s="156">
        <v>45329.3</v>
      </c>
      <c r="I1607" s="168" t="s">
        <v>111</v>
      </c>
      <c r="J1607" s="169" t="s">
        <v>9367</v>
      </c>
    </row>
    <row r="1608" spans="1:10">
      <c r="A1608" s="154" t="s">
        <v>95</v>
      </c>
      <c r="B1608" s="155" t="s">
        <v>11633</v>
      </c>
      <c r="C1608" s="132" t="s">
        <v>6047</v>
      </c>
      <c r="D1608" s="132" t="s">
        <v>11634</v>
      </c>
      <c r="E1608" s="143" t="s">
        <v>11635</v>
      </c>
      <c r="F1608" s="132" t="s">
        <v>40</v>
      </c>
      <c r="G1608" s="156">
        <v>45329.256249999999</v>
      </c>
      <c r="H1608" s="156">
        <v>45329.263888888891</v>
      </c>
      <c r="I1608" s="168" t="s">
        <v>10418</v>
      </c>
      <c r="J1608" s="169" t="s">
        <v>9367</v>
      </c>
    </row>
    <row r="1609" spans="1:10">
      <c r="A1609" s="154" t="s">
        <v>95</v>
      </c>
      <c r="B1609" s="155" t="s">
        <v>11636</v>
      </c>
      <c r="C1609" s="132" t="s">
        <v>113</v>
      </c>
      <c r="D1609" s="132" t="s">
        <v>11637</v>
      </c>
      <c r="E1609" s="132" t="s">
        <v>11638</v>
      </c>
      <c r="F1609" s="132" t="s">
        <v>40</v>
      </c>
      <c r="G1609" s="156">
        <v>45329.395833333336</v>
      </c>
      <c r="H1609" s="156">
        <v>45329.42083333333</v>
      </c>
      <c r="I1609" s="168" t="s">
        <v>11639</v>
      </c>
      <c r="J1609" s="169" t="s">
        <v>72</v>
      </c>
    </row>
    <row r="1610" spans="1:10">
      <c r="A1610" s="154" t="s">
        <v>95</v>
      </c>
      <c r="B1610" s="155" t="s">
        <v>11640</v>
      </c>
      <c r="C1610" s="132" t="s">
        <v>97</v>
      </c>
      <c r="D1610" s="132" t="s">
        <v>1933</v>
      </c>
      <c r="E1610" s="132" t="s">
        <v>9751</v>
      </c>
      <c r="F1610" s="132" t="s">
        <v>40</v>
      </c>
      <c r="G1610" s="156">
        <v>45329.408333333333</v>
      </c>
      <c r="J1610" s="169" t="s">
        <v>72</v>
      </c>
    </row>
    <row r="1611" spans="1:10">
      <c r="A1611" s="154" t="s">
        <v>106</v>
      </c>
      <c r="B1611" s="155" t="s">
        <v>11641</v>
      </c>
      <c r="C1611" s="132" t="s">
        <v>108</v>
      </c>
      <c r="D1611" s="132" t="s">
        <v>11642</v>
      </c>
      <c r="E1611" s="132" t="s">
        <v>11643</v>
      </c>
      <c r="F1611" s="132" t="s">
        <v>40</v>
      </c>
      <c r="G1611" s="156">
        <v>45329.410416666666</v>
      </c>
      <c r="H1611" s="156">
        <v>45329.413888888892</v>
      </c>
      <c r="I1611" s="168" t="s">
        <v>11644</v>
      </c>
      <c r="J1611" s="169" t="s">
        <v>72</v>
      </c>
    </row>
    <row r="1612" spans="1:10">
      <c r="A1612" s="154" t="s">
        <v>20</v>
      </c>
      <c r="B1612" s="155" t="s">
        <v>11645</v>
      </c>
      <c r="C1612" s="132" t="s">
        <v>21</v>
      </c>
      <c r="D1612" s="132" t="s">
        <v>11646</v>
      </c>
      <c r="E1612" s="132" t="s">
        <v>11647</v>
      </c>
      <c r="F1612" s="132" t="s">
        <v>40</v>
      </c>
      <c r="G1612" s="156">
        <v>45329.290277777778</v>
      </c>
      <c r="H1612" s="156">
        <v>45419.452777777777</v>
      </c>
      <c r="I1612" s="168" t="s">
        <v>11648</v>
      </c>
      <c r="J1612" s="169" t="s">
        <v>132</v>
      </c>
    </row>
    <row r="1613" spans="1:10">
      <c r="A1613" s="154" t="s">
        <v>106</v>
      </c>
      <c r="B1613" s="155" t="s">
        <v>11649</v>
      </c>
      <c r="C1613" s="132" t="s">
        <v>108</v>
      </c>
      <c r="D1613" s="132" t="s">
        <v>11650</v>
      </c>
      <c r="E1613" s="132" t="s">
        <v>2302</v>
      </c>
      <c r="F1613" s="132" t="s">
        <v>40</v>
      </c>
      <c r="G1613" s="156">
        <v>45329.479166666664</v>
      </c>
      <c r="H1613" s="156">
        <v>45329.577777777777</v>
      </c>
      <c r="I1613" s="168" t="s">
        <v>111</v>
      </c>
      <c r="J1613" s="169" t="s">
        <v>72</v>
      </c>
    </row>
    <row r="1614" spans="1:10">
      <c r="A1614" s="154" t="s">
        <v>95</v>
      </c>
      <c r="B1614" s="155" t="s">
        <v>11651</v>
      </c>
      <c r="C1614" s="132" t="s">
        <v>28</v>
      </c>
      <c r="D1614" s="132" t="s">
        <v>11652</v>
      </c>
      <c r="E1614" s="132" t="s">
        <v>11653</v>
      </c>
      <c r="F1614" s="132" t="s">
        <v>40</v>
      </c>
      <c r="G1614" s="156">
        <v>45329.538194444445</v>
      </c>
      <c r="H1614" s="156">
        <v>45329.548611111109</v>
      </c>
      <c r="I1614" s="168" t="s">
        <v>5094</v>
      </c>
      <c r="J1614" s="169" t="s">
        <v>72</v>
      </c>
    </row>
    <row r="1615" spans="1:10">
      <c r="A1615" s="154" t="s">
        <v>106</v>
      </c>
      <c r="B1615" s="155" t="s">
        <v>11654</v>
      </c>
      <c r="C1615" s="132" t="s">
        <v>108</v>
      </c>
      <c r="D1615" s="132" t="s">
        <v>11655</v>
      </c>
      <c r="E1615" s="132" t="s">
        <v>11656</v>
      </c>
      <c r="F1615" s="132" t="s">
        <v>40</v>
      </c>
      <c r="G1615" s="156">
        <v>45329.55</v>
      </c>
      <c r="H1615" s="156">
        <v>45329.553472222222</v>
      </c>
      <c r="I1615" s="168" t="s">
        <v>616</v>
      </c>
      <c r="J1615" s="169" t="s">
        <v>72</v>
      </c>
    </row>
    <row r="1616" spans="1:10">
      <c r="A1616" s="154" t="s">
        <v>95</v>
      </c>
      <c r="B1616" s="155" t="s">
        <v>11657</v>
      </c>
      <c r="C1616" s="132" t="s">
        <v>118</v>
      </c>
      <c r="D1616" s="132" t="s">
        <v>11658</v>
      </c>
      <c r="E1616" s="132" t="s">
        <v>2302</v>
      </c>
      <c r="F1616" s="132" t="s">
        <v>40</v>
      </c>
      <c r="G1616" s="156">
        <v>45329.637499999997</v>
      </c>
      <c r="H1616" s="156">
        <v>45329.768055555556</v>
      </c>
      <c r="I1616" s="168" t="s">
        <v>6774</v>
      </c>
      <c r="J1616" s="169" t="s">
        <v>72</v>
      </c>
    </row>
    <row r="1617" spans="1:10">
      <c r="A1617" s="154" t="s">
        <v>106</v>
      </c>
      <c r="B1617" s="155" t="s">
        <v>11659</v>
      </c>
      <c r="C1617" s="132" t="s">
        <v>37</v>
      </c>
      <c r="D1617" s="132" t="s">
        <v>11660</v>
      </c>
      <c r="E1617" s="132" t="s">
        <v>11661</v>
      </c>
      <c r="F1617" s="132" t="s">
        <v>40</v>
      </c>
      <c r="G1617" s="156">
        <v>45329.665277777778</v>
      </c>
      <c r="H1617" s="156">
        <v>45329.750694444447</v>
      </c>
      <c r="I1617" s="168" t="s">
        <v>11662</v>
      </c>
      <c r="J1617" s="169" t="s">
        <v>72</v>
      </c>
    </row>
    <row r="1618" spans="1:10">
      <c r="A1618" s="154" t="s">
        <v>106</v>
      </c>
      <c r="B1618" s="155" t="s">
        <v>11663</v>
      </c>
      <c r="C1618" s="132" t="s">
        <v>78</v>
      </c>
      <c r="D1618" s="132" t="s">
        <v>11664</v>
      </c>
      <c r="E1618" s="132" t="s">
        <v>2302</v>
      </c>
      <c r="F1618" s="132" t="s">
        <v>40</v>
      </c>
      <c r="G1618" s="156">
        <v>45329.666666666664</v>
      </c>
      <c r="H1618" s="156">
        <v>45329.771527777775</v>
      </c>
      <c r="I1618" s="168" t="s">
        <v>258</v>
      </c>
      <c r="J1618" s="169" t="s">
        <v>72</v>
      </c>
    </row>
    <row r="1619" spans="1:10">
      <c r="A1619" s="154" t="s">
        <v>106</v>
      </c>
      <c r="B1619" s="155" t="s">
        <v>11665</v>
      </c>
      <c r="C1619" s="132" t="s">
        <v>108</v>
      </c>
      <c r="D1619" s="132" t="s">
        <v>11257</v>
      </c>
      <c r="E1619" s="132" t="s">
        <v>11661</v>
      </c>
      <c r="F1619" s="132" t="s">
        <v>40</v>
      </c>
      <c r="G1619" s="156">
        <v>45329.693749999999</v>
      </c>
      <c r="H1619" s="156">
        <v>45329.770833333336</v>
      </c>
      <c r="I1619" s="168" t="s">
        <v>1173</v>
      </c>
      <c r="J1619" s="169" t="s">
        <v>72</v>
      </c>
    </row>
    <row r="1620" spans="1:10">
      <c r="A1620" s="154" t="s">
        <v>95</v>
      </c>
      <c r="B1620" s="155" t="s">
        <v>11666</v>
      </c>
      <c r="C1620" s="132" t="s">
        <v>1763</v>
      </c>
      <c r="D1620" s="132" t="s">
        <v>11667</v>
      </c>
      <c r="E1620" s="132" t="s">
        <v>11668</v>
      </c>
      <c r="F1620" s="132" t="s">
        <v>40</v>
      </c>
      <c r="G1620" s="156">
        <v>45329.779166666667</v>
      </c>
      <c r="H1620" s="156">
        <v>45329.791666666664</v>
      </c>
      <c r="J1620" s="169" t="s">
        <v>132</v>
      </c>
    </row>
    <row r="1621" spans="1:10">
      <c r="A1621" s="154" t="s">
        <v>95</v>
      </c>
      <c r="B1621" s="155" t="s">
        <v>11669</v>
      </c>
      <c r="C1621" s="132" t="s">
        <v>118</v>
      </c>
      <c r="D1621" s="143" t="s">
        <v>11670</v>
      </c>
      <c r="E1621" s="143" t="s">
        <v>11671</v>
      </c>
      <c r="F1621" s="132" t="s">
        <v>40</v>
      </c>
      <c r="G1621" s="156">
        <v>45329.963888888888</v>
      </c>
      <c r="H1621" s="156">
        <v>45329.976388888892</v>
      </c>
      <c r="I1621" s="168" t="s">
        <v>11629</v>
      </c>
      <c r="J1621" s="169" t="s">
        <v>9367</v>
      </c>
    </row>
    <row r="1622" spans="1:10">
      <c r="A1622" s="154" t="s">
        <v>106</v>
      </c>
      <c r="B1622" s="155" t="s">
        <v>11672</v>
      </c>
      <c r="C1622" s="132" t="s">
        <v>333</v>
      </c>
      <c r="D1622" s="143" t="s">
        <v>11673</v>
      </c>
      <c r="E1622" s="142" t="s">
        <v>11674</v>
      </c>
      <c r="F1622" s="132" t="s">
        <v>40</v>
      </c>
      <c r="G1622" s="156">
        <v>45329.946527777778</v>
      </c>
      <c r="H1622" s="156">
        <v>45329.974999999999</v>
      </c>
      <c r="I1622" s="168" t="s">
        <v>3296</v>
      </c>
      <c r="J1622" s="169" t="s">
        <v>9367</v>
      </c>
    </row>
    <row r="1623" spans="1:10">
      <c r="A1623" s="154" t="s">
        <v>106</v>
      </c>
      <c r="B1623" s="155" t="s">
        <v>11675</v>
      </c>
      <c r="C1623" s="132" t="s">
        <v>333</v>
      </c>
      <c r="D1623" s="143" t="s">
        <v>11676</v>
      </c>
      <c r="E1623" s="142" t="s">
        <v>11677</v>
      </c>
      <c r="F1623" s="132" t="s">
        <v>40</v>
      </c>
      <c r="G1623" s="156">
        <v>45329.946527777778</v>
      </c>
      <c r="H1623" s="156">
        <v>45329.974999999999</v>
      </c>
      <c r="I1623" s="168" t="s">
        <v>3296</v>
      </c>
      <c r="J1623" s="169" t="s">
        <v>9367</v>
      </c>
    </row>
    <row r="1624" spans="1:10">
      <c r="A1624" s="154" t="s">
        <v>106</v>
      </c>
      <c r="B1624" s="155" t="s">
        <v>11678</v>
      </c>
      <c r="C1624" s="132" t="s">
        <v>333</v>
      </c>
      <c r="D1624" s="143" t="s">
        <v>11679</v>
      </c>
      <c r="E1624" s="142" t="s">
        <v>11680</v>
      </c>
      <c r="F1624" s="132" t="s">
        <v>40</v>
      </c>
      <c r="G1624" s="156">
        <v>45329.895138888889</v>
      </c>
      <c r="H1624" s="156">
        <v>45358.25</v>
      </c>
      <c r="I1624" s="168" t="s">
        <v>11681</v>
      </c>
      <c r="J1624" s="169" t="s">
        <v>9367</v>
      </c>
    </row>
    <row r="1625" spans="1:10">
      <c r="A1625" s="154" t="s">
        <v>95</v>
      </c>
      <c r="B1625" s="155" t="s">
        <v>11682</v>
      </c>
      <c r="C1625" s="132" t="s">
        <v>113</v>
      </c>
      <c r="D1625" s="143" t="s">
        <v>11683</v>
      </c>
      <c r="E1625" s="143" t="s">
        <v>11684</v>
      </c>
      <c r="F1625" s="132" t="s">
        <v>40</v>
      </c>
      <c r="G1625" s="156">
        <v>45329.881944444445</v>
      </c>
      <c r="H1625" s="156">
        <v>45358.052083333336</v>
      </c>
      <c r="I1625" s="168" t="s">
        <v>11422</v>
      </c>
      <c r="J1625" s="169" t="s">
        <v>9367</v>
      </c>
    </row>
    <row r="1626" spans="1:10">
      <c r="A1626" s="154" t="s">
        <v>106</v>
      </c>
      <c r="B1626" s="155" t="s">
        <v>11685</v>
      </c>
      <c r="C1626" s="132" t="s">
        <v>108</v>
      </c>
      <c r="D1626" s="143" t="s">
        <v>11686</v>
      </c>
      <c r="E1626" s="143" t="s">
        <v>11687</v>
      </c>
      <c r="F1626" s="132" t="s">
        <v>40</v>
      </c>
      <c r="G1626" s="156">
        <v>45329.837500000001</v>
      </c>
      <c r="H1626" s="156">
        <v>45329.84375</v>
      </c>
      <c r="I1626" s="168" t="s">
        <v>32</v>
      </c>
      <c r="J1626" s="169" t="s">
        <v>9367</v>
      </c>
    </row>
    <row r="1627" spans="1:10">
      <c r="A1627" s="154" t="s">
        <v>20</v>
      </c>
      <c r="B1627" s="155" t="s">
        <v>11688</v>
      </c>
      <c r="C1627" s="132" t="s">
        <v>21</v>
      </c>
      <c r="D1627" s="143" t="s">
        <v>11689</v>
      </c>
      <c r="E1627" s="143" t="s">
        <v>11690</v>
      </c>
      <c r="F1627" s="132" t="s">
        <v>40</v>
      </c>
      <c r="G1627" s="156">
        <v>45358.048611111109</v>
      </c>
      <c r="H1627" s="156">
        <v>45358.067361111112</v>
      </c>
      <c r="I1627" s="168" t="s">
        <v>64</v>
      </c>
      <c r="J1627" s="169" t="s">
        <v>9367</v>
      </c>
    </row>
    <row r="1628" spans="1:10">
      <c r="A1628" s="154" t="s">
        <v>95</v>
      </c>
      <c r="B1628" s="155" t="s">
        <v>11691</v>
      </c>
      <c r="C1628" s="132" t="s">
        <v>118</v>
      </c>
      <c r="D1628" s="132" t="s">
        <v>11692</v>
      </c>
      <c r="E1628" s="143" t="s">
        <v>11693</v>
      </c>
      <c r="F1628" s="132" t="s">
        <v>40</v>
      </c>
      <c r="G1628" s="156">
        <v>45358.052777777775</v>
      </c>
      <c r="H1628" s="156">
        <v>45358.063194444447</v>
      </c>
      <c r="I1628" s="168" t="s">
        <v>11629</v>
      </c>
      <c r="J1628" s="169" t="s">
        <v>9367</v>
      </c>
    </row>
    <row r="1629" spans="1:10">
      <c r="A1629" s="154" t="s">
        <v>95</v>
      </c>
      <c r="B1629" s="155" t="s">
        <v>11694</v>
      </c>
      <c r="C1629" s="132" t="s">
        <v>97</v>
      </c>
      <c r="D1629" s="143" t="s">
        <v>11695</v>
      </c>
      <c r="E1629" s="143" t="s">
        <v>11696</v>
      </c>
      <c r="F1629" s="132" t="s">
        <v>40</v>
      </c>
      <c r="G1629" s="156">
        <v>45358.277083333334</v>
      </c>
      <c r="H1629" s="156">
        <v>45358.282638888886</v>
      </c>
      <c r="I1629" s="168" t="s">
        <v>32</v>
      </c>
      <c r="J1629" s="169" t="s">
        <v>9367</v>
      </c>
    </row>
    <row r="1630" spans="1:10">
      <c r="A1630" s="154" t="s">
        <v>20</v>
      </c>
      <c r="B1630" s="155" t="s">
        <v>11697</v>
      </c>
      <c r="C1630" s="132" t="s">
        <v>13</v>
      </c>
      <c r="D1630" s="132" t="s">
        <v>11698</v>
      </c>
      <c r="E1630" s="132" t="s">
        <v>11699</v>
      </c>
      <c r="F1630" s="132" t="s">
        <v>40</v>
      </c>
      <c r="G1630" s="156">
        <v>45358.275000000001</v>
      </c>
      <c r="H1630" s="156">
        <v>45358.691666666666</v>
      </c>
      <c r="I1630" s="168" t="s">
        <v>17</v>
      </c>
      <c r="J1630" s="169" t="s">
        <v>88</v>
      </c>
    </row>
    <row r="1631" spans="1:10">
      <c r="A1631" s="154" t="s">
        <v>95</v>
      </c>
      <c r="B1631" s="155" t="s">
        <v>11700</v>
      </c>
      <c r="C1631" s="132" t="s">
        <v>118</v>
      </c>
      <c r="D1631" s="132" t="s">
        <v>11701</v>
      </c>
      <c r="E1631" s="132" t="s">
        <v>11702</v>
      </c>
      <c r="F1631" s="132" t="s">
        <v>40</v>
      </c>
      <c r="G1631" s="156">
        <v>45358.277083333334</v>
      </c>
      <c r="H1631" s="156">
        <v>45511.386805555558</v>
      </c>
      <c r="I1631" s="168" t="s">
        <v>6774</v>
      </c>
      <c r="J1631" s="169" t="s">
        <v>88</v>
      </c>
    </row>
    <row r="1632" spans="1:10" ht="29">
      <c r="A1632" s="154" t="s">
        <v>20</v>
      </c>
      <c r="B1632" s="155" t="s">
        <v>11703</v>
      </c>
      <c r="C1632" s="132" t="s">
        <v>49</v>
      </c>
      <c r="D1632" s="132" t="s">
        <v>11704</v>
      </c>
      <c r="E1632" s="132" t="s">
        <v>11705</v>
      </c>
      <c r="F1632" s="132" t="s">
        <v>40</v>
      </c>
      <c r="G1632" s="156">
        <v>45358.293749999997</v>
      </c>
      <c r="H1632" s="178" t="s">
        <v>11706</v>
      </c>
      <c r="I1632" s="168" t="s">
        <v>2585</v>
      </c>
      <c r="J1632" s="169" t="s">
        <v>88</v>
      </c>
    </row>
    <row r="1633" spans="1:12">
      <c r="A1633" s="154" t="s">
        <v>20</v>
      </c>
      <c r="B1633" s="155" t="s">
        <v>11707</v>
      </c>
      <c r="C1633" s="132" t="s">
        <v>21</v>
      </c>
      <c r="D1633" s="132" t="s">
        <v>11708</v>
      </c>
      <c r="E1633" s="132" t="s">
        <v>11709</v>
      </c>
      <c r="F1633" s="132" t="s">
        <v>40</v>
      </c>
      <c r="G1633" s="156">
        <v>45358.32708333333</v>
      </c>
      <c r="H1633" s="156">
        <v>45358.397222222222</v>
      </c>
      <c r="I1633" s="168" t="s">
        <v>61</v>
      </c>
      <c r="J1633" s="169" t="s">
        <v>88</v>
      </c>
    </row>
    <row r="1634" spans="1:12" ht="42.5">
      <c r="A1634" s="154" t="s">
        <v>95</v>
      </c>
      <c r="B1634" s="155" t="s">
        <v>11710</v>
      </c>
      <c r="C1634" s="132" t="s">
        <v>97</v>
      </c>
      <c r="D1634" s="132" t="s">
        <v>11711</v>
      </c>
      <c r="E1634" s="144" t="s">
        <v>11712</v>
      </c>
      <c r="F1634" s="132" t="s">
        <v>40</v>
      </c>
      <c r="G1634" s="156">
        <v>45358.363888888889</v>
      </c>
      <c r="H1634" s="156">
        <v>45484</v>
      </c>
      <c r="I1634" s="168" t="s">
        <v>11391</v>
      </c>
      <c r="J1634" s="169" t="s">
        <v>88</v>
      </c>
      <c r="K1634" s="169" t="s">
        <v>132</v>
      </c>
      <c r="L1634" s="185">
        <v>45482</v>
      </c>
    </row>
    <row r="1635" spans="1:12">
      <c r="A1635" s="154" t="s">
        <v>95</v>
      </c>
      <c r="B1635" s="155" t="s">
        <v>11713</v>
      </c>
      <c r="C1635" s="132" t="s">
        <v>97</v>
      </c>
      <c r="D1635" s="132" t="s">
        <v>11714</v>
      </c>
      <c r="E1635" s="144" t="s">
        <v>11715</v>
      </c>
      <c r="F1635" s="132" t="s">
        <v>40</v>
      </c>
      <c r="G1635" s="156">
        <v>45358.422222222223</v>
      </c>
      <c r="H1635" s="156">
        <v>45358.509722222225</v>
      </c>
      <c r="I1635" s="168" t="s">
        <v>1343</v>
      </c>
      <c r="J1635" s="169" t="s">
        <v>88</v>
      </c>
    </row>
    <row r="1636" spans="1:12">
      <c r="A1636" s="154" t="s">
        <v>106</v>
      </c>
      <c r="B1636" s="155" t="s">
        <v>11716</v>
      </c>
      <c r="C1636" s="132" t="s">
        <v>78</v>
      </c>
      <c r="D1636" s="132" t="s">
        <v>11717</v>
      </c>
      <c r="E1636" s="144" t="s">
        <v>11718</v>
      </c>
      <c r="F1636" s="132" t="s">
        <v>40</v>
      </c>
      <c r="G1636" s="156">
        <v>45358.534722222219</v>
      </c>
      <c r="H1636" s="156">
        <v>45358.652083333334</v>
      </c>
      <c r="I1636" s="168" t="s">
        <v>258</v>
      </c>
      <c r="J1636" s="169" t="s">
        <v>88</v>
      </c>
    </row>
    <row r="1637" spans="1:12">
      <c r="A1637" s="154" t="s">
        <v>95</v>
      </c>
      <c r="B1637" s="155" t="s">
        <v>11719</v>
      </c>
      <c r="C1637" s="132" t="s">
        <v>118</v>
      </c>
      <c r="D1637" s="132" t="s">
        <v>11720</v>
      </c>
      <c r="E1637" s="132" t="s">
        <v>11721</v>
      </c>
      <c r="F1637" s="132" t="s">
        <v>40</v>
      </c>
      <c r="G1637" s="156">
        <v>45358.577777777777</v>
      </c>
      <c r="H1637" s="156">
        <v>45358.689583333333</v>
      </c>
      <c r="I1637" s="168" t="s">
        <v>11722</v>
      </c>
      <c r="J1637" s="169" t="s">
        <v>88</v>
      </c>
    </row>
    <row r="1638" spans="1:12">
      <c r="A1638" s="154" t="s">
        <v>106</v>
      </c>
      <c r="B1638" s="155" t="s">
        <v>11723</v>
      </c>
      <c r="C1638" s="132" t="s">
        <v>108</v>
      </c>
      <c r="D1638" s="132" t="s">
        <v>11724</v>
      </c>
      <c r="E1638" s="132" t="s">
        <v>11725</v>
      </c>
      <c r="F1638" s="132" t="s">
        <v>40</v>
      </c>
      <c r="G1638" s="156">
        <v>45358.61041666667</v>
      </c>
      <c r="H1638" s="156">
        <v>45358.651388888888</v>
      </c>
      <c r="I1638" s="168" t="s">
        <v>111</v>
      </c>
      <c r="J1638" s="169" t="s">
        <v>88</v>
      </c>
    </row>
    <row r="1639" spans="1:12">
      <c r="A1639" s="154" t="s">
        <v>20</v>
      </c>
      <c r="B1639" s="155" t="s">
        <v>11726</v>
      </c>
      <c r="C1639" s="132" t="s">
        <v>21</v>
      </c>
      <c r="D1639" s="132" t="s">
        <v>11727</v>
      </c>
      <c r="E1639" s="132" t="s">
        <v>11728</v>
      </c>
      <c r="F1639" s="132" t="s">
        <v>40</v>
      </c>
      <c r="G1639" s="156">
        <v>45358.657638888886</v>
      </c>
      <c r="H1639" s="156">
        <v>45358.695833333331</v>
      </c>
      <c r="I1639" s="168" t="s">
        <v>11729</v>
      </c>
      <c r="J1639" s="169" t="s">
        <v>88</v>
      </c>
    </row>
    <row r="1640" spans="1:12">
      <c r="A1640" s="154" t="s">
        <v>95</v>
      </c>
      <c r="B1640" s="155" t="s">
        <v>11730</v>
      </c>
      <c r="C1640" s="132" t="s">
        <v>97</v>
      </c>
      <c r="D1640" s="132" t="s">
        <v>2684</v>
      </c>
      <c r="E1640" s="132" t="s">
        <v>11731</v>
      </c>
      <c r="F1640" s="132" t="s">
        <v>40</v>
      </c>
      <c r="G1640" s="156">
        <v>45358.661111111112</v>
      </c>
      <c r="H1640" s="156">
        <v>45358.696527777778</v>
      </c>
      <c r="I1640" s="168" t="s">
        <v>2585</v>
      </c>
      <c r="J1640" s="169" t="s">
        <v>88</v>
      </c>
    </row>
    <row r="1641" spans="1:12">
      <c r="A1641" s="154" t="s">
        <v>95</v>
      </c>
      <c r="B1641" s="159" t="s">
        <v>11732</v>
      </c>
      <c r="C1641" s="132" t="s">
        <v>118</v>
      </c>
      <c r="D1641" s="132" t="s">
        <v>11733</v>
      </c>
      <c r="E1641" s="132" t="s">
        <v>11734</v>
      </c>
      <c r="F1641" s="132" t="s">
        <v>40</v>
      </c>
      <c r="G1641" s="156">
        <v>45358.663194444445</v>
      </c>
      <c r="H1641" s="156">
        <v>45358.697222222225</v>
      </c>
      <c r="I1641" s="168" t="s">
        <v>11735</v>
      </c>
      <c r="J1641" s="169" t="s">
        <v>88</v>
      </c>
    </row>
    <row r="1642" spans="1:12">
      <c r="A1642" s="154" t="s">
        <v>95</v>
      </c>
      <c r="B1642" s="155" t="s">
        <v>11736</v>
      </c>
      <c r="C1642" s="132" t="s">
        <v>97</v>
      </c>
      <c r="D1642" s="132" t="s">
        <v>11737</v>
      </c>
      <c r="E1642" s="132" t="s">
        <v>11738</v>
      </c>
      <c r="F1642" s="132" t="s">
        <v>40</v>
      </c>
      <c r="G1642" s="156">
        <v>45358.932638888888</v>
      </c>
      <c r="H1642" s="156">
        <v>45389.307638888888</v>
      </c>
      <c r="I1642" s="168" t="s">
        <v>4635</v>
      </c>
      <c r="J1642" s="169" t="s">
        <v>514</v>
      </c>
      <c r="K1642" s="169" t="s">
        <v>88</v>
      </c>
    </row>
    <row r="1643" spans="1:12">
      <c r="A1643" s="154" t="s">
        <v>95</v>
      </c>
      <c r="B1643" s="155" t="s">
        <v>11739</v>
      </c>
      <c r="C1643" s="132" t="s">
        <v>97</v>
      </c>
      <c r="D1643" s="132" t="s">
        <v>11740</v>
      </c>
      <c r="E1643" s="132" t="s">
        <v>11741</v>
      </c>
      <c r="F1643" s="132" t="s">
        <v>40</v>
      </c>
      <c r="G1643" s="156">
        <v>45389.031944444447</v>
      </c>
      <c r="I1643" s="168" t="s">
        <v>4635</v>
      </c>
      <c r="J1643" s="169" t="s">
        <v>514</v>
      </c>
    </row>
    <row r="1644" spans="1:12">
      <c r="A1644" s="154" t="s">
        <v>95</v>
      </c>
      <c r="B1644" s="155" t="s">
        <v>11742</v>
      </c>
      <c r="C1644" s="132" t="s">
        <v>118</v>
      </c>
      <c r="D1644" s="132" t="s">
        <v>11743</v>
      </c>
      <c r="E1644" s="132" t="s">
        <v>11744</v>
      </c>
      <c r="F1644" s="132" t="s">
        <v>40</v>
      </c>
      <c r="G1644" s="156">
        <v>45389.242361111108</v>
      </c>
      <c r="H1644" s="156">
        <v>45389.269444444442</v>
      </c>
      <c r="I1644" s="168" t="s">
        <v>11745</v>
      </c>
      <c r="J1644" s="169" t="s">
        <v>88</v>
      </c>
    </row>
    <row r="1645" spans="1:12">
      <c r="A1645" s="154" t="s">
        <v>95</v>
      </c>
      <c r="B1645" s="155" t="s">
        <v>11746</v>
      </c>
      <c r="C1645" s="132" t="s">
        <v>6047</v>
      </c>
      <c r="D1645" s="132" t="s">
        <v>11747</v>
      </c>
      <c r="E1645" s="132" t="s">
        <v>11748</v>
      </c>
      <c r="F1645" s="132" t="s">
        <v>40</v>
      </c>
      <c r="G1645" s="156">
        <v>45389.270833333336</v>
      </c>
      <c r="H1645" s="156">
        <v>45389.482638888891</v>
      </c>
      <c r="I1645" s="168" t="s">
        <v>11749</v>
      </c>
      <c r="J1645" s="169" t="s">
        <v>88</v>
      </c>
    </row>
    <row r="1646" spans="1:12">
      <c r="A1646" s="154" t="s">
        <v>106</v>
      </c>
      <c r="B1646" s="155" t="s">
        <v>11750</v>
      </c>
      <c r="C1646" s="132" t="s">
        <v>380</v>
      </c>
      <c r="D1646" s="132" t="s">
        <v>11751</v>
      </c>
      <c r="E1646" s="132" t="s">
        <v>11752</v>
      </c>
      <c r="F1646" s="132" t="s">
        <v>40</v>
      </c>
      <c r="G1646" s="156">
        <v>45389.276388888888</v>
      </c>
      <c r="H1646" s="156">
        <v>45389.304861111108</v>
      </c>
      <c r="I1646" s="168" t="s">
        <v>11753</v>
      </c>
      <c r="J1646" s="169" t="s">
        <v>88</v>
      </c>
    </row>
    <row r="1647" spans="1:12">
      <c r="A1647" s="154" t="s">
        <v>95</v>
      </c>
      <c r="B1647" s="155" t="s">
        <v>11754</v>
      </c>
      <c r="C1647" s="132" t="s">
        <v>118</v>
      </c>
      <c r="D1647" s="132" t="s">
        <v>11755</v>
      </c>
      <c r="E1647" s="132" t="s">
        <v>11756</v>
      </c>
      <c r="F1647" s="132" t="s">
        <v>40</v>
      </c>
      <c r="G1647" s="156">
        <v>45389.352083333331</v>
      </c>
      <c r="H1647" s="156">
        <v>45389.481944444444</v>
      </c>
      <c r="I1647" s="168" t="s">
        <v>11757</v>
      </c>
      <c r="J1647" s="169" t="s">
        <v>88</v>
      </c>
    </row>
    <row r="1648" spans="1:12">
      <c r="A1648" s="154" t="s">
        <v>95</v>
      </c>
      <c r="B1648" s="155" t="s">
        <v>11758</v>
      </c>
      <c r="C1648" s="132" t="s">
        <v>118</v>
      </c>
      <c r="D1648" s="132" t="s">
        <v>11759</v>
      </c>
      <c r="E1648" s="132" t="s">
        <v>11760</v>
      </c>
      <c r="F1648" s="132" t="s">
        <v>40</v>
      </c>
      <c r="G1648" s="156">
        <v>45389.352777777778</v>
      </c>
      <c r="H1648" s="156">
        <v>45389.481944444444</v>
      </c>
      <c r="I1648" s="168" t="s">
        <v>11757</v>
      </c>
      <c r="J1648" s="169" t="s">
        <v>88</v>
      </c>
    </row>
    <row r="1649" spans="1:11">
      <c r="A1649" s="154" t="s">
        <v>95</v>
      </c>
      <c r="B1649" s="155" t="s">
        <v>11761</v>
      </c>
      <c r="C1649" s="132" t="s">
        <v>118</v>
      </c>
      <c r="D1649" s="132" t="s">
        <v>11733</v>
      </c>
      <c r="E1649" s="132" t="s">
        <v>11762</v>
      </c>
      <c r="F1649" s="132" t="s">
        <v>40</v>
      </c>
      <c r="G1649" s="156">
        <v>45389.377083333333</v>
      </c>
      <c r="H1649" s="156">
        <v>45389.481249999997</v>
      </c>
      <c r="I1649" s="168" t="s">
        <v>11757</v>
      </c>
      <c r="J1649" s="169" t="s">
        <v>88</v>
      </c>
    </row>
    <row r="1650" spans="1:11" hidden="1">
      <c r="A1650" s="154" t="s">
        <v>95</v>
      </c>
      <c r="B1650" s="155" t="s">
        <v>11763</v>
      </c>
      <c r="C1650" s="132" t="s">
        <v>118</v>
      </c>
      <c r="D1650" s="132" t="s">
        <v>11764</v>
      </c>
      <c r="F1650" s="132" t="s">
        <v>214</v>
      </c>
      <c r="G1650" s="156">
        <v>45389.500694444447</v>
      </c>
      <c r="I1650" s="168" t="s">
        <v>11757</v>
      </c>
      <c r="J1650" s="169" t="s">
        <v>88</v>
      </c>
      <c r="K1650" s="169" t="s">
        <v>94</v>
      </c>
    </row>
    <row r="1651" spans="1:11">
      <c r="A1651" s="154" t="s">
        <v>95</v>
      </c>
      <c r="B1651" s="155" t="s">
        <v>11765</v>
      </c>
      <c r="C1651" s="132" t="s">
        <v>118</v>
      </c>
      <c r="D1651" s="132" t="s">
        <v>11766</v>
      </c>
      <c r="E1651" s="132" t="s">
        <v>11767</v>
      </c>
      <c r="F1651" s="132" t="s">
        <v>40</v>
      </c>
      <c r="G1651" s="156">
        <v>45389.501388888886</v>
      </c>
      <c r="H1651" s="156">
        <v>45389.511805555558</v>
      </c>
      <c r="I1651" s="168" t="s">
        <v>11757</v>
      </c>
      <c r="J1651" s="169" t="s">
        <v>88</v>
      </c>
    </row>
    <row r="1652" spans="1:11">
      <c r="A1652" s="154" t="s">
        <v>95</v>
      </c>
      <c r="B1652" s="155" t="s">
        <v>11768</v>
      </c>
      <c r="C1652" s="132" t="s">
        <v>113</v>
      </c>
      <c r="D1652" s="132" t="s">
        <v>11769</v>
      </c>
      <c r="E1652" s="132" t="s">
        <v>11770</v>
      </c>
      <c r="F1652" s="132" t="s">
        <v>40</v>
      </c>
      <c r="G1652" s="156">
        <v>45389.906944444447</v>
      </c>
      <c r="H1652" s="156">
        <v>45480.916666666664</v>
      </c>
      <c r="I1652" s="168" t="s">
        <v>11771</v>
      </c>
      <c r="J1652" s="169" t="s">
        <v>514</v>
      </c>
      <c r="K1652" s="169" t="s">
        <v>94</v>
      </c>
    </row>
    <row r="1653" spans="1:11">
      <c r="A1653" s="154" t="s">
        <v>95</v>
      </c>
      <c r="B1653" s="155" t="s">
        <v>11772</v>
      </c>
      <c r="C1653" s="132" t="s">
        <v>97</v>
      </c>
      <c r="D1653" s="132" t="s">
        <v>11737</v>
      </c>
      <c r="E1653" s="132" t="s">
        <v>11773</v>
      </c>
      <c r="F1653" s="132" t="s">
        <v>40</v>
      </c>
      <c r="G1653" s="156">
        <v>45389.890277777777</v>
      </c>
      <c r="H1653" s="156">
        <v>45480.918055555558</v>
      </c>
      <c r="I1653" s="168" t="s">
        <v>4635</v>
      </c>
      <c r="J1653" s="169" t="s">
        <v>514</v>
      </c>
      <c r="K1653" s="169" t="s">
        <v>88</v>
      </c>
    </row>
    <row r="1654" spans="1:11">
      <c r="A1654" s="154" t="s">
        <v>106</v>
      </c>
      <c r="B1654" s="155" t="s">
        <v>11774</v>
      </c>
      <c r="C1654" s="132" t="s">
        <v>333</v>
      </c>
      <c r="D1654" s="132" t="s">
        <v>11775</v>
      </c>
      <c r="E1654" s="132" t="s">
        <v>11776</v>
      </c>
      <c r="F1654" s="132" t="s">
        <v>40</v>
      </c>
      <c r="G1654" s="156">
        <v>45389.97152777778</v>
      </c>
      <c r="H1654" s="156">
        <v>45450.15347222222</v>
      </c>
      <c r="I1654" s="168" t="s">
        <v>346</v>
      </c>
      <c r="J1654" s="169" t="s">
        <v>514</v>
      </c>
      <c r="K1654" s="169" t="s">
        <v>88</v>
      </c>
    </row>
    <row r="1655" spans="1:11">
      <c r="A1655" s="154" t="s">
        <v>95</v>
      </c>
      <c r="B1655" s="155" t="s">
        <v>11777</v>
      </c>
      <c r="C1655" s="132" t="s">
        <v>118</v>
      </c>
      <c r="D1655" s="132" t="s">
        <v>11778</v>
      </c>
      <c r="E1655" s="132" t="s">
        <v>11779</v>
      </c>
      <c r="F1655" s="132" t="s">
        <v>40</v>
      </c>
      <c r="G1655" s="156">
        <v>45419.161805555559</v>
      </c>
      <c r="H1655" s="156">
        <v>45419.223611111112</v>
      </c>
      <c r="I1655" s="168" t="s">
        <v>2086</v>
      </c>
      <c r="J1655" s="169" t="s">
        <v>514</v>
      </c>
    </row>
    <row r="1656" spans="1:11">
      <c r="A1656" s="154" t="s">
        <v>20</v>
      </c>
      <c r="B1656" s="155" t="s">
        <v>11780</v>
      </c>
      <c r="C1656" s="132" t="s">
        <v>13</v>
      </c>
      <c r="D1656" s="132" t="s">
        <v>11781</v>
      </c>
      <c r="E1656" s="132" t="s">
        <v>11782</v>
      </c>
      <c r="F1656" s="132" t="s">
        <v>40</v>
      </c>
      <c r="G1656" s="156">
        <v>45419.225694444445</v>
      </c>
      <c r="H1656" s="156">
        <v>45419.518750000003</v>
      </c>
      <c r="I1656" s="168" t="s">
        <v>17</v>
      </c>
      <c r="J1656" s="169" t="s">
        <v>88</v>
      </c>
    </row>
    <row r="1657" spans="1:11">
      <c r="A1657" s="154" t="s">
        <v>106</v>
      </c>
      <c r="B1657" s="155" t="s">
        <v>11783</v>
      </c>
      <c r="C1657" s="132" t="s">
        <v>108</v>
      </c>
      <c r="D1657" s="132" t="s">
        <v>11784</v>
      </c>
      <c r="E1657" s="132" t="s">
        <v>11785</v>
      </c>
      <c r="F1657" s="132" t="s">
        <v>40</v>
      </c>
      <c r="G1657" s="156">
        <v>45419.484722222223</v>
      </c>
      <c r="H1657" s="156">
        <v>45419.518055555556</v>
      </c>
      <c r="I1657" s="168" t="s">
        <v>11786</v>
      </c>
      <c r="J1657" s="169" t="s">
        <v>88</v>
      </c>
    </row>
    <row r="1658" spans="1:11">
      <c r="A1658" s="154" t="s">
        <v>20</v>
      </c>
      <c r="B1658" s="155" t="s">
        <v>11787</v>
      </c>
      <c r="C1658" s="132" t="s">
        <v>49</v>
      </c>
      <c r="D1658" s="132" t="s">
        <v>11788</v>
      </c>
      <c r="E1658" s="132" t="s">
        <v>11789</v>
      </c>
      <c r="F1658" s="132" t="s">
        <v>40</v>
      </c>
      <c r="G1658" s="156">
        <v>45419.490277777775</v>
      </c>
      <c r="H1658" s="156">
        <v>45419.676388888889</v>
      </c>
      <c r="I1658" s="168" t="s">
        <v>1590</v>
      </c>
      <c r="J1658" s="169" t="s">
        <v>88</v>
      </c>
    </row>
    <row r="1659" spans="1:11">
      <c r="A1659" s="154" t="s">
        <v>106</v>
      </c>
      <c r="B1659" s="155" t="s">
        <v>11790</v>
      </c>
      <c r="C1659" s="132" t="s">
        <v>37</v>
      </c>
      <c r="D1659" s="132" t="s">
        <v>11791</v>
      </c>
      <c r="E1659" s="132" t="s">
        <v>11792</v>
      </c>
      <c r="F1659" s="132" t="s">
        <v>40</v>
      </c>
      <c r="G1659" s="156">
        <v>45450.968055555553</v>
      </c>
      <c r="H1659" s="156">
        <v>45450.165972222225</v>
      </c>
      <c r="I1659" s="168" t="s">
        <v>984</v>
      </c>
      <c r="J1659" s="169" t="s">
        <v>514</v>
      </c>
    </row>
    <row r="1660" spans="1:11">
      <c r="A1660" s="154" t="s">
        <v>20</v>
      </c>
      <c r="B1660" s="155" t="s">
        <v>11793</v>
      </c>
      <c r="C1660" s="132" t="s">
        <v>49</v>
      </c>
      <c r="D1660" s="132" t="s">
        <v>11794</v>
      </c>
      <c r="E1660" s="132" t="s">
        <v>11795</v>
      </c>
      <c r="F1660" s="132" t="s">
        <v>40</v>
      </c>
      <c r="G1660" s="156">
        <v>45419.99722222222</v>
      </c>
      <c r="H1660" s="156">
        <v>45450.28402777778</v>
      </c>
      <c r="I1660" s="168" t="s">
        <v>161</v>
      </c>
      <c r="J1660" s="169" t="s">
        <v>514</v>
      </c>
    </row>
    <row r="1661" spans="1:11">
      <c r="A1661" s="154" t="s">
        <v>106</v>
      </c>
      <c r="B1661" s="155" t="s">
        <v>11796</v>
      </c>
      <c r="C1661" s="132" t="s">
        <v>108</v>
      </c>
      <c r="D1661" s="132" t="s">
        <v>11797</v>
      </c>
      <c r="E1661" s="132" t="s">
        <v>11798</v>
      </c>
      <c r="F1661" s="132" t="s">
        <v>40</v>
      </c>
      <c r="G1661" s="156">
        <v>45450.279166666667</v>
      </c>
      <c r="H1661" s="156">
        <v>45450.626388888886</v>
      </c>
      <c r="I1661" s="168" t="s">
        <v>3825</v>
      </c>
      <c r="J1661" s="169" t="s">
        <v>88</v>
      </c>
    </row>
    <row r="1662" spans="1:11" hidden="1">
      <c r="A1662" s="154" t="s">
        <v>95</v>
      </c>
      <c r="B1662" s="155" t="s">
        <v>11799</v>
      </c>
      <c r="C1662" s="132" t="s">
        <v>97</v>
      </c>
      <c r="D1662" s="132" t="s">
        <v>11800</v>
      </c>
      <c r="E1662" s="132" t="s">
        <v>11801</v>
      </c>
      <c r="F1662" s="132" t="s">
        <v>308</v>
      </c>
      <c r="G1662" s="156">
        <v>45450.363888888889</v>
      </c>
      <c r="I1662" s="168" t="s">
        <v>325</v>
      </c>
      <c r="J1662" s="169" t="s">
        <v>88</v>
      </c>
    </row>
    <row r="1663" spans="1:11">
      <c r="A1663" s="154" t="s">
        <v>95</v>
      </c>
      <c r="B1663" s="155" t="s">
        <v>11802</v>
      </c>
      <c r="C1663" s="132" t="s">
        <v>97</v>
      </c>
      <c r="D1663" s="132" t="s">
        <v>11803</v>
      </c>
      <c r="E1663" s="132" t="s">
        <v>11804</v>
      </c>
      <c r="F1663" s="132" t="s">
        <v>40</v>
      </c>
      <c r="G1663" s="156">
        <v>45450.464583333334</v>
      </c>
      <c r="H1663" s="156">
        <v>45450.626388888886</v>
      </c>
      <c r="I1663" s="168" t="s">
        <v>11805</v>
      </c>
      <c r="J1663" s="169" t="s">
        <v>88</v>
      </c>
    </row>
    <row r="1664" spans="1:11">
      <c r="A1664" s="154" t="s">
        <v>106</v>
      </c>
      <c r="B1664" s="155" t="s">
        <v>11806</v>
      </c>
      <c r="C1664" s="132" t="s">
        <v>108</v>
      </c>
      <c r="D1664" s="132" t="s">
        <v>8607</v>
      </c>
      <c r="E1664" s="132" t="s">
        <v>11807</v>
      </c>
      <c r="F1664" s="132" t="s">
        <v>40</v>
      </c>
      <c r="G1664" s="156">
        <v>45450.616666666669</v>
      </c>
      <c r="H1664" s="156">
        <v>45450.626388888886</v>
      </c>
      <c r="I1664" s="168" t="s">
        <v>11808</v>
      </c>
      <c r="J1664" s="169" t="s">
        <v>88</v>
      </c>
    </row>
    <row r="1665" spans="1:11">
      <c r="A1665" s="154" t="s">
        <v>95</v>
      </c>
      <c r="B1665" s="155" t="s">
        <v>11809</v>
      </c>
      <c r="C1665" s="132" t="s">
        <v>6047</v>
      </c>
      <c r="D1665" s="132" t="s">
        <v>11810</v>
      </c>
      <c r="E1665" s="132" t="s">
        <v>11811</v>
      </c>
      <c r="F1665" s="132" t="s">
        <v>40</v>
      </c>
      <c r="G1665" s="156">
        <v>45450.67291666667</v>
      </c>
      <c r="H1665" s="156">
        <v>45480.913888888892</v>
      </c>
      <c r="I1665" s="168" t="s">
        <v>7543</v>
      </c>
      <c r="J1665" s="169" t="s">
        <v>88</v>
      </c>
      <c r="K1665" s="169" t="s">
        <v>514</v>
      </c>
    </row>
    <row r="1666" spans="1:11" hidden="1">
      <c r="A1666" s="154" t="s">
        <v>95</v>
      </c>
      <c r="B1666" s="155" t="s">
        <v>11812</v>
      </c>
      <c r="C1666" s="132" t="s">
        <v>118</v>
      </c>
      <c r="D1666" s="132" t="s">
        <v>11813</v>
      </c>
      <c r="E1666" s="132" t="s">
        <v>11814</v>
      </c>
      <c r="F1666" s="132" t="s">
        <v>214</v>
      </c>
      <c r="G1666" s="156">
        <v>45450.999305555553</v>
      </c>
      <c r="H1666" s="156">
        <v>45542.002083333333</v>
      </c>
      <c r="I1666" s="168" t="s">
        <v>2086</v>
      </c>
      <c r="J1666" s="169" t="s">
        <v>514</v>
      </c>
    </row>
    <row r="1667" spans="1:11">
      <c r="A1667" s="154" t="s">
        <v>95</v>
      </c>
      <c r="B1667" s="155" t="s">
        <v>11815</v>
      </c>
      <c r="C1667" s="132" t="s">
        <v>97</v>
      </c>
      <c r="D1667" s="132" t="s">
        <v>11816</v>
      </c>
      <c r="E1667" s="132" t="s">
        <v>11817</v>
      </c>
      <c r="F1667" s="132" t="s">
        <v>40</v>
      </c>
      <c r="G1667" s="156">
        <v>45480.23541666667</v>
      </c>
      <c r="H1667" s="156">
        <v>45480.268055555556</v>
      </c>
      <c r="I1667" s="168" t="s">
        <v>4635</v>
      </c>
      <c r="J1667" s="169" t="s">
        <v>514</v>
      </c>
    </row>
    <row r="1668" spans="1:11" hidden="1">
      <c r="A1668" s="154" t="s">
        <v>20</v>
      </c>
      <c r="B1668" s="155" t="s">
        <v>11818</v>
      </c>
      <c r="C1668" s="132" t="s">
        <v>13</v>
      </c>
      <c r="D1668" s="132" t="s">
        <v>11819</v>
      </c>
      <c r="F1668" s="132" t="s">
        <v>214</v>
      </c>
      <c r="G1668" s="156">
        <v>45480.261111111111</v>
      </c>
      <c r="I1668" s="168" t="s">
        <v>17</v>
      </c>
      <c r="J1668" s="169" t="s">
        <v>88</v>
      </c>
    </row>
    <row r="1669" spans="1:11" hidden="1">
      <c r="A1669" s="154" t="s">
        <v>95</v>
      </c>
      <c r="B1669" s="155" t="s">
        <v>11820</v>
      </c>
      <c r="C1669" s="132" t="s">
        <v>97</v>
      </c>
      <c r="D1669" s="132" t="s">
        <v>11821</v>
      </c>
      <c r="E1669" s="132" t="s">
        <v>11801</v>
      </c>
      <c r="F1669" s="132" t="s">
        <v>214</v>
      </c>
      <c r="G1669" s="156">
        <v>45480.459027777775</v>
      </c>
      <c r="I1669" s="168" t="s">
        <v>325</v>
      </c>
      <c r="J1669" s="169" t="s">
        <v>88</v>
      </c>
    </row>
    <row r="1670" spans="1:11">
      <c r="A1670" s="154" t="s">
        <v>106</v>
      </c>
      <c r="B1670" s="155" t="s">
        <v>11822</v>
      </c>
      <c r="C1670" s="132" t="s">
        <v>333</v>
      </c>
      <c r="D1670" s="132" t="s">
        <v>11823</v>
      </c>
      <c r="E1670" s="132" t="s">
        <v>11824</v>
      </c>
      <c r="F1670" s="132" t="s">
        <v>40</v>
      </c>
      <c r="G1670" s="156">
        <v>45511.268055555556</v>
      </c>
      <c r="H1670" s="156">
        <v>45542.338194444441</v>
      </c>
      <c r="I1670" s="168" t="s">
        <v>346</v>
      </c>
      <c r="J1670" s="169" t="s">
        <v>514</v>
      </c>
      <c r="K1670" s="169" t="s">
        <v>88</v>
      </c>
    </row>
    <row r="1671" spans="1:11">
      <c r="A1671" s="154" t="s">
        <v>20</v>
      </c>
      <c r="B1671" s="155" t="s">
        <v>11825</v>
      </c>
      <c r="C1671" s="132" t="s">
        <v>13</v>
      </c>
      <c r="D1671" s="132" t="s">
        <v>11826</v>
      </c>
      <c r="E1671" s="132" t="s">
        <v>11827</v>
      </c>
      <c r="F1671" s="132" t="s">
        <v>40</v>
      </c>
      <c r="G1671" s="156">
        <v>45511.40625</v>
      </c>
      <c r="H1671" s="156">
        <v>45511.893750000003</v>
      </c>
      <c r="I1671" s="168" t="s">
        <v>17</v>
      </c>
      <c r="J1671" s="169" t="s">
        <v>88</v>
      </c>
    </row>
    <row r="1672" spans="1:11" hidden="1">
      <c r="A1672" s="154" t="s">
        <v>20</v>
      </c>
      <c r="B1672" s="155" t="s">
        <v>11828</v>
      </c>
      <c r="C1672" s="132" t="s">
        <v>21</v>
      </c>
      <c r="D1672" s="132" t="s">
        <v>11829</v>
      </c>
      <c r="F1672" s="132" t="s">
        <v>214</v>
      </c>
      <c r="G1672" s="156">
        <v>45511.585416666669</v>
      </c>
      <c r="I1672" s="168" t="s">
        <v>61</v>
      </c>
      <c r="J1672" s="169" t="s">
        <v>88</v>
      </c>
    </row>
    <row r="1673" spans="1:11">
      <c r="A1673" s="154" t="s">
        <v>106</v>
      </c>
      <c r="B1673" s="155" t="s">
        <v>11830</v>
      </c>
      <c r="C1673" s="132" t="s">
        <v>333</v>
      </c>
      <c r="D1673" s="132" t="s">
        <v>11831</v>
      </c>
      <c r="E1673" s="132" t="s">
        <v>11832</v>
      </c>
      <c r="F1673" s="132" t="s">
        <v>40</v>
      </c>
      <c r="G1673" s="156">
        <v>45511.614583333336</v>
      </c>
      <c r="H1673" s="156">
        <v>45511.690972222219</v>
      </c>
      <c r="I1673" s="168" t="s">
        <v>6640</v>
      </c>
      <c r="J1673" s="169" t="s">
        <v>88</v>
      </c>
    </row>
    <row r="1674" spans="1:11" ht="43.5">
      <c r="A1674" s="154" t="s">
        <v>95</v>
      </c>
      <c r="B1674" s="155" t="s">
        <v>11833</v>
      </c>
      <c r="C1674" s="132" t="s">
        <v>118</v>
      </c>
      <c r="D1674" s="132" t="s">
        <v>11834</v>
      </c>
      <c r="E1674" s="137" t="s">
        <v>11835</v>
      </c>
      <c r="F1674" s="132" t="s">
        <v>40</v>
      </c>
      <c r="G1674" s="156">
        <v>45542.04791666667</v>
      </c>
      <c r="H1674" s="156">
        <v>45542.133333333331</v>
      </c>
      <c r="I1674" s="168" t="s">
        <v>2086</v>
      </c>
      <c r="J1674" s="169" t="s">
        <v>514</v>
      </c>
    </row>
    <row r="1675" spans="1:11" hidden="1">
      <c r="A1675" s="154" t="s">
        <v>106</v>
      </c>
      <c r="B1675" s="155" t="s">
        <v>11836</v>
      </c>
      <c r="C1675" s="132" t="s">
        <v>333</v>
      </c>
      <c r="D1675" s="132" t="s">
        <v>11837</v>
      </c>
      <c r="E1675" s="132" t="s">
        <v>11838</v>
      </c>
      <c r="F1675" s="132" t="s">
        <v>214</v>
      </c>
      <c r="G1675" s="156">
        <v>45542.284722222219</v>
      </c>
      <c r="H1675" s="156">
        <v>45572.09652777778</v>
      </c>
      <c r="I1675" s="168" t="s">
        <v>346</v>
      </c>
      <c r="J1675" s="169" t="s">
        <v>514</v>
      </c>
      <c r="K1675" s="169" t="s">
        <v>88</v>
      </c>
    </row>
    <row r="1676" spans="1:11">
      <c r="A1676" s="154" t="s">
        <v>106</v>
      </c>
      <c r="B1676" s="155" t="s">
        <v>11839</v>
      </c>
      <c r="C1676" s="132" t="s">
        <v>333</v>
      </c>
      <c r="D1676" s="132" t="s">
        <v>11840</v>
      </c>
      <c r="E1676" s="132" t="s">
        <v>11841</v>
      </c>
      <c r="F1676" s="132" t="s">
        <v>40</v>
      </c>
      <c r="G1676" s="156">
        <v>45542.379166666666</v>
      </c>
      <c r="H1676" s="156">
        <v>45542.400694444441</v>
      </c>
      <c r="I1676" s="168" t="s">
        <v>11842</v>
      </c>
      <c r="J1676" s="169" t="s">
        <v>88</v>
      </c>
    </row>
    <row r="1677" spans="1:11">
      <c r="A1677" s="154" t="s">
        <v>95</v>
      </c>
      <c r="B1677" s="155" t="s">
        <v>11843</v>
      </c>
      <c r="C1677" s="132" t="s">
        <v>28</v>
      </c>
      <c r="D1677" s="132" t="s">
        <v>11844</v>
      </c>
      <c r="E1677" s="132" t="s">
        <v>11845</v>
      </c>
      <c r="F1677" s="132" t="s">
        <v>40</v>
      </c>
      <c r="G1677" s="156">
        <v>45542.591666666667</v>
      </c>
      <c r="H1677" s="156">
        <v>45542.647916666669</v>
      </c>
      <c r="I1677" s="168" t="s">
        <v>11846</v>
      </c>
      <c r="J1677" s="169" t="s">
        <v>88</v>
      </c>
    </row>
    <row r="1678" spans="1:11">
      <c r="A1678" s="154" t="s">
        <v>106</v>
      </c>
      <c r="B1678" s="155" t="s">
        <v>11847</v>
      </c>
      <c r="C1678" s="132" t="s">
        <v>333</v>
      </c>
      <c r="D1678" s="132" t="s">
        <v>11848</v>
      </c>
      <c r="E1678" s="143" t="s">
        <v>11849</v>
      </c>
      <c r="F1678" s="132" t="s">
        <v>40</v>
      </c>
      <c r="G1678" s="156">
        <v>45542.657638888886</v>
      </c>
      <c r="H1678" s="156">
        <v>45603.53402777778</v>
      </c>
      <c r="I1678" s="168" t="s">
        <v>265</v>
      </c>
      <c r="J1678" s="169" t="s">
        <v>88</v>
      </c>
      <c r="K1678" s="169" t="s">
        <v>9367</v>
      </c>
    </row>
    <row r="1679" spans="1:11">
      <c r="A1679" s="154" t="s">
        <v>20</v>
      </c>
      <c r="B1679" s="155" t="s">
        <v>11850</v>
      </c>
      <c r="C1679" s="132" t="s">
        <v>49</v>
      </c>
      <c r="D1679" s="143" t="s">
        <v>11851</v>
      </c>
      <c r="E1679" s="143" t="s">
        <v>11852</v>
      </c>
      <c r="F1679" s="132" t="s">
        <v>40</v>
      </c>
      <c r="G1679" s="156">
        <v>45572.523611111108</v>
      </c>
      <c r="H1679" s="156">
        <v>45572.62777777778</v>
      </c>
      <c r="I1679" s="168" t="s">
        <v>32</v>
      </c>
      <c r="J1679" s="169" t="s">
        <v>9367</v>
      </c>
    </row>
    <row r="1680" spans="1:11" ht="42" hidden="1">
      <c r="A1680" s="154" t="s">
        <v>95</v>
      </c>
      <c r="B1680" s="155" t="s">
        <v>11853</v>
      </c>
      <c r="C1680" s="132" t="s">
        <v>28</v>
      </c>
      <c r="D1680" s="143" t="s">
        <v>11854</v>
      </c>
      <c r="E1680" s="145" t="s">
        <v>11855</v>
      </c>
      <c r="F1680" s="132" t="s">
        <v>308</v>
      </c>
      <c r="G1680" s="156">
        <v>45572.557638888888</v>
      </c>
      <c r="I1680" s="168" t="s">
        <v>11856</v>
      </c>
      <c r="J1680" s="169" t="s">
        <v>9367</v>
      </c>
    </row>
    <row r="1681" spans="1:10">
      <c r="A1681" s="154" t="s">
        <v>95</v>
      </c>
      <c r="B1681" s="155" t="s">
        <v>11857</v>
      </c>
      <c r="C1681" s="132" t="s">
        <v>28</v>
      </c>
      <c r="D1681" s="143" t="s">
        <v>11858</v>
      </c>
      <c r="E1681" s="143" t="s">
        <v>11859</v>
      </c>
      <c r="F1681" s="132" t="s">
        <v>40</v>
      </c>
      <c r="G1681" s="156">
        <v>45572.67291666667</v>
      </c>
      <c r="H1681" s="156">
        <v>45572.683333333334</v>
      </c>
      <c r="I1681" s="168" t="s">
        <v>11860</v>
      </c>
      <c r="J1681" s="169" t="s">
        <v>9367</v>
      </c>
    </row>
    <row r="1682" spans="1:10">
      <c r="A1682" s="154" t="s">
        <v>106</v>
      </c>
      <c r="B1682" s="155" t="s">
        <v>11861</v>
      </c>
      <c r="C1682" s="132" t="s">
        <v>108</v>
      </c>
      <c r="D1682" s="132" t="s">
        <v>8467</v>
      </c>
      <c r="E1682" s="132" t="s">
        <v>11862</v>
      </c>
      <c r="F1682" s="132" t="s">
        <v>40</v>
      </c>
      <c r="G1682" s="156">
        <v>45572.834027777775</v>
      </c>
      <c r="H1682" s="156">
        <v>45572.987500000003</v>
      </c>
      <c r="I1682" s="168" t="s">
        <v>32</v>
      </c>
      <c r="J1682" s="169" t="s">
        <v>72</v>
      </c>
    </row>
    <row r="1683" spans="1:10">
      <c r="A1683" s="154" t="s">
        <v>95</v>
      </c>
      <c r="B1683" s="155" t="s">
        <v>11863</v>
      </c>
      <c r="C1683" s="132" t="s">
        <v>6047</v>
      </c>
      <c r="D1683" s="132" t="s">
        <v>11864</v>
      </c>
      <c r="E1683" s="132" t="s">
        <v>11865</v>
      </c>
      <c r="F1683" s="132" t="s">
        <v>40</v>
      </c>
      <c r="G1683" s="156">
        <v>45572.855555555558</v>
      </c>
      <c r="H1683" s="156">
        <v>45572.87222222222</v>
      </c>
      <c r="I1683" s="168" t="s">
        <v>11866</v>
      </c>
      <c r="J1683" s="169" t="s">
        <v>72</v>
      </c>
    </row>
    <row r="1684" spans="1:10">
      <c r="A1684" s="154" t="s">
        <v>20</v>
      </c>
      <c r="B1684" s="155" t="s">
        <v>11867</v>
      </c>
      <c r="C1684" s="132" t="s">
        <v>21</v>
      </c>
      <c r="D1684" s="132" t="s">
        <v>11868</v>
      </c>
      <c r="E1684" s="132" t="s">
        <v>11869</v>
      </c>
      <c r="F1684" s="132" t="s">
        <v>40</v>
      </c>
      <c r="G1684" s="156">
        <v>45572.865972222222</v>
      </c>
      <c r="I1684" s="168" t="s">
        <v>52</v>
      </c>
      <c r="J1684" s="169" t="s">
        <v>72</v>
      </c>
    </row>
    <row r="1685" spans="1:10">
      <c r="A1685" s="154" t="s">
        <v>95</v>
      </c>
      <c r="B1685" s="155" t="s">
        <v>11870</v>
      </c>
      <c r="C1685" s="132" t="s">
        <v>97</v>
      </c>
      <c r="D1685" s="132" t="s">
        <v>11871</v>
      </c>
      <c r="E1685" s="132" t="s">
        <v>11872</v>
      </c>
      <c r="F1685" s="132" t="s">
        <v>40</v>
      </c>
      <c r="G1685" s="156">
        <v>45572.875</v>
      </c>
      <c r="H1685" s="156">
        <v>45572.897222222222</v>
      </c>
      <c r="I1685" s="168" t="s">
        <v>11873</v>
      </c>
      <c r="J1685" s="169" t="s">
        <v>72</v>
      </c>
    </row>
    <row r="1686" spans="1:10">
      <c r="A1686" s="154" t="s">
        <v>95</v>
      </c>
      <c r="B1686" s="155" t="s">
        <v>11874</v>
      </c>
      <c r="C1686" s="132" t="s">
        <v>28</v>
      </c>
      <c r="D1686" s="132" t="s">
        <v>11652</v>
      </c>
      <c r="E1686" s="132" t="s">
        <v>11875</v>
      </c>
      <c r="F1686" s="132" t="s">
        <v>40</v>
      </c>
      <c r="G1686" s="156">
        <v>45572.890277777777</v>
      </c>
      <c r="H1686" s="156">
        <v>45572.898611111108</v>
      </c>
      <c r="I1686" s="168" t="s">
        <v>11876</v>
      </c>
      <c r="J1686" s="169" t="s">
        <v>72</v>
      </c>
    </row>
    <row r="1687" spans="1:10">
      <c r="A1687" s="154" t="s">
        <v>106</v>
      </c>
      <c r="B1687" s="155" t="s">
        <v>11877</v>
      </c>
      <c r="C1687" s="132" t="s">
        <v>333</v>
      </c>
      <c r="D1687" s="132" t="s">
        <v>11878</v>
      </c>
      <c r="E1687" s="132" t="s">
        <v>2302</v>
      </c>
      <c r="F1687" s="132" t="s">
        <v>40</v>
      </c>
      <c r="G1687" s="156">
        <v>45572.906944444447</v>
      </c>
      <c r="H1687" s="156">
        <v>45572.972222222219</v>
      </c>
      <c r="I1687" s="168" t="s">
        <v>346</v>
      </c>
      <c r="J1687" s="169" t="s">
        <v>72</v>
      </c>
    </row>
    <row r="1688" spans="1:10">
      <c r="A1688" s="154" t="s">
        <v>20</v>
      </c>
      <c r="B1688" s="155" t="s">
        <v>11879</v>
      </c>
      <c r="C1688" s="132" t="s">
        <v>49</v>
      </c>
      <c r="D1688" s="132" t="s">
        <v>11880</v>
      </c>
      <c r="E1688" s="132" t="s">
        <v>11881</v>
      </c>
      <c r="F1688" s="132" t="s">
        <v>40</v>
      </c>
      <c r="G1688" s="156">
        <v>45572.92083333333</v>
      </c>
      <c r="H1688" s="156">
        <v>45603.04583333333</v>
      </c>
      <c r="I1688" s="168" t="s">
        <v>11882</v>
      </c>
      <c r="J1688" s="169" t="s">
        <v>72</v>
      </c>
    </row>
    <row r="1689" spans="1:10">
      <c r="A1689" s="154" t="s">
        <v>20</v>
      </c>
      <c r="B1689" s="155" t="s">
        <v>11883</v>
      </c>
      <c r="C1689" s="132" t="s">
        <v>13</v>
      </c>
      <c r="D1689" s="132" t="s">
        <v>11884</v>
      </c>
      <c r="E1689" s="132" t="s">
        <v>11885</v>
      </c>
      <c r="F1689" s="132" t="s">
        <v>40</v>
      </c>
      <c r="G1689" s="156">
        <v>45572.926388888889</v>
      </c>
      <c r="H1689" s="156">
        <v>45572.932638888888</v>
      </c>
      <c r="I1689" s="168" t="s">
        <v>74</v>
      </c>
      <c r="J1689" s="169" t="s">
        <v>72</v>
      </c>
    </row>
    <row r="1690" spans="1:10">
      <c r="A1690" s="154" t="s">
        <v>20</v>
      </c>
      <c r="B1690" s="155" t="s">
        <v>11886</v>
      </c>
      <c r="C1690" s="132" t="s">
        <v>13</v>
      </c>
      <c r="D1690" s="132" t="s">
        <v>11887</v>
      </c>
      <c r="E1690" s="132" t="s">
        <v>11888</v>
      </c>
      <c r="F1690" s="132" t="s">
        <v>40</v>
      </c>
      <c r="G1690" s="156">
        <v>45572.935416666667</v>
      </c>
      <c r="H1690" s="156">
        <v>45572.956944444442</v>
      </c>
      <c r="I1690" s="168" t="s">
        <v>17</v>
      </c>
      <c r="J1690" s="169" t="s">
        <v>72</v>
      </c>
    </row>
    <row r="1691" spans="1:10" ht="29">
      <c r="A1691" s="154" t="s">
        <v>106</v>
      </c>
      <c r="B1691" s="155" t="s">
        <v>11889</v>
      </c>
      <c r="C1691" s="132" t="s">
        <v>333</v>
      </c>
      <c r="D1691" s="132" t="s">
        <v>11890</v>
      </c>
      <c r="E1691" s="137" t="s">
        <v>11891</v>
      </c>
      <c r="F1691" s="132" t="s">
        <v>40</v>
      </c>
      <c r="G1691" s="156">
        <v>45572.953472222223</v>
      </c>
      <c r="H1691" s="156">
        <v>45572.998611111114</v>
      </c>
      <c r="I1691" s="168" t="s">
        <v>346</v>
      </c>
      <c r="J1691" s="169" t="s">
        <v>72</v>
      </c>
    </row>
    <row r="1692" spans="1:10">
      <c r="A1692" s="154" t="s">
        <v>95</v>
      </c>
      <c r="B1692" s="155" t="s">
        <v>11892</v>
      </c>
      <c r="C1692" s="132" t="s">
        <v>6047</v>
      </c>
      <c r="D1692" s="132" t="s">
        <v>11893</v>
      </c>
      <c r="E1692" s="132" t="s">
        <v>11894</v>
      </c>
      <c r="F1692" s="132" t="s">
        <v>40</v>
      </c>
      <c r="G1692" s="156">
        <v>45603.130555555559</v>
      </c>
      <c r="H1692" s="156">
        <v>45603.165277777778</v>
      </c>
      <c r="I1692" s="168" t="s">
        <v>11866</v>
      </c>
      <c r="J1692" s="169" t="s">
        <v>72</v>
      </c>
    </row>
    <row r="1693" spans="1:10">
      <c r="A1693" s="154" t="s">
        <v>95</v>
      </c>
      <c r="B1693" s="155" t="s">
        <v>11895</v>
      </c>
      <c r="C1693" s="132" t="s">
        <v>6047</v>
      </c>
      <c r="D1693" s="132" t="s">
        <v>11896</v>
      </c>
      <c r="E1693" s="132" t="s">
        <v>11897</v>
      </c>
      <c r="F1693" s="132" t="s">
        <v>40</v>
      </c>
      <c r="G1693" s="156">
        <v>45603.202777777777</v>
      </c>
      <c r="H1693" s="156">
        <v>45603.222222222219</v>
      </c>
      <c r="I1693" s="168" t="s">
        <v>11866</v>
      </c>
      <c r="J1693" s="169" t="s">
        <v>72</v>
      </c>
    </row>
    <row r="1694" spans="1:10">
      <c r="A1694" s="154" t="s">
        <v>20</v>
      </c>
      <c r="B1694" s="155" t="s">
        <v>11898</v>
      </c>
      <c r="C1694" s="132" t="s">
        <v>13</v>
      </c>
      <c r="D1694" s="132" t="s">
        <v>11899</v>
      </c>
      <c r="E1694" s="132" t="s">
        <v>3329</v>
      </c>
      <c r="F1694" s="132" t="s">
        <v>40</v>
      </c>
      <c r="G1694" s="156">
        <v>45603.209722222222</v>
      </c>
      <c r="H1694" s="156">
        <v>45603.231944444444</v>
      </c>
      <c r="I1694" s="168" t="s">
        <v>74</v>
      </c>
      <c r="J1694" s="169" t="s">
        <v>72</v>
      </c>
    </row>
    <row r="1695" spans="1:10">
      <c r="A1695" s="154" t="s">
        <v>95</v>
      </c>
      <c r="B1695" s="155" t="s">
        <v>11900</v>
      </c>
      <c r="C1695" s="132" t="s">
        <v>6047</v>
      </c>
      <c r="D1695" s="132" t="s">
        <v>11901</v>
      </c>
      <c r="E1695" s="132" t="s">
        <v>11897</v>
      </c>
      <c r="F1695" s="132" t="s">
        <v>40</v>
      </c>
      <c r="G1695" s="156">
        <v>45603.215277777781</v>
      </c>
      <c r="H1695" s="156">
        <v>45603.236805555556</v>
      </c>
      <c r="I1695" s="168" t="s">
        <v>11866</v>
      </c>
      <c r="J1695" s="169" t="s">
        <v>72</v>
      </c>
    </row>
    <row r="1696" spans="1:10">
      <c r="A1696" s="154" t="s">
        <v>95</v>
      </c>
      <c r="B1696" s="155" t="s">
        <v>11902</v>
      </c>
      <c r="C1696" s="132" t="s">
        <v>6047</v>
      </c>
      <c r="D1696" s="132" t="s">
        <v>11903</v>
      </c>
      <c r="E1696" s="132" t="s">
        <v>11904</v>
      </c>
      <c r="F1696" s="132" t="s">
        <v>40</v>
      </c>
      <c r="G1696" s="156">
        <v>45603.237500000003</v>
      </c>
      <c r="H1696" s="156">
        <v>45603.258333333331</v>
      </c>
      <c r="I1696" s="168" t="s">
        <v>11866</v>
      </c>
      <c r="J1696" s="169" t="s">
        <v>72</v>
      </c>
    </row>
    <row r="1697" spans="1:10">
      <c r="A1697" s="154" t="s">
        <v>20</v>
      </c>
      <c r="B1697" s="155" t="s">
        <v>11905</v>
      </c>
      <c r="C1697" s="132" t="s">
        <v>49</v>
      </c>
      <c r="D1697" s="143" t="s">
        <v>11851</v>
      </c>
      <c r="E1697" s="143" t="s">
        <v>11906</v>
      </c>
      <c r="F1697" s="132" t="s">
        <v>40</v>
      </c>
      <c r="G1697" s="156">
        <v>45603.339583333334</v>
      </c>
      <c r="H1697" s="156">
        <v>45603.368750000001</v>
      </c>
      <c r="I1697" s="168" t="s">
        <v>32</v>
      </c>
      <c r="J1697" s="169" t="s">
        <v>9367</v>
      </c>
    </row>
    <row r="1698" spans="1:10">
      <c r="A1698" s="154" t="s">
        <v>106</v>
      </c>
      <c r="B1698" s="155" t="s">
        <v>11907</v>
      </c>
      <c r="C1698" s="132" t="s">
        <v>108</v>
      </c>
      <c r="D1698" s="143" t="s">
        <v>11908</v>
      </c>
      <c r="E1698" s="143" t="s">
        <v>11909</v>
      </c>
      <c r="F1698" s="132" t="s">
        <v>40</v>
      </c>
      <c r="G1698" s="156">
        <v>45603.392361111109</v>
      </c>
      <c r="H1698" s="156">
        <v>45603.493055555555</v>
      </c>
      <c r="I1698" s="168" t="s">
        <v>1373</v>
      </c>
      <c r="J1698" s="169" t="s">
        <v>9367</v>
      </c>
    </row>
    <row r="1699" spans="1:10">
      <c r="A1699" s="154" t="s">
        <v>106</v>
      </c>
      <c r="B1699" s="155" t="s">
        <v>11910</v>
      </c>
      <c r="C1699" s="132" t="s">
        <v>333</v>
      </c>
      <c r="D1699" s="143" t="s">
        <v>11911</v>
      </c>
      <c r="E1699" s="143" t="s">
        <v>11912</v>
      </c>
      <c r="F1699" s="132" t="s">
        <v>40</v>
      </c>
      <c r="G1699" s="156">
        <v>45603.474305555559</v>
      </c>
      <c r="H1699" s="156">
        <v>45603.607638888891</v>
      </c>
      <c r="I1699" s="168" t="s">
        <v>346</v>
      </c>
      <c r="J1699" s="169" t="s">
        <v>9367</v>
      </c>
    </row>
    <row r="1700" spans="1:10">
      <c r="A1700" s="154" t="s">
        <v>20</v>
      </c>
      <c r="B1700" s="155" t="s">
        <v>11913</v>
      </c>
      <c r="C1700" s="132" t="s">
        <v>13</v>
      </c>
      <c r="D1700" s="143" t="s">
        <v>11914</v>
      </c>
      <c r="E1700" s="143" t="s">
        <v>11915</v>
      </c>
      <c r="F1700" s="132" t="s">
        <v>40</v>
      </c>
      <c r="G1700" s="156">
        <v>45603.518055555556</v>
      </c>
      <c r="H1700" s="156">
        <v>45603.545138888891</v>
      </c>
      <c r="I1700" s="168" t="s">
        <v>11916</v>
      </c>
      <c r="J1700" s="169" t="s">
        <v>9367</v>
      </c>
    </row>
    <row r="1701" spans="1:10">
      <c r="A1701" s="154" t="s">
        <v>95</v>
      </c>
      <c r="B1701" s="155" t="s">
        <v>11917</v>
      </c>
      <c r="C1701" s="132" t="s">
        <v>28</v>
      </c>
      <c r="D1701" s="143" t="s">
        <v>11918</v>
      </c>
      <c r="E1701" s="143" t="s">
        <v>11919</v>
      </c>
      <c r="F1701" s="132" t="s">
        <v>40</v>
      </c>
      <c r="G1701" s="156">
        <v>45603.64166666667</v>
      </c>
      <c r="H1701" s="156">
        <v>45603.713888888888</v>
      </c>
      <c r="I1701" s="168" t="s">
        <v>32</v>
      </c>
      <c r="J1701" s="169" t="s">
        <v>9367</v>
      </c>
    </row>
    <row r="1702" spans="1:10">
      <c r="A1702" s="154" t="s">
        <v>95</v>
      </c>
      <c r="B1702" s="155" t="s">
        <v>11920</v>
      </c>
      <c r="C1702" s="132" t="s">
        <v>28</v>
      </c>
      <c r="D1702" s="132" t="s">
        <v>11921</v>
      </c>
      <c r="E1702" s="132" t="s">
        <v>11922</v>
      </c>
      <c r="F1702" s="132" t="s">
        <v>40</v>
      </c>
      <c r="G1702" s="156">
        <v>45603.834027777775</v>
      </c>
      <c r="H1702" s="156">
        <v>45633.05</v>
      </c>
      <c r="I1702" s="168" t="s">
        <v>11923</v>
      </c>
      <c r="J1702" s="169" t="s">
        <v>72</v>
      </c>
    </row>
    <row r="1703" spans="1:10">
      <c r="A1703" s="154" t="s">
        <v>95</v>
      </c>
      <c r="B1703" s="155" t="s">
        <v>11924</v>
      </c>
      <c r="C1703" s="132" t="s">
        <v>97</v>
      </c>
      <c r="D1703" s="132" t="s">
        <v>1933</v>
      </c>
      <c r="E1703" s="132" t="s">
        <v>9751</v>
      </c>
      <c r="F1703" s="132" t="s">
        <v>40</v>
      </c>
      <c r="G1703" s="156">
        <v>45603.888888888891</v>
      </c>
      <c r="H1703" s="156">
        <v>45603.988888888889</v>
      </c>
      <c r="I1703" s="168" t="s">
        <v>32</v>
      </c>
      <c r="J1703" s="169" t="s">
        <v>72</v>
      </c>
    </row>
    <row r="1704" spans="1:10">
      <c r="A1704" s="154" t="s">
        <v>95</v>
      </c>
      <c r="B1704" s="155" t="s">
        <v>11925</v>
      </c>
      <c r="C1704" s="132" t="s">
        <v>6047</v>
      </c>
      <c r="D1704" s="132" t="s">
        <v>11926</v>
      </c>
      <c r="E1704" s="132" t="s">
        <v>11927</v>
      </c>
      <c r="F1704" s="132" t="s">
        <v>40</v>
      </c>
      <c r="G1704" s="156">
        <v>45603.90902777778</v>
      </c>
      <c r="H1704" s="156">
        <v>45603.964583333334</v>
      </c>
      <c r="I1704" s="168" t="s">
        <v>7721</v>
      </c>
      <c r="J1704" s="169" t="s">
        <v>72</v>
      </c>
    </row>
    <row r="1705" spans="1:10">
      <c r="A1705" s="154" t="s">
        <v>95</v>
      </c>
      <c r="B1705" s="155" t="s">
        <v>11928</v>
      </c>
      <c r="C1705" s="132" t="s">
        <v>113</v>
      </c>
      <c r="D1705" s="132" t="s">
        <v>11929</v>
      </c>
      <c r="E1705" s="132" t="s">
        <v>11930</v>
      </c>
      <c r="F1705" s="132" t="s">
        <v>40</v>
      </c>
      <c r="G1705" s="156">
        <v>45603.948611111111</v>
      </c>
      <c r="H1705" s="156">
        <v>45603.961111111108</v>
      </c>
      <c r="I1705" s="168" t="s">
        <v>356</v>
      </c>
      <c r="J1705" s="169" t="s">
        <v>72</v>
      </c>
    </row>
    <row r="1706" spans="1:10">
      <c r="A1706" s="154" t="s">
        <v>95</v>
      </c>
      <c r="B1706" s="155" t="s">
        <v>11931</v>
      </c>
      <c r="C1706" s="132" t="s">
        <v>6047</v>
      </c>
      <c r="D1706" s="132" t="s">
        <v>11932</v>
      </c>
      <c r="E1706" s="132" t="s">
        <v>11933</v>
      </c>
      <c r="F1706" s="132" t="s">
        <v>40</v>
      </c>
      <c r="G1706" s="156">
        <v>45603.950694444444</v>
      </c>
      <c r="H1706" s="156">
        <v>45603.966666666667</v>
      </c>
      <c r="I1706" s="168" t="s">
        <v>11866</v>
      </c>
      <c r="J1706" s="169" t="s">
        <v>72</v>
      </c>
    </row>
    <row r="1707" spans="1:10">
      <c r="A1707" s="154" t="s">
        <v>20</v>
      </c>
      <c r="B1707" s="155" t="s">
        <v>11934</v>
      </c>
      <c r="C1707" s="132" t="s">
        <v>49</v>
      </c>
      <c r="D1707" s="132" t="s">
        <v>11935</v>
      </c>
      <c r="E1707" s="132" t="s">
        <v>11936</v>
      </c>
      <c r="F1707" s="132" t="s">
        <v>40</v>
      </c>
      <c r="G1707" s="156">
        <v>45633.038888888892</v>
      </c>
      <c r="H1707" s="156">
        <v>45633.056250000001</v>
      </c>
      <c r="I1707" s="168" t="s">
        <v>7881</v>
      </c>
      <c r="J1707" s="169" t="s">
        <v>72</v>
      </c>
    </row>
    <row r="1708" spans="1:10">
      <c r="A1708" s="154" t="s">
        <v>20</v>
      </c>
      <c r="B1708" s="155" t="s">
        <v>11937</v>
      </c>
      <c r="C1708" s="132" t="s">
        <v>49</v>
      </c>
      <c r="D1708" s="132" t="s">
        <v>11938</v>
      </c>
      <c r="E1708" s="132" t="s">
        <v>11939</v>
      </c>
      <c r="F1708" s="132" t="s">
        <v>40</v>
      </c>
      <c r="G1708" s="156">
        <v>45633.074305555558</v>
      </c>
      <c r="H1708" s="156">
        <v>45633.115972222222</v>
      </c>
      <c r="I1708" s="168" t="s">
        <v>7881</v>
      </c>
      <c r="J1708" s="169" t="s">
        <v>72</v>
      </c>
    </row>
    <row r="1709" spans="1:10">
      <c r="A1709" s="154" t="s">
        <v>20</v>
      </c>
      <c r="B1709" s="155" t="s">
        <v>11940</v>
      </c>
      <c r="C1709" s="132" t="s">
        <v>21</v>
      </c>
      <c r="D1709" s="132" t="s">
        <v>8802</v>
      </c>
      <c r="E1709" s="132" t="s">
        <v>11941</v>
      </c>
      <c r="F1709" s="132" t="s">
        <v>40</v>
      </c>
      <c r="G1709" s="156">
        <v>45633.132638888892</v>
      </c>
      <c r="H1709" s="156">
        <v>45633.156944444447</v>
      </c>
      <c r="I1709" s="168" t="s">
        <v>52</v>
      </c>
      <c r="J1709" s="169" t="s">
        <v>72</v>
      </c>
    </row>
    <row r="1710" spans="1:10">
      <c r="A1710" s="154" t="s">
        <v>95</v>
      </c>
      <c r="B1710" s="155" t="s">
        <v>11942</v>
      </c>
      <c r="C1710" s="132" t="s">
        <v>6047</v>
      </c>
      <c r="D1710" s="143" t="s">
        <v>11943</v>
      </c>
      <c r="E1710" s="143" t="s">
        <v>11944</v>
      </c>
      <c r="F1710" s="132" t="s">
        <v>40</v>
      </c>
      <c r="G1710" s="156">
        <v>45633.384722222225</v>
      </c>
      <c r="H1710" s="156">
        <v>45633.4</v>
      </c>
      <c r="I1710" s="168" t="s">
        <v>10418</v>
      </c>
      <c r="J1710" s="169" t="s">
        <v>9367</v>
      </c>
    </row>
    <row r="1711" spans="1:10">
      <c r="A1711" s="154" t="s">
        <v>95</v>
      </c>
      <c r="B1711" s="155" t="s">
        <v>11945</v>
      </c>
      <c r="C1711" s="132" t="s">
        <v>28</v>
      </c>
      <c r="D1711" s="143" t="s">
        <v>11946</v>
      </c>
      <c r="E1711" s="143" t="s">
        <v>11947</v>
      </c>
      <c r="F1711" s="132" t="s">
        <v>40</v>
      </c>
      <c r="G1711" s="156">
        <v>45633.513888888891</v>
      </c>
      <c r="H1711" s="156">
        <v>45633.567361111112</v>
      </c>
      <c r="I1711" s="168" t="s">
        <v>11948</v>
      </c>
      <c r="J1711" s="169" t="s">
        <v>9367</v>
      </c>
    </row>
    <row r="1712" spans="1:10">
      <c r="A1712" s="154" t="s">
        <v>106</v>
      </c>
      <c r="B1712" s="155" t="s">
        <v>11949</v>
      </c>
      <c r="C1712" s="132" t="s">
        <v>108</v>
      </c>
      <c r="D1712" s="143" t="s">
        <v>11950</v>
      </c>
      <c r="E1712" s="142" t="s">
        <v>11951</v>
      </c>
      <c r="F1712" s="132" t="s">
        <v>40</v>
      </c>
      <c r="G1712" s="156">
        <v>45633.50277777778</v>
      </c>
      <c r="H1712" s="156">
        <v>45633.529861111114</v>
      </c>
      <c r="I1712" s="168" t="s">
        <v>1470</v>
      </c>
      <c r="J1712" s="169" t="s">
        <v>9367</v>
      </c>
    </row>
    <row r="1713" spans="1:10">
      <c r="A1713" s="154" t="s">
        <v>106</v>
      </c>
      <c r="B1713" s="155" t="s">
        <v>11952</v>
      </c>
      <c r="C1713" s="132" t="s">
        <v>108</v>
      </c>
      <c r="D1713" s="143" t="s">
        <v>11953</v>
      </c>
      <c r="E1713" s="143" t="s">
        <v>11954</v>
      </c>
      <c r="F1713" s="132" t="s">
        <v>40</v>
      </c>
      <c r="G1713" s="156">
        <v>45633.560416666667</v>
      </c>
      <c r="H1713" s="156">
        <v>45633.57916666667</v>
      </c>
      <c r="I1713" s="168" t="s">
        <v>1470</v>
      </c>
      <c r="J1713" s="169" t="s">
        <v>9367</v>
      </c>
    </row>
    <row r="1714" spans="1:10">
      <c r="A1714" s="154" t="s">
        <v>95</v>
      </c>
      <c r="B1714" s="155" t="s">
        <v>11955</v>
      </c>
      <c r="C1714" s="132" t="s">
        <v>6047</v>
      </c>
      <c r="D1714" s="143" t="s">
        <v>11956</v>
      </c>
      <c r="E1714" s="143" t="s">
        <v>11957</v>
      </c>
      <c r="F1714" s="132" t="s">
        <v>40</v>
      </c>
      <c r="G1714" s="156">
        <v>45633.609722222223</v>
      </c>
      <c r="H1714" s="156">
        <v>45633.65625</v>
      </c>
      <c r="I1714" s="168" t="s">
        <v>10418</v>
      </c>
      <c r="J1714" s="169" t="s">
        <v>9367</v>
      </c>
    </row>
    <row r="1715" spans="1:10">
      <c r="A1715" s="154" t="s">
        <v>95</v>
      </c>
      <c r="B1715" s="155" t="s">
        <v>11958</v>
      </c>
      <c r="C1715" s="132" t="s">
        <v>6047</v>
      </c>
      <c r="D1715" s="143" t="s">
        <v>11959</v>
      </c>
      <c r="E1715" s="142" t="s">
        <v>11960</v>
      </c>
      <c r="F1715" s="132" t="s">
        <v>40</v>
      </c>
      <c r="G1715" s="156">
        <v>45633.706250000003</v>
      </c>
      <c r="H1715" s="156">
        <v>45633.74722222222</v>
      </c>
      <c r="I1715" s="168" t="s">
        <v>10418</v>
      </c>
      <c r="J1715" s="169" t="s">
        <v>9367</v>
      </c>
    </row>
    <row r="1716" spans="1:10">
      <c r="A1716" s="154" t="s">
        <v>106</v>
      </c>
      <c r="B1716" s="155" t="s">
        <v>11961</v>
      </c>
      <c r="C1716" s="132" t="s">
        <v>108</v>
      </c>
      <c r="D1716" s="143" t="s">
        <v>11962</v>
      </c>
      <c r="E1716" s="142" t="s">
        <v>11963</v>
      </c>
      <c r="F1716" s="132" t="s">
        <v>40</v>
      </c>
      <c r="G1716" s="156">
        <v>45633.690972222219</v>
      </c>
      <c r="H1716" s="156">
        <v>45633.734027777777</v>
      </c>
      <c r="I1716" s="168" t="s">
        <v>1470</v>
      </c>
      <c r="J1716" s="169" t="s">
        <v>9367</v>
      </c>
    </row>
    <row r="1717" spans="1:10">
      <c r="A1717" s="154" t="s">
        <v>106</v>
      </c>
      <c r="B1717" s="155" t="s">
        <v>11964</v>
      </c>
      <c r="C1717" s="132" t="s">
        <v>108</v>
      </c>
      <c r="D1717" s="132" t="s">
        <v>11965</v>
      </c>
      <c r="E1717" s="132" t="s">
        <v>11966</v>
      </c>
      <c r="F1717" s="132" t="s">
        <v>40</v>
      </c>
      <c r="G1717" s="156">
        <v>45633.871527777781</v>
      </c>
      <c r="H1717" s="156">
        <v>45633.904166666667</v>
      </c>
      <c r="I1717" s="168" t="s">
        <v>946</v>
      </c>
      <c r="J1717" s="169" t="s">
        <v>72</v>
      </c>
    </row>
    <row r="1718" spans="1:10">
      <c r="A1718" s="154" t="s">
        <v>20</v>
      </c>
      <c r="B1718" s="155" t="s">
        <v>11967</v>
      </c>
      <c r="C1718" s="132" t="s">
        <v>21</v>
      </c>
      <c r="D1718" s="132" t="s">
        <v>11968</v>
      </c>
      <c r="E1718" s="132" t="s">
        <v>11969</v>
      </c>
      <c r="F1718" s="132" t="s">
        <v>40</v>
      </c>
      <c r="G1718" s="156">
        <v>45633.895833333336</v>
      </c>
      <c r="H1718" s="156">
        <v>45633.913888888892</v>
      </c>
      <c r="I1718" s="168" t="s">
        <v>52</v>
      </c>
      <c r="J1718" s="169" t="s">
        <v>72</v>
      </c>
    </row>
    <row r="1719" spans="1:10">
      <c r="A1719" s="154" t="s">
        <v>20</v>
      </c>
      <c r="B1719" s="155" t="s">
        <v>11970</v>
      </c>
      <c r="C1719" s="132" t="s">
        <v>21</v>
      </c>
      <c r="D1719" s="132" t="s">
        <v>11971</v>
      </c>
      <c r="E1719" s="132" t="s">
        <v>11972</v>
      </c>
      <c r="F1719" s="132" t="s">
        <v>40</v>
      </c>
      <c r="G1719" s="156">
        <v>45633.901388888888</v>
      </c>
      <c r="H1719" s="156">
        <v>45633.904166666667</v>
      </c>
      <c r="I1719" s="168" t="s">
        <v>52</v>
      </c>
      <c r="J1719" s="169" t="s">
        <v>72</v>
      </c>
    </row>
    <row r="1720" spans="1:10">
      <c r="A1720" s="154" t="s">
        <v>106</v>
      </c>
      <c r="B1720" s="155" t="s">
        <v>11973</v>
      </c>
      <c r="C1720" s="132" t="s">
        <v>37</v>
      </c>
      <c r="D1720" s="132" t="s">
        <v>11974</v>
      </c>
      <c r="E1720" s="132" t="s">
        <v>11975</v>
      </c>
      <c r="F1720" s="132" t="s">
        <v>40</v>
      </c>
      <c r="G1720" s="156">
        <v>45633.917361111111</v>
      </c>
      <c r="H1720" s="156">
        <v>45633.956944444442</v>
      </c>
      <c r="I1720" s="168" t="s">
        <v>10348</v>
      </c>
      <c r="J1720" s="169" t="s">
        <v>72</v>
      </c>
    </row>
    <row r="1721" spans="1:10">
      <c r="A1721" s="154" t="s">
        <v>106</v>
      </c>
      <c r="B1721" s="155" t="s">
        <v>11976</v>
      </c>
      <c r="C1721" s="132" t="s">
        <v>108</v>
      </c>
      <c r="D1721" s="132" t="s">
        <v>11977</v>
      </c>
      <c r="E1721" s="132" t="s">
        <v>11978</v>
      </c>
      <c r="F1721" s="132" t="s">
        <v>40</v>
      </c>
      <c r="G1721" s="156">
        <v>45633.966666666667</v>
      </c>
      <c r="H1721" s="156">
        <v>45633.988888888889</v>
      </c>
      <c r="I1721" s="168" t="s">
        <v>2168</v>
      </c>
      <c r="J1721" s="169" t="s">
        <v>72</v>
      </c>
    </row>
    <row r="1722" spans="1:10">
      <c r="A1722" s="154" t="s">
        <v>95</v>
      </c>
      <c r="B1722" s="155" t="s">
        <v>11979</v>
      </c>
      <c r="C1722" s="132" t="s">
        <v>97</v>
      </c>
      <c r="D1722" s="132" t="s">
        <v>1933</v>
      </c>
      <c r="E1722" s="132" t="s">
        <v>9751</v>
      </c>
      <c r="F1722" s="132" t="s">
        <v>40</v>
      </c>
      <c r="G1722" s="156" t="s">
        <v>11980</v>
      </c>
      <c r="H1722" s="156" t="s">
        <v>11981</v>
      </c>
      <c r="I1722" s="168" t="s">
        <v>32</v>
      </c>
      <c r="J1722" s="169" t="s">
        <v>72</v>
      </c>
    </row>
    <row r="1723" spans="1:10">
      <c r="A1723" s="154" t="s">
        <v>95</v>
      </c>
      <c r="B1723" s="155" t="s">
        <v>11982</v>
      </c>
      <c r="C1723" s="132" t="s">
        <v>118</v>
      </c>
      <c r="D1723" s="132" t="s">
        <v>11983</v>
      </c>
      <c r="E1723" s="132" t="s">
        <v>11984</v>
      </c>
      <c r="F1723" s="132" t="s">
        <v>40</v>
      </c>
      <c r="G1723" s="156" t="s">
        <v>11985</v>
      </c>
      <c r="H1723" s="156" t="s">
        <v>11986</v>
      </c>
      <c r="I1723" s="168" t="s">
        <v>11987</v>
      </c>
      <c r="J1723" s="169" t="s">
        <v>72</v>
      </c>
    </row>
    <row r="1724" spans="1:10">
      <c r="A1724" s="154" t="s">
        <v>106</v>
      </c>
      <c r="B1724" s="155" t="s">
        <v>11988</v>
      </c>
      <c r="C1724" s="132" t="s">
        <v>108</v>
      </c>
      <c r="D1724" s="132" t="s">
        <v>8467</v>
      </c>
      <c r="E1724" s="132" t="s">
        <v>11862</v>
      </c>
      <c r="F1724" s="132" t="s">
        <v>40</v>
      </c>
      <c r="G1724" s="156" t="s">
        <v>11989</v>
      </c>
      <c r="H1724" s="156" t="s">
        <v>11990</v>
      </c>
      <c r="I1724" s="168" t="s">
        <v>32</v>
      </c>
      <c r="J1724" s="169" t="s">
        <v>72</v>
      </c>
    </row>
    <row r="1725" spans="1:10">
      <c r="A1725" s="154" t="s">
        <v>20</v>
      </c>
      <c r="B1725" s="155" t="s">
        <v>11991</v>
      </c>
      <c r="C1725" s="132" t="s">
        <v>21</v>
      </c>
      <c r="D1725" s="132" t="s">
        <v>8802</v>
      </c>
      <c r="E1725" s="132" t="s">
        <v>11992</v>
      </c>
      <c r="F1725" s="132" t="s">
        <v>40</v>
      </c>
      <c r="G1725" s="156" t="s">
        <v>11993</v>
      </c>
      <c r="H1725" s="156" t="s">
        <v>11994</v>
      </c>
      <c r="I1725" s="168" t="s">
        <v>52</v>
      </c>
      <c r="J1725" s="169" t="s">
        <v>72</v>
      </c>
    </row>
    <row r="1726" spans="1:10">
      <c r="A1726" s="154" t="s">
        <v>95</v>
      </c>
      <c r="B1726" s="155" t="s">
        <v>11995</v>
      </c>
      <c r="C1726" s="132" t="s">
        <v>28</v>
      </c>
      <c r="D1726" s="143" t="s">
        <v>11996</v>
      </c>
      <c r="E1726" s="143" t="s">
        <v>11997</v>
      </c>
      <c r="F1726" s="132" t="s">
        <v>40</v>
      </c>
      <c r="G1726" s="156" t="s">
        <v>11998</v>
      </c>
      <c r="H1726" s="156" t="s">
        <v>11999</v>
      </c>
      <c r="I1726" s="168" t="s">
        <v>12000</v>
      </c>
      <c r="J1726" s="169" t="s">
        <v>9367</v>
      </c>
    </row>
    <row r="1727" spans="1:10">
      <c r="A1727" s="154" t="s">
        <v>95</v>
      </c>
      <c r="B1727" s="155" t="s">
        <v>12001</v>
      </c>
      <c r="C1727" s="132" t="s">
        <v>97</v>
      </c>
      <c r="D1727" s="143" t="s">
        <v>12002</v>
      </c>
      <c r="E1727" s="143" t="s">
        <v>12003</v>
      </c>
      <c r="F1727" s="132" t="s">
        <v>40</v>
      </c>
      <c r="G1727" s="156" t="s">
        <v>12004</v>
      </c>
      <c r="H1727" s="156" t="s">
        <v>12005</v>
      </c>
      <c r="I1727" s="168" t="s">
        <v>12006</v>
      </c>
      <c r="J1727" s="169" t="s">
        <v>9367</v>
      </c>
    </row>
    <row r="1728" spans="1:10">
      <c r="A1728" s="154" t="s">
        <v>20</v>
      </c>
      <c r="B1728" s="155" t="s">
        <v>12007</v>
      </c>
      <c r="C1728" s="132" t="s">
        <v>13</v>
      </c>
      <c r="D1728" s="143" t="s">
        <v>12008</v>
      </c>
      <c r="E1728" s="143" t="s">
        <v>12009</v>
      </c>
      <c r="F1728" s="132" t="s">
        <v>40</v>
      </c>
      <c r="G1728" s="156" t="s">
        <v>12010</v>
      </c>
      <c r="H1728" s="156" t="s">
        <v>12011</v>
      </c>
      <c r="I1728" s="168" t="s">
        <v>11612</v>
      </c>
      <c r="J1728" s="169" t="s">
        <v>9367</v>
      </c>
    </row>
    <row r="1729" spans="1:10">
      <c r="A1729" s="154" t="s">
        <v>95</v>
      </c>
      <c r="B1729" s="155" t="s">
        <v>12012</v>
      </c>
      <c r="C1729" s="132" t="s">
        <v>6047</v>
      </c>
      <c r="D1729" s="143" t="s">
        <v>12013</v>
      </c>
      <c r="E1729" s="142" t="s">
        <v>12014</v>
      </c>
      <c r="F1729" s="132" t="s">
        <v>40</v>
      </c>
      <c r="G1729" s="156" t="s">
        <v>12015</v>
      </c>
      <c r="H1729" s="156" t="s">
        <v>12016</v>
      </c>
      <c r="I1729" s="168" t="s">
        <v>10418</v>
      </c>
      <c r="J1729" s="169" t="s">
        <v>9367</v>
      </c>
    </row>
    <row r="1730" spans="1:10">
      <c r="A1730" s="154" t="s">
        <v>95</v>
      </c>
      <c r="B1730" s="155" t="s">
        <v>12017</v>
      </c>
      <c r="C1730" s="132" t="s">
        <v>97</v>
      </c>
      <c r="D1730" s="143" t="s">
        <v>1933</v>
      </c>
      <c r="E1730" s="142" t="s">
        <v>11578</v>
      </c>
      <c r="F1730" s="132" t="s">
        <v>40</v>
      </c>
      <c r="G1730" s="156" t="s">
        <v>12018</v>
      </c>
      <c r="H1730" s="156" t="s">
        <v>12019</v>
      </c>
      <c r="I1730" s="168" t="s">
        <v>32</v>
      </c>
      <c r="J1730" s="169" t="s">
        <v>9367</v>
      </c>
    </row>
    <row r="1731" spans="1:10">
      <c r="A1731" s="154" t="s">
        <v>106</v>
      </c>
      <c r="B1731" s="155" t="s">
        <v>12020</v>
      </c>
      <c r="C1731" s="132" t="s">
        <v>108</v>
      </c>
      <c r="D1731" s="143" t="s">
        <v>11953</v>
      </c>
      <c r="E1731" s="143" t="s">
        <v>12021</v>
      </c>
      <c r="F1731" s="132" t="s">
        <v>40</v>
      </c>
      <c r="G1731" s="156" t="s">
        <v>12022</v>
      </c>
      <c r="H1731" s="156" t="s">
        <v>12023</v>
      </c>
      <c r="I1731" s="168" t="s">
        <v>1470</v>
      </c>
      <c r="J1731" s="169" t="s">
        <v>9367</v>
      </c>
    </row>
    <row r="1732" spans="1:10">
      <c r="A1732" s="154" t="s">
        <v>95</v>
      </c>
      <c r="B1732" s="155" t="s">
        <v>12024</v>
      </c>
      <c r="C1732" s="132" t="s">
        <v>118</v>
      </c>
      <c r="D1732" s="132" t="s">
        <v>12025</v>
      </c>
      <c r="E1732" s="132" t="s">
        <v>12026</v>
      </c>
      <c r="F1732" s="132" t="s">
        <v>40</v>
      </c>
      <c r="G1732" s="156" t="s">
        <v>12027</v>
      </c>
      <c r="H1732" s="156" t="s">
        <v>12028</v>
      </c>
      <c r="I1732" s="168" t="s">
        <v>11987</v>
      </c>
      <c r="J1732" s="169" t="s">
        <v>72</v>
      </c>
    </row>
    <row r="1733" spans="1:10">
      <c r="A1733" s="154" t="s">
        <v>20</v>
      </c>
      <c r="B1733" s="155" t="s">
        <v>12029</v>
      </c>
      <c r="C1733" s="132" t="s">
        <v>21</v>
      </c>
      <c r="D1733" s="132" t="s">
        <v>12030</v>
      </c>
      <c r="E1733" s="132" t="s">
        <v>12031</v>
      </c>
      <c r="F1733" s="132" t="s">
        <v>40</v>
      </c>
      <c r="G1733" s="156" t="s">
        <v>12032</v>
      </c>
      <c r="I1733" s="168" t="s">
        <v>52</v>
      </c>
      <c r="J1733" s="169" t="s">
        <v>72</v>
      </c>
    </row>
    <row r="1734" spans="1:10">
      <c r="A1734" s="154" t="s">
        <v>95</v>
      </c>
      <c r="B1734" s="155" t="s">
        <v>12033</v>
      </c>
      <c r="C1734" s="132" t="s">
        <v>6047</v>
      </c>
      <c r="D1734" s="132" t="s">
        <v>11932</v>
      </c>
      <c r="E1734" s="132" t="s">
        <v>12034</v>
      </c>
      <c r="F1734" s="132" t="s">
        <v>40</v>
      </c>
      <c r="G1734" s="156" t="s">
        <v>12035</v>
      </c>
      <c r="H1734" s="156" t="s">
        <v>12036</v>
      </c>
      <c r="I1734" s="168" t="s">
        <v>7721</v>
      </c>
      <c r="J1734" s="169" t="s">
        <v>72</v>
      </c>
    </row>
    <row r="1735" spans="1:10">
      <c r="A1735" s="154" t="s">
        <v>95</v>
      </c>
      <c r="B1735" s="155" t="s">
        <v>12037</v>
      </c>
      <c r="C1735" s="132" t="s">
        <v>6047</v>
      </c>
      <c r="D1735" s="132" t="s">
        <v>12038</v>
      </c>
      <c r="E1735" s="132" t="s">
        <v>12039</v>
      </c>
      <c r="F1735" s="132" t="s">
        <v>40</v>
      </c>
      <c r="G1735" s="156" t="s">
        <v>12040</v>
      </c>
      <c r="H1735" s="156" t="s">
        <v>11985</v>
      </c>
      <c r="I1735" s="168" t="s">
        <v>11866</v>
      </c>
      <c r="J1735" s="169" t="s">
        <v>72</v>
      </c>
    </row>
    <row r="1736" spans="1:10">
      <c r="A1736" s="154" t="s">
        <v>106</v>
      </c>
      <c r="B1736" s="155" t="s">
        <v>12041</v>
      </c>
      <c r="C1736" s="132" t="s">
        <v>108</v>
      </c>
      <c r="D1736" s="132" t="s">
        <v>10665</v>
      </c>
      <c r="E1736" s="132" t="s">
        <v>12042</v>
      </c>
      <c r="F1736" s="132" t="s">
        <v>40</v>
      </c>
      <c r="G1736" s="156" t="s">
        <v>12043</v>
      </c>
      <c r="I1736" s="168" t="s">
        <v>1173</v>
      </c>
      <c r="J1736" s="169" t="s">
        <v>72</v>
      </c>
    </row>
    <row r="1737" spans="1:10">
      <c r="A1737" s="154" t="s">
        <v>20</v>
      </c>
      <c r="B1737" s="155" t="s">
        <v>12044</v>
      </c>
      <c r="C1737" s="132" t="s">
        <v>21</v>
      </c>
      <c r="D1737" s="132" t="s">
        <v>12045</v>
      </c>
      <c r="E1737" s="132" t="s">
        <v>12046</v>
      </c>
      <c r="F1737" s="132" t="s">
        <v>40</v>
      </c>
      <c r="G1737" s="156" t="s">
        <v>12047</v>
      </c>
      <c r="H1737" s="156" t="s">
        <v>12048</v>
      </c>
      <c r="I1737" s="168" t="s">
        <v>52</v>
      </c>
      <c r="J1737" s="169" t="s">
        <v>72</v>
      </c>
    </row>
    <row r="1738" spans="1:10">
      <c r="A1738" s="154" t="s">
        <v>106</v>
      </c>
      <c r="B1738" s="155" t="s">
        <v>12049</v>
      </c>
      <c r="C1738" s="132" t="s">
        <v>108</v>
      </c>
      <c r="D1738" s="132" t="s">
        <v>12050</v>
      </c>
      <c r="E1738" s="132" t="s">
        <v>12051</v>
      </c>
      <c r="F1738" s="132" t="s">
        <v>40</v>
      </c>
      <c r="G1738" s="156" t="s">
        <v>12052</v>
      </c>
      <c r="H1738" s="156" t="s">
        <v>12053</v>
      </c>
      <c r="I1738" s="168" t="s">
        <v>616</v>
      </c>
      <c r="J1738" s="169" t="s">
        <v>72</v>
      </c>
    </row>
    <row r="1739" spans="1:10" hidden="1">
      <c r="A1739" s="154" t="s">
        <v>95</v>
      </c>
      <c r="B1739" s="155" t="s">
        <v>12054</v>
      </c>
      <c r="C1739" s="132" t="s">
        <v>6047</v>
      </c>
      <c r="D1739" s="143" t="s">
        <v>12055</v>
      </c>
      <c r="E1739" s="143" t="s">
        <v>12056</v>
      </c>
      <c r="F1739" s="132" t="s">
        <v>214</v>
      </c>
      <c r="G1739" s="156" t="s">
        <v>12057</v>
      </c>
      <c r="H1739" s="156" t="s">
        <v>12058</v>
      </c>
      <c r="I1739" s="168" t="s">
        <v>10418</v>
      </c>
      <c r="J1739" s="169" t="s">
        <v>9367</v>
      </c>
    </row>
    <row r="1740" spans="1:10">
      <c r="A1740" s="154" t="s">
        <v>95</v>
      </c>
      <c r="B1740" s="155" t="s">
        <v>12059</v>
      </c>
      <c r="C1740" s="132" t="s">
        <v>97</v>
      </c>
      <c r="D1740" s="143" t="s">
        <v>12060</v>
      </c>
      <c r="E1740" s="141" t="s">
        <v>12061</v>
      </c>
      <c r="F1740" s="132" t="s">
        <v>40</v>
      </c>
      <c r="G1740" s="156" t="s">
        <v>12062</v>
      </c>
      <c r="H1740" s="156" t="s">
        <v>12063</v>
      </c>
      <c r="I1740" s="168" t="s">
        <v>991</v>
      </c>
      <c r="J1740" s="169" t="s">
        <v>9367</v>
      </c>
    </row>
    <row r="1741" spans="1:10">
      <c r="A1741" s="154" t="s">
        <v>20</v>
      </c>
      <c r="B1741" s="155" t="s">
        <v>12064</v>
      </c>
      <c r="C1741" s="132" t="s">
        <v>13</v>
      </c>
      <c r="D1741" s="143" t="s">
        <v>12065</v>
      </c>
      <c r="E1741" s="143" t="s">
        <v>12066</v>
      </c>
      <c r="F1741" s="132" t="s">
        <v>40</v>
      </c>
      <c r="G1741" s="156" t="s">
        <v>12067</v>
      </c>
      <c r="H1741" s="156" t="s">
        <v>12068</v>
      </c>
      <c r="I1741" s="168" t="s">
        <v>149</v>
      </c>
      <c r="J1741" s="169" t="s">
        <v>9367</v>
      </c>
    </row>
    <row r="1742" spans="1:10">
      <c r="A1742" s="154" t="s">
        <v>95</v>
      </c>
      <c r="B1742" s="155" t="s">
        <v>12069</v>
      </c>
      <c r="C1742" s="132" t="s">
        <v>97</v>
      </c>
      <c r="D1742" s="143" t="s">
        <v>1933</v>
      </c>
      <c r="E1742" s="143" t="s">
        <v>11578</v>
      </c>
      <c r="F1742" s="132" t="s">
        <v>40</v>
      </c>
      <c r="G1742" s="156" t="s">
        <v>12070</v>
      </c>
      <c r="H1742" s="156" t="s">
        <v>12071</v>
      </c>
      <c r="I1742" s="168" t="s">
        <v>32</v>
      </c>
      <c r="J1742" s="169" t="s">
        <v>9367</v>
      </c>
    </row>
    <row r="1743" spans="1:10">
      <c r="A1743" s="154" t="s">
        <v>20</v>
      </c>
      <c r="B1743" s="155" t="s">
        <v>12072</v>
      </c>
      <c r="C1743" s="132" t="s">
        <v>13</v>
      </c>
      <c r="D1743" s="143" t="s">
        <v>12073</v>
      </c>
      <c r="E1743" s="143" t="s">
        <v>12074</v>
      </c>
      <c r="F1743" s="132" t="s">
        <v>40</v>
      </c>
      <c r="G1743" s="156" t="s">
        <v>12075</v>
      </c>
      <c r="H1743" s="156" t="s">
        <v>12076</v>
      </c>
      <c r="I1743" s="168" t="s">
        <v>12077</v>
      </c>
      <c r="J1743" s="169" t="s">
        <v>9367</v>
      </c>
    </row>
    <row r="1744" spans="1:10">
      <c r="A1744" s="154" t="s">
        <v>95</v>
      </c>
      <c r="B1744" s="155" t="s">
        <v>12078</v>
      </c>
      <c r="C1744" s="132" t="s">
        <v>97</v>
      </c>
      <c r="D1744" s="132" t="s">
        <v>1933</v>
      </c>
      <c r="E1744" s="132" t="s">
        <v>9751</v>
      </c>
      <c r="F1744" s="132" t="s">
        <v>40</v>
      </c>
      <c r="G1744" s="156" t="s">
        <v>12079</v>
      </c>
      <c r="H1744" s="156" t="s">
        <v>12080</v>
      </c>
      <c r="I1744" s="168" t="s">
        <v>32</v>
      </c>
      <c r="J1744" s="169" t="s">
        <v>72</v>
      </c>
    </row>
    <row r="1745" spans="1:17">
      <c r="A1745" s="154" t="s">
        <v>20</v>
      </c>
      <c r="B1745" s="155" t="s">
        <v>12081</v>
      </c>
      <c r="C1745" s="132" t="s">
        <v>21</v>
      </c>
      <c r="D1745" s="132" t="s">
        <v>12082</v>
      </c>
      <c r="E1745" s="132" t="s">
        <v>11522</v>
      </c>
      <c r="F1745" s="132" t="s">
        <v>40</v>
      </c>
      <c r="G1745" s="156" t="s">
        <v>12083</v>
      </c>
      <c r="H1745" s="156" t="s">
        <v>12084</v>
      </c>
      <c r="I1745" s="168" t="s">
        <v>52</v>
      </c>
      <c r="J1745" s="169" t="s">
        <v>72</v>
      </c>
    </row>
    <row r="1746" spans="1:17">
      <c r="A1746" s="154" t="s">
        <v>95</v>
      </c>
      <c r="B1746" s="155" t="s">
        <v>12085</v>
      </c>
      <c r="C1746" s="132" t="s">
        <v>118</v>
      </c>
      <c r="D1746" s="132" t="s">
        <v>12086</v>
      </c>
      <c r="E1746" s="132" t="s">
        <v>12087</v>
      </c>
      <c r="F1746" s="132" t="s">
        <v>40</v>
      </c>
      <c r="G1746" s="156" t="s">
        <v>12088</v>
      </c>
      <c r="H1746" s="156" t="s">
        <v>12089</v>
      </c>
      <c r="I1746" s="168" t="s">
        <v>1102</v>
      </c>
      <c r="J1746" s="169" t="s">
        <v>72</v>
      </c>
    </row>
    <row r="1747" spans="1:17">
      <c r="A1747" s="154" t="s">
        <v>106</v>
      </c>
      <c r="B1747" s="155" t="s">
        <v>12090</v>
      </c>
      <c r="C1747" s="132" t="s">
        <v>108</v>
      </c>
      <c r="D1747" s="132" t="s">
        <v>8467</v>
      </c>
      <c r="E1747" s="132" t="s">
        <v>11862</v>
      </c>
      <c r="F1747" s="132" t="s">
        <v>40</v>
      </c>
      <c r="G1747" s="156" t="s">
        <v>12091</v>
      </c>
      <c r="H1747" s="156" t="s">
        <v>12092</v>
      </c>
      <c r="I1747" s="168" t="s">
        <v>32</v>
      </c>
      <c r="J1747" s="169" t="s">
        <v>72</v>
      </c>
    </row>
    <row r="1748" spans="1:17">
      <c r="A1748" s="154" t="s">
        <v>95</v>
      </c>
      <c r="B1748" s="155" t="s">
        <v>12093</v>
      </c>
      <c r="C1748" s="132" t="s">
        <v>118</v>
      </c>
      <c r="D1748" s="132" t="s">
        <v>12094</v>
      </c>
      <c r="E1748" s="132" t="s">
        <v>12095</v>
      </c>
      <c r="F1748" s="132" t="s">
        <v>40</v>
      </c>
      <c r="G1748" s="156" t="s">
        <v>12096</v>
      </c>
      <c r="H1748" s="156" t="s">
        <v>12097</v>
      </c>
      <c r="I1748" s="168" t="s">
        <v>1102</v>
      </c>
      <c r="J1748" s="169" t="s">
        <v>72</v>
      </c>
    </row>
    <row r="1749" spans="1:17">
      <c r="A1749" s="154" t="s">
        <v>20</v>
      </c>
      <c r="B1749" s="155" t="s">
        <v>12098</v>
      </c>
      <c r="C1749" s="132" t="s">
        <v>21</v>
      </c>
      <c r="D1749" s="132" t="s">
        <v>12099</v>
      </c>
      <c r="E1749" s="132" t="s">
        <v>12100</v>
      </c>
      <c r="F1749" s="132" t="s">
        <v>40</v>
      </c>
      <c r="G1749" s="156" t="s">
        <v>12101</v>
      </c>
      <c r="H1749" s="156" t="s">
        <v>12102</v>
      </c>
      <c r="I1749" s="168" t="s">
        <v>52</v>
      </c>
      <c r="J1749" s="169" t="s">
        <v>72</v>
      </c>
    </row>
    <row r="1750" spans="1:17" s="189" customFormat="1">
      <c r="A1750" s="154" t="s">
        <v>95</v>
      </c>
      <c r="B1750" s="155" t="s">
        <v>12103</v>
      </c>
      <c r="C1750" s="132" t="s">
        <v>6047</v>
      </c>
      <c r="D1750" s="132" t="s">
        <v>12104</v>
      </c>
      <c r="E1750" s="132" t="s">
        <v>12105</v>
      </c>
      <c r="F1750" s="132" t="s">
        <v>40</v>
      </c>
      <c r="G1750" s="156" t="s">
        <v>12106</v>
      </c>
      <c r="H1750" s="156" t="s">
        <v>12107</v>
      </c>
      <c r="I1750" s="168" t="s">
        <v>11866</v>
      </c>
      <c r="J1750" s="169" t="s">
        <v>72</v>
      </c>
      <c r="K1750" s="169"/>
      <c r="L1750" s="132"/>
      <c r="M1750" s="188"/>
      <c r="N1750" s="188"/>
      <c r="O1750" s="188"/>
      <c r="P1750" s="188"/>
      <c r="Q1750" s="188"/>
    </row>
    <row r="1751" spans="1:17">
      <c r="A1751" s="154" t="s">
        <v>95</v>
      </c>
      <c r="B1751" s="155" t="s">
        <v>12108</v>
      </c>
      <c r="C1751" s="132" t="s">
        <v>113</v>
      </c>
      <c r="D1751" s="143" t="s">
        <v>12109</v>
      </c>
      <c r="E1751" s="143" t="s">
        <v>12110</v>
      </c>
      <c r="F1751" s="132" t="s">
        <v>40</v>
      </c>
      <c r="G1751" s="156" t="s">
        <v>12111</v>
      </c>
      <c r="H1751" s="156" t="s">
        <v>12112</v>
      </c>
      <c r="I1751" s="168" t="s">
        <v>2980</v>
      </c>
      <c r="J1751" s="169" t="s">
        <v>9367</v>
      </c>
    </row>
    <row r="1752" spans="1:17">
      <c r="A1752" s="154" t="s">
        <v>95</v>
      </c>
      <c r="B1752" s="155" t="s">
        <v>12113</v>
      </c>
      <c r="C1752" s="132" t="s">
        <v>97</v>
      </c>
      <c r="D1752" s="143" t="s">
        <v>12114</v>
      </c>
      <c r="E1752" s="146" t="s">
        <v>12115</v>
      </c>
      <c r="F1752" s="132" t="s">
        <v>40</v>
      </c>
      <c r="G1752" s="156" t="s">
        <v>12116</v>
      </c>
      <c r="H1752" s="156" t="s">
        <v>12063</v>
      </c>
      <c r="I1752" s="168" t="s">
        <v>991</v>
      </c>
      <c r="J1752" s="169" t="s">
        <v>9367</v>
      </c>
    </row>
    <row r="1753" spans="1:17">
      <c r="A1753" s="154" t="s">
        <v>95</v>
      </c>
      <c r="B1753" s="155" t="s">
        <v>12117</v>
      </c>
      <c r="C1753" s="132" t="s">
        <v>97</v>
      </c>
      <c r="D1753" s="132" t="s">
        <v>12118</v>
      </c>
      <c r="E1753" s="143" t="s">
        <v>12119</v>
      </c>
      <c r="F1753" s="132" t="s">
        <v>40</v>
      </c>
      <c r="G1753" s="156" t="s">
        <v>12120</v>
      </c>
      <c r="H1753" s="156" t="s">
        <v>12121</v>
      </c>
      <c r="I1753" s="168" t="s">
        <v>991</v>
      </c>
      <c r="J1753" s="169" t="s">
        <v>9367</v>
      </c>
    </row>
    <row r="1754" spans="1:17">
      <c r="A1754" s="154" t="s">
        <v>95</v>
      </c>
      <c r="B1754" s="155" t="s">
        <v>12122</v>
      </c>
      <c r="C1754" s="132" t="s">
        <v>6047</v>
      </c>
      <c r="D1754" s="132" t="s">
        <v>12123</v>
      </c>
      <c r="E1754" s="143" t="s">
        <v>12124</v>
      </c>
      <c r="F1754" s="132" t="s">
        <v>40</v>
      </c>
      <c r="G1754" s="156" t="s">
        <v>12125</v>
      </c>
      <c r="H1754" s="156" t="s">
        <v>12126</v>
      </c>
      <c r="I1754" s="168" t="s">
        <v>12127</v>
      </c>
      <c r="J1754" s="169" t="s">
        <v>9367</v>
      </c>
    </row>
    <row r="1755" spans="1:17">
      <c r="A1755" s="154" t="s">
        <v>106</v>
      </c>
      <c r="B1755" s="155" t="s">
        <v>12128</v>
      </c>
      <c r="C1755" s="132" t="s">
        <v>108</v>
      </c>
      <c r="D1755" s="132" t="s">
        <v>11953</v>
      </c>
      <c r="E1755" s="143" t="s">
        <v>12129</v>
      </c>
      <c r="F1755" s="132" t="s">
        <v>40</v>
      </c>
      <c r="G1755" s="156" t="s">
        <v>12130</v>
      </c>
      <c r="H1755" s="156" t="s">
        <v>12131</v>
      </c>
      <c r="I1755" s="168" t="s">
        <v>1470</v>
      </c>
      <c r="J1755" s="169" t="s">
        <v>9367</v>
      </c>
    </row>
    <row r="1756" spans="1:17">
      <c r="A1756" s="154" t="s">
        <v>95</v>
      </c>
      <c r="B1756" s="155" t="s">
        <v>12132</v>
      </c>
      <c r="C1756" s="132" t="s">
        <v>97</v>
      </c>
      <c r="D1756" s="132" t="s">
        <v>12133</v>
      </c>
      <c r="E1756" s="146" t="s">
        <v>12134</v>
      </c>
      <c r="F1756" s="132" t="s">
        <v>40</v>
      </c>
      <c r="G1756" s="156" t="s">
        <v>12135</v>
      </c>
      <c r="H1756" s="156" t="s">
        <v>12063</v>
      </c>
      <c r="I1756" s="168" t="s">
        <v>991</v>
      </c>
      <c r="J1756" s="169" t="s">
        <v>9367</v>
      </c>
    </row>
    <row r="1757" spans="1:17">
      <c r="A1757" s="154" t="s">
        <v>95</v>
      </c>
      <c r="B1757" s="155" t="s">
        <v>12136</v>
      </c>
      <c r="C1757" s="132" t="s">
        <v>6047</v>
      </c>
      <c r="D1757" s="132" t="s">
        <v>12137</v>
      </c>
      <c r="E1757" s="143" t="s">
        <v>12138</v>
      </c>
      <c r="F1757" s="132" t="s">
        <v>40</v>
      </c>
      <c r="G1757" s="156" t="s">
        <v>12139</v>
      </c>
      <c r="H1757" s="156" t="s">
        <v>12140</v>
      </c>
      <c r="I1757" s="168" t="s">
        <v>12127</v>
      </c>
      <c r="J1757" s="169" t="s">
        <v>9367</v>
      </c>
    </row>
    <row r="1758" spans="1:17">
      <c r="A1758" s="154" t="s">
        <v>95</v>
      </c>
      <c r="B1758" s="155" t="s">
        <v>12141</v>
      </c>
      <c r="C1758" s="132" t="s">
        <v>6047</v>
      </c>
      <c r="D1758" s="132" t="s">
        <v>12142</v>
      </c>
      <c r="E1758" s="132" t="s">
        <v>12143</v>
      </c>
      <c r="F1758" s="132" t="s">
        <v>40</v>
      </c>
      <c r="G1758" s="156" t="s">
        <v>12144</v>
      </c>
      <c r="H1758" s="156" t="s">
        <v>12145</v>
      </c>
      <c r="I1758" s="168" t="s">
        <v>11866</v>
      </c>
      <c r="J1758" s="169" t="s">
        <v>72</v>
      </c>
    </row>
    <row r="1759" spans="1:17">
      <c r="A1759" s="154" t="s">
        <v>106</v>
      </c>
      <c r="B1759" s="155" t="s">
        <v>12146</v>
      </c>
      <c r="C1759" s="132" t="s">
        <v>37</v>
      </c>
      <c r="D1759" s="132" t="s">
        <v>10346</v>
      </c>
      <c r="E1759" s="132" t="s">
        <v>12147</v>
      </c>
      <c r="F1759" s="132" t="s">
        <v>40</v>
      </c>
      <c r="G1759" s="156" t="s">
        <v>12148</v>
      </c>
      <c r="H1759" s="156" t="s">
        <v>12149</v>
      </c>
      <c r="I1759" s="168" t="s">
        <v>12150</v>
      </c>
      <c r="J1759" s="169" t="s">
        <v>72</v>
      </c>
    </row>
    <row r="1760" spans="1:17">
      <c r="A1760" s="154" t="s">
        <v>20</v>
      </c>
      <c r="B1760" s="155" t="s">
        <v>12151</v>
      </c>
      <c r="C1760" s="132" t="s">
        <v>49</v>
      </c>
      <c r="D1760" s="132" t="s">
        <v>8771</v>
      </c>
      <c r="E1760" s="132" t="s">
        <v>12152</v>
      </c>
      <c r="F1760" s="132" t="s">
        <v>40</v>
      </c>
      <c r="G1760" s="156" t="s">
        <v>12153</v>
      </c>
      <c r="H1760" s="156" t="s">
        <v>12154</v>
      </c>
      <c r="I1760" s="168" t="s">
        <v>32</v>
      </c>
      <c r="J1760" s="169" t="s">
        <v>72</v>
      </c>
    </row>
    <row r="1761" spans="1:10">
      <c r="A1761" s="154" t="s">
        <v>95</v>
      </c>
      <c r="B1761" s="155" t="s">
        <v>12155</v>
      </c>
      <c r="C1761" s="132" t="s">
        <v>97</v>
      </c>
      <c r="D1761" s="132" t="s">
        <v>12156</v>
      </c>
      <c r="E1761" s="143" t="s">
        <v>12157</v>
      </c>
      <c r="F1761" s="132" t="s">
        <v>40</v>
      </c>
      <c r="G1761" s="156" t="s">
        <v>12158</v>
      </c>
      <c r="H1761" s="156" t="s">
        <v>12159</v>
      </c>
      <c r="I1761" s="168" t="s">
        <v>32</v>
      </c>
      <c r="J1761" s="169" t="s">
        <v>9367</v>
      </c>
    </row>
    <row r="1762" spans="1:10" hidden="1">
      <c r="A1762" s="154" t="s">
        <v>106</v>
      </c>
      <c r="B1762" s="155" t="s">
        <v>12160</v>
      </c>
      <c r="C1762" s="132" t="s">
        <v>108</v>
      </c>
      <c r="D1762" s="132" t="s">
        <v>12161</v>
      </c>
      <c r="E1762" s="132" t="s">
        <v>12162</v>
      </c>
      <c r="F1762" s="132" t="s">
        <v>308</v>
      </c>
      <c r="G1762" s="156" t="s">
        <v>12163</v>
      </c>
      <c r="H1762" s="156" t="s">
        <v>12164</v>
      </c>
      <c r="I1762" s="168" t="s">
        <v>12165</v>
      </c>
      <c r="J1762" s="169" t="s">
        <v>9367</v>
      </c>
    </row>
    <row r="1763" spans="1:10" hidden="1">
      <c r="A1763" s="154" t="s">
        <v>106</v>
      </c>
      <c r="B1763" s="155" t="s">
        <v>12166</v>
      </c>
      <c r="C1763" s="132" t="s">
        <v>333</v>
      </c>
      <c r="D1763" s="132" t="s">
        <v>12167</v>
      </c>
      <c r="E1763" s="146" t="s">
        <v>12168</v>
      </c>
      <c r="F1763" s="132" t="s">
        <v>308</v>
      </c>
      <c r="G1763" s="156" t="s">
        <v>12169</v>
      </c>
      <c r="H1763" s="156" t="s">
        <v>12170</v>
      </c>
      <c r="I1763" s="168" t="s">
        <v>346</v>
      </c>
      <c r="J1763" s="169" t="s">
        <v>9367</v>
      </c>
    </row>
    <row r="1764" spans="1:10">
      <c r="A1764" s="154" t="s">
        <v>95</v>
      </c>
      <c r="B1764" s="155" t="s">
        <v>12171</v>
      </c>
      <c r="C1764" s="132" t="s">
        <v>28</v>
      </c>
      <c r="D1764" s="132" t="s">
        <v>12172</v>
      </c>
      <c r="E1764" s="143" t="s">
        <v>12173</v>
      </c>
      <c r="F1764" s="132" t="s">
        <v>40</v>
      </c>
      <c r="G1764" s="156" t="s">
        <v>12174</v>
      </c>
      <c r="H1764" s="156" t="s">
        <v>12175</v>
      </c>
      <c r="I1764" s="168" t="s">
        <v>12176</v>
      </c>
      <c r="J1764" s="169" t="s">
        <v>9367</v>
      </c>
    </row>
    <row r="1765" spans="1:10">
      <c r="A1765" s="154" t="s">
        <v>20</v>
      </c>
      <c r="B1765" s="155" t="s">
        <v>12177</v>
      </c>
      <c r="C1765" s="132" t="s">
        <v>49</v>
      </c>
      <c r="D1765" s="132" t="s">
        <v>12178</v>
      </c>
      <c r="E1765" s="143" t="s">
        <v>12179</v>
      </c>
      <c r="F1765" s="132" t="s">
        <v>40</v>
      </c>
      <c r="G1765" s="156" t="s">
        <v>12180</v>
      </c>
      <c r="H1765" s="156" t="s">
        <v>12181</v>
      </c>
      <c r="I1765" s="168" t="s">
        <v>32</v>
      </c>
      <c r="J1765" s="169" t="s">
        <v>9367</v>
      </c>
    </row>
    <row r="1766" spans="1:10">
      <c r="A1766" s="154" t="s">
        <v>106</v>
      </c>
      <c r="B1766" s="155" t="s">
        <v>12182</v>
      </c>
      <c r="C1766" s="132" t="s">
        <v>108</v>
      </c>
      <c r="D1766" s="132" t="s">
        <v>8467</v>
      </c>
      <c r="E1766" s="132" t="s">
        <v>11862</v>
      </c>
      <c r="F1766" s="132" t="s">
        <v>40</v>
      </c>
      <c r="G1766" s="156" t="s">
        <v>12183</v>
      </c>
      <c r="H1766" s="156" t="s">
        <v>12184</v>
      </c>
      <c r="I1766" s="168" t="s">
        <v>32</v>
      </c>
      <c r="J1766" s="169" t="s">
        <v>72</v>
      </c>
    </row>
    <row r="1767" spans="1:10">
      <c r="A1767" s="154" t="s">
        <v>106</v>
      </c>
      <c r="B1767" s="155" t="s">
        <v>12185</v>
      </c>
      <c r="C1767" s="132" t="s">
        <v>37</v>
      </c>
      <c r="D1767" s="132" t="s">
        <v>12186</v>
      </c>
      <c r="E1767" s="132" t="s">
        <v>12187</v>
      </c>
      <c r="F1767" s="132" t="s">
        <v>40</v>
      </c>
      <c r="G1767" s="156" t="s">
        <v>12188</v>
      </c>
      <c r="H1767" s="156" t="s">
        <v>12189</v>
      </c>
      <c r="I1767" s="168" t="s">
        <v>12190</v>
      </c>
      <c r="J1767" s="169" t="s">
        <v>72</v>
      </c>
    </row>
    <row r="1768" spans="1:10">
      <c r="A1768" s="154" t="s">
        <v>20</v>
      </c>
      <c r="B1768" s="155" t="s">
        <v>12191</v>
      </c>
      <c r="C1768" s="132" t="s">
        <v>21</v>
      </c>
      <c r="D1768" s="132" t="s">
        <v>12192</v>
      </c>
      <c r="E1768" s="132" t="s">
        <v>12193</v>
      </c>
      <c r="F1768" s="132" t="s">
        <v>40</v>
      </c>
      <c r="G1768" s="156" t="s">
        <v>12194</v>
      </c>
      <c r="H1768" s="156" t="s">
        <v>12195</v>
      </c>
      <c r="I1768" s="168" t="s">
        <v>52</v>
      </c>
      <c r="J1768" s="169" t="s">
        <v>72</v>
      </c>
    </row>
    <row r="1769" spans="1:10">
      <c r="A1769" s="154" t="s">
        <v>95</v>
      </c>
      <c r="B1769" s="155" t="s">
        <v>12196</v>
      </c>
      <c r="C1769" s="132" t="s">
        <v>118</v>
      </c>
      <c r="D1769" s="132" t="s">
        <v>12197</v>
      </c>
      <c r="E1769" s="132" t="s">
        <v>12198</v>
      </c>
      <c r="F1769" s="132" t="s">
        <v>40</v>
      </c>
      <c r="G1769" s="156" t="s">
        <v>12199</v>
      </c>
      <c r="H1769" s="156" t="s">
        <v>12200</v>
      </c>
      <c r="I1769" s="168" t="s">
        <v>12201</v>
      </c>
      <c r="J1769" s="169" t="s">
        <v>72</v>
      </c>
    </row>
    <row r="1770" spans="1:10">
      <c r="A1770" s="154" t="s">
        <v>106</v>
      </c>
      <c r="B1770" s="155" t="s">
        <v>12202</v>
      </c>
      <c r="C1770" s="132" t="s">
        <v>108</v>
      </c>
      <c r="D1770" s="132" t="s">
        <v>12203</v>
      </c>
      <c r="E1770" s="132" t="s">
        <v>12204</v>
      </c>
      <c r="F1770" s="132" t="s">
        <v>40</v>
      </c>
      <c r="G1770" s="156" t="s">
        <v>12205</v>
      </c>
      <c r="H1770" s="156" t="s">
        <v>12206</v>
      </c>
      <c r="I1770" s="168" t="s">
        <v>6006</v>
      </c>
      <c r="J1770" s="169" t="s">
        <v>514</v>
      </c>
    </row>
    <row r="1771" spans="1:10">
      <c r="A1771" s="154" t="s">
        <v>106</v>
      </c>
      <c r="B1771" s="155" t="s">
        <v>12207</v>
      </c>
      <c r="C1771" s="132" t="s">
        <v>333</v>
      </c>
      <c r="D1771" s="132" t="s">
        <v>12208</v>
      </c>
      <c r="E1771" s="132" t="s">
        <v>12209</v>
      </c>
      <c r="F1771" s="132" t="s">
        <v>40</v>
      </c>
      <c r="G1771" s="156" t="s">
        <v>12210</v>
      </c>
      <c r="H1771" s="156" t="s">
        <v>12211</v>
      </c>
      <c r="I1771" s="168" t="s">
        <v>346</v>
      </c>
      <c r="J1771" s="169" t="s">
        <v>514</v>
      </c>
    </row>
    <row r="1772" spans="1:10">
      <c r="A1772" s="154" t="s">
        <v>20</v>
      </c>
      <c r="B1772" s="155" t="s">
        <v>12212</v>
      </c>
      <c r="C1772" s="132" t="s">
        <v>13</v>
      </c>
      <c r="D1772" s="132" t="s">
        <v>12213</v>
      </c>
      <c r="E1772" s="132" t="s">
        <v>12214</v>
      </c>
      <c r="F1772" s="132" t="s">
        <v>40</v>
      </c>
      <c r="G1772" s="156" t="s">
        <v>12215</v>
      </c>
      <c r="H1772" s="156" t="s">
        <v>12216</v>
      </c>
      <c r="I1772" s="168" t="s">
        <v>17</v>
      </c>
      <c r="J1772" s="169" t="s">
        <v>514</v>
      </c>
    </row>
    <row r="1773" spans="1:10" hidden="1">
      <c r="A1773" s="154" t="s">
        <v>95</v>
      </c>
      <c r="B1773" s="155" t="s">
        <v>12217</v>
      </c>
      <c r="C1773" s="132" t="s">
        <v>1763</v>
      </c>
      <c r="D1773" s="132" t="s">
        <v>12218</v>
      </c>
      <c r="E1773" s="132" t="s">
        <v>12219</v>
      </c>
      <c r="G1773" s="156" t="s">
        <v>12220</v>
      </c>
      <c r="H1773" s="156" t="s">
        <v>12221</v>
      </c>
      <c r="I1773" s="168" t="s">
        <v>11771</v>
      </c>
      <c r="J1773" s="169" t="s">
        <v>514</v>
      </c>
    </row>
    <row r="1774" spans="1:10">
      <c r="A1774" s="154" t="s">
        <v>95</v>
      </c>
      <c r="B1774" s="155" t="s">
        <v>12222</v>
      </c>
      <c r="C1774" s="132" t="s">
        <v>28</v>
      </c>
      <c r="D1774" s="132" t="s">
        <v>12223</v>
      </c>
      <c r="E1774" s="132" t="s">
        <v>12224</v>
      </c>
      <c r="F1774" s="132" t="s">
        <v>40</v>
      </c>
      <c r="G1774" s="156" t="s">
        <v>12225</v>
      </c>
      <c r="H1774" s="156" t="s">
        <v>12226</v>
      </c>
      <c r="I1774" s="168" t="s">
        <v>980</v>
      </c>
      <c r="J1774" s="169" t="s">
        <v>514</v>
      </c>
    </row>
    <row r="1775" spans="1:10">
      <c r="A1775" s="154" t="s">
        <v>106</v>
      </c>
      <c r="B1775" s="155" t="s">
        <v>12227</v>
      </c>
      <c r="C1775" s="132" t="s">
        <v>108</v>
      </c>
      <c r="D1775" s="132" t="s">
        <v>12228</v>
      </c>
      <c r="E1775" s="132" t="s">
        <v>12229</v>
      </c>
      <c r="F1775" s="132" t="s">
        <v>40</v>
      </c>
      <c r="G1775" s="156" t="s">
        <v>12230</v>
      </c>
      <c r="H1775" s="156" t="s">
        <v>12231</v>
      </c>
      <c r="I1775" s="168" t="s">
        <v>6006</v>
      </c>
      <c r="J1775" s="169" t="s">
        <v>514</v>
      </c>
    </row>
    <row r="1776" spans="1:10">
      <c r="A1776" s="154" t="s">
        <v>20</v>
      </c>
      <c r="B1776" s="155" t="s">
        <v>12232</v>
      </c>
      <c r="C1776" s="132" t="s">
        <v>21</v>
      </c>
      <c r="D1776" s="132" t="s">
        <v>12233</v>
      </c>
      <c r="E1776" s="132" t="s">
        <v>12234</v>
      </c>
      <c r="F1776" s="132" t="s">
        <v>40</v>
      </c>
      <c r="G1776" s="156" t="s">
        <v>12235</v>
      </c>
      <c r="H1776" s="156" t="s">
        <v>12236</v>
      </c>
      <c r="I1776" s="168" t="s">
        <v>1628</v>
      </c>
      <c r="J1776" s="169" t="s">
        <v>88</v>
      </c>
    </row>
    <row r="1777" spans="1:12">
      <c r="A1777" s="154" t="s">
        <v>20</v>
      </c>
      <c r="B1777" s="155" t="s">
        <v>12237</v>
      </c>
      <c r="C1777" s="132" t="s">
        <v>21</v>
      </c>
      <c r="D1777" s="132" t="s">
        <v>12238</v>
      </c>
      <c r="E1777" s="132" t="s">
        <v>12239</v>
      </c>
      <c r="F1777" s="132" t="s">
        <v>40</v>
      </c>
      <c r="G1777" s="156" t="s">
        <v>12240</v>
      </c>
      <c r="H1777" s="156" t="s">
        <v>12241</v>
      </c>
      <c r="I1777" s="168" t="s">
        <v>1628</v>
      </c>
      <c r="J1777" s="169" t="s">
        <v>88</v>
      </c>
    </row>
    <row r="1778" spans="1:12">
      <c r="A1778" s="154" t="s">
        <v>106</v>
      </c>
      <c r="B1778" s="155" t="s">
        <v>12242</v>
      </c>
      <c r="C1778" s="132" t="s">
        <v>108</v>
      </c>
      <c r="D1778" s="132" t="s">
        <v>12243</v>
      </c>
      <c r="E1778" s="132" t="s">
        <v>12244</v>
      </c>
      <c r="F1778" s="132" t="s">
        <v>40</v>
      </c>
      <c r="G1778" s="156" t="s">
        <v>12245</v>
      </c>
      <c r="H1778" s="156" t="s">
        <v>12246</v>
      </c>
      <c r="I1778" s="168" t="s">
        <v>11135</v>
      </c>
      <c r="J1778" s="169" t="s">
        <v>88</v>
      </c>
    </row>
    <row r="1779" spans="1:12">
      <c r="A1779" s="154" t="s">
        <v>20</v>
      </c>
      <c r="B1779" s="155" t="s">
        <v>12247</v>
      </c>
      <c r="C1779" s="132" t="s">
        <v>21</v>
      </c>
      <c r="D1779" s="132" t="s">
        <v>12248</v>
      </c>
      <c r="E1779" s="132" t="s">
        <v>12249</v>
      </c>
      <c r="F1779" s="132" t="s">
        <v>40</v>
      </c>
      <c r="G1779" s="156" t="s">
        <v>12250</v>
      </c>
      <c r="H1779" s="156" t="s">
        <v>12251</v>
      </c>
      <c r="I1779" s="168" t="s">
        <v>1628</v>
      </c>
      <c r="J1779" s="169" t="s">
        <v>88</v>
      </c>
    </row>
    <row r="1780" spans="1:12" hidden="1">
      <c r="A1780" s="154" t="s">
        <v>106</v>
      </c>
      <c r="B1780" s="155" t="s">
        <v>12252</v>
      </c>
      <c r="C1780" s="132" t="s">
        <v>333</v>
      </c>
      <c r="D1780" s="132" t="s">
        <v>12253</v>
      </c>
      <c r="E1780" s="132" t="s">
        <v>12254</v>
      </c>
      <c r="F1780" s="132" t="s">
        <v>214</v>
      </c>
      <c r="G1780" s="156" t="s">
        <v>12255</v>
      </c>
      <c r="H1780" s="156" t="s">
        <v>12256</v>
      </c>
      <c r="I1780" s="168" t="s">
        <v>2724</v>
      </c>
      <c r="J1780" s="169" t="s">
        <v>88</v>
      </c>
      <c r="K1780" s="169" t="s">
        <v>514</v>
      </c>
    </row>
    <row r="1781" spans="1:12">
      <c r="A1781" s="154" t="s">
        <v>20</v>
      </c>
      <c r="B1781" s="155" t="s">
        <v>12257</v>
      </c>
      <c r="C1781" s="132" t="s">
        <v>21</v>
      </c>
      <c r="D1781" s="132" t="s">
        <v>12258</v>
      </c>
      <c r="E1781" s="132" t="s">
        <v>12259</v>
      </c>
      <c r="F1781" s="132" t="s">
        <v>40</v>
      </c>
      <c r="G1781" s="156" t="s">
        <v>12260</v>
      </c>
      <c r="H1781" s="156" t="s">
        <v>12261</v>
      </c>
      <c r="I1781" s="168" t="s">
        <v>1628</v>
      </c>
      <c r="J1781" s="169" t="s">
        <v>88</v>
      </c>
    </row>
    <row r="1782" spans="1:12">
      <c r="A1782" s="154" t="s">
        <v>20</v>
      </c>
      <c r="B1782" s="182" t="s">
        <v>12262</v>
      </c>
      <c r="C1782" s="132" t="s">
        <v>13</v>
      </c>
      <c r="D1782" s="132" t="s">
        <v>12263</v>
      </c>
      <c r="E1782" s="132" t="s">
        <v>12264</v>
      </c>
      <c r="F1782" s="132" t="s">
        <v>40</v>
      </c>
      <c r="G1782" s="156" t="s">
        <v>12265</v>
      </c>
      <c r="H1782" s="156" t="s">
        <v>12266</v>
      </c>
      <c r="I1782" s="168" t="s">
        <v>17</v>
      </c>
      <c r="J1782" s="169" t="s">
        <v>514</v>
      </c>
    </row>
    <row r="1783" spans="1:12">
      <c r="A1783" s="154" t="s">
        <v>106</v>
      </c>
      <c r="B1783" s="155" t="s">
        <v>12267</v>
      </c>
      <c r="C1783" s="132" t="s">
        <v>333</v>
      </c>
      <c r="D1783" s="132" t="s">
        <v>12268</v>
      </c>
      <c r="E1783" s="132" t="s">
        <v>12269</v>
      </c>
      <c r="F1783" s="132" t="s">
        <v>40</v>
      </c>
      <c r="G1783" s="156" t="s">
        <v>12270</v>
      </c>
      <c r="H1783" s="156" t="s">
        <v>12271</v>
      </c>
      <c r="I1783" s="168" t="s">
        <v>346</v>
      </c>
      <c r="J1783" s="169" t="s">
        <v>514</v>
      </c>
    </row>
    <row r="1784" spans="1:12">
      <c r="A1784" s="154" t="s">
        <v>106</v>
      </c>
      <c r="B1784" s="155" t="s">
        <v>12272</v>
      </c>
      <c r="C1784" s="132" t="s">
        <v>108</v>
      </c>
      <c r="D1784" s="132" t="s">
        <v>12273</v>
      </c>
      <c r="E1784" s="132" t="s">
        <v>12274</v>
      </c>
      <c r="F1784" s="132" t="s">
        <v>40</v>
      </c>
      <c r="G1784" s="156" t="s">
        <v>12275</v>
      </c>
      <c r="H1784" s="156" t="s">
        <v>12276</v>
      </c>
      <c r="I1784" s="168" t="s">
        <v>6006</v>
      </c>
      <c r="J1784" s="169" t="s">
        <v>514</v>
      </c>
    </row>
    <row r="1785" spans="1:12">
      <c r="A1785" s="154" t="s">
        <v>95</v>
      </c>
      <c r="B1785" s="155" t="s">
        <v>12277</v>
      </c>
      <c r="C1785" s="132" t="s">
        <v>6047</v>
      </c>
      <c r="D1785" s="132" t="s">
        <v>12278</v>
      </c>
      <c r="E1785" s="132" t="s">
        <v>12279</v>
      </c>
      <c r="F1785" s="132" t="s">
        <v>40</v>
      </c>
      <c r="G1785" s="156" t="s">
        <v>12280</v>
      </c>
      <c r="H1785" s="156" t="s">
        <v>12281</v>
      </c>
      <c r="I1785" s="168" t="s">
        <v>378</v>
      </c>
      <c r="J1785" s="169" t="s">
        <v>514</v>
      </c>
    </row>
    <row r="1786" spans="1:12">
      <c r="A1786" s="154" t="s">
        <v>95</v>
      </c>
      <c r="B1786" s="155" t="s">
        <v>12282</v>
      </c>
      <c r="C1786" s="132" t="s">
        <v>118</v>
      </c>
      <c r="D1786" s="132" t="s">
        <v>12283</v>
      </c>
      <c r="E1786" s="132" t="s">
        <v>12284</v>
      </c>
      <c r="F1786" s="132" t="s">
        <v>40</v>
      </c>
      <c r="G1786" s="156" t="s">
        <v>12285</v>
      </c>
      <c r="H1786" s="156" t="s">
        <v>12286</v>
      </c>
      <c r="I1786" s="168" t="s">
        <v>2086</v>
      </c>
      <c r="J1786" s="169" t="s">
        <v>514</v>
      </c>
    </row>
    <row r="1787" spans="1:12">
      <c r="A1787" s="154" t="s">
        <v>95</v>
      </c>
      <c r="B1787" s="155" t="s">
        <v>12287</v>
      </c>
      <c r="C1787" s="132" t="s">
        <v>28</v>
      </c>
      <c r="D1787" s="132" t="s">
        <v>12288</v>
      </c>
      <c r="E1787" s="132" t="s">
        <v>12289</v>
      </c>
      <c r="F1787" s="132" t="s">
        <v>40</v>
      </c>
      <c r="G1787" s="156" t="s">
        <v>12290</v>
      </c>
      <c r="H1787" s="156" t="s">
        <v>12291</v>
      </c>
      <c r="I1787" s="168" t="s">
        <v>12292</v>
      </c>
      <c r="J1787" s="169" t="s">
        <v>88</v>
      </c>
    </row>
    <row r="1788" spans="1:12" hidden="1">
      <c r="A1788" s="154" t="s">
        <v>20</v>
      </c>
      <c r="B1788" s="155" t="s">
        <v>12293</v>
      </c>
      <c r="C1788" s="132" t="s">
        <v>21</v>
      </c>
      <c r="D1788" s="132" t="s">
        <v>12294</v>
      </c>
      <c r="E1788" s="132" t="s">
        <v>12295</v>
      </c>
      <c r="F1788" s="132" t="s">
        <v>308</v>
      </c>
      <c r="G1788" s="156" t="s">
        <v>12296</v>
      </c>
      <c r="H1788" s="156" t="s">
        <v>12297</v>
      </c>
      <c r="I1788" s="168" t="s">
        <v>2585</v>
      </c>
      <c r="J1788" s="169" t="s">
        <v>88</v>
      </c>
      <c r="K1788" s="169" t="s">
        <v>514</v>
      </c>
    </row>
    <row r="1789" spans="1:12">
      <c r="A1789" s="154" t="s">
        <v>106</v>
      </c>
      <c r="B1789" s="155" t="s">
        <v>12298</v>
      </c>
      <c r="C1789" s="132" t="s">
        <v>108</v>
      </c>
      <c r="D1789" s="132" t="s">
        <v>12299</v>
      </c>
      <c r="E1789" s="132" t="s">
        <v>12300</v>
      </c>
      <c r="F1789" s="132" t="s">
        <v>40</v>
      </c>
      <c r="G1789" s="156" t="s">
        <v>12301</v>
      </c>
      <c r="H1789" s="156" t="s">
        <v>12302</v>
      </c>
      <c r="I1789" s="168" t="s">
        <v>6006</v>
      </c>
      <c r="J1789" s="169" t="s">
        <v>514</v>
      </c>
    </row>
    <row r="1790" spans="1:12">
      <c r="A1790" s="154" t="s">
        <v>106</v>
      </c>
      <c r="B1790" s="155" t="s">
        <v>12303</v>
      </c>
      <c r="C1790" s="132" t="s">
        <v>333</v>
      </c>
      <c r="D1790" s="132" t="s">
        <v>12304</v>
      </c>
      <c r="E1790" s="132" t="s">
        <v>12305</v>
      </c>
      <c r="F1790" s="132" t="s">
        <v>40</v>
      </c>
      <c r="G1790" s="156" t="s">
        <v>12306</v>
      </c>
      <c r="H1790" s="156" t="s">
        <v>12307</v>
      </c>
      <c r="I1790" s="168" t="s">
        <v>346</v>
      </c>
      <c r="J1790" s="169" t="s">
        <v>514</v>
      </c>
    </row>
    <row r="1791" spans="1:12">
      <c r="A1791" s="154" t="s">
        <v>106</v>
      </c>
      <c r="B1791" s="159" t="s">
        <v>12308</v>
      </c>
      <c r="C1791" s="132" t="s">
        <v>108</v>
      </c>
      <c r="D1791" s="132" t="s">
        <v>12309</v>
      </c>
      <c r="E1791" s="132" t="s">
        <v>12310</v>
      </c>
      <c r="F1791" s="132" t="s">
        <v>40</v>
      </c>
      <c r="G1791" s="156" t="s">
        <v>12311</v>
      </c>
      <c r="H1791" s="156" t="s">
        <v>12312</v>
      </c>
      <c r="I1791" s="168" t="s">
        <v>6006</v>
      </c>
      <c r="J1791" s="169" t="s">
        <v>514</v>
      </c>
    </row>
    <row r="1792" spans="1:12" hidden="1">
      <c r="A1792" s="154" t="s">
        <v>95</v>
      </c>
      <c r="B1792" s="155" t="s">
        <v>12313</v>
      </c>
      <c r="C1792" s="132" t="s">
        <v>97</v>
      </c>
      <c r="D1792" s="132" t="s">
        <v>12314</v>
      </c>
      <c r="F1792" s="132" t="s">
        <v>214</v>
      </c>
      <c r="G1792" s="156" t="s">
        <v>12315</v>
      </c>
      <c r="I1792" s="168" t="s">
        <v>4635</v>
      </c>
      <c r="J1792" s="169" t="s">
        <v>514</v>
      </c>
      <c r="L1792" s="132" t="s">
        <v>6855</v>
      </c>
    </row>
    <row r="1793" spans="1:11">
      <c r="A1793" s="154" t="s">
        <v>95</v>
      </c>
      <c r="B1793" s="155" t="s">
        <v>12316</v>
      </c>
      <c r="C1793" s="132" t="s">
        <v>6047</v>
      </c>
      <c r="D1793" s="132" t="s">
        <v>12317</v>
      </c>
      <c r="E1793" s="132" t="s">
        <v>12318</v>
      </c>
      <c r="F1793" s="132" t="s">
        <v>40</v>
      </c>
      <c r="G1793" s="156" t="s">
        <v>12319</v>
      </c>
      <c r="H1793" s="156" t="s">
        <v>12320</v>
      </c>
      <c r="I1793" s="168" t="s">
        <v>378</v>
      </c>
      <c r="J1793" s="169" t="s">
        <v>514</v>
      </c>
    </row>
    <row r="1794" spans="1:11" hidden="1">
      <c r="A1794" s="154" t="s">
        <v>95</v>
      </c>
      <c r="B1794" s="155" t="s">
        <v>12321</v>
      </c>
      <c r="C1794" s="132" t="s">
        <v>1763</v>
      </c>
      <c r="D1794" s="132" t="s">
        <v>12322</v>
      </c>
      <c r="E1794" s="132" t="s">
        <v>12323</v>
      </c>
      <c r="F1794" s="132" t="s">
        <v>214</v>
      </c>
      <c r="G1794" s="156" t="s">
        <v>12324</v>
      </c>
      <c r="H1794" s="156" t="s">
        <v>12325</v>
      </c>
      <c r="I1794" s="168" t="s">
        <v>4635</v>
      </c>
      <c r="J1794" s="169" t="s">
        <v>514</v>
      </c>
    </row>
    <row r="1795" spans="1:11">
      <c r="A1795" s="154" t="s">
        <v>106</v>
      </c>
      <c r="B1795" s="155" t="s">
        <v>12326</v>
      </c>
      <c r="C1795" s="132" t="s">
        <v>108</v>
      </c>
      <c r="D1795" s="132" t="s">
        <v>12327</v>
      </c>
      <c r="E1795" s="132" t="s">
        <v>12328</v>
      </c>
      <c r="F1795" s="132" t="s">
        <v>40</v>
      </c>
      <c r="G1795" s="156" t="s">
        <v>12329</v>
      </c>
      <c r="H1795" s="156" t="s">
        <v>12330</v>
      </c>
      <c r="I1795" s="168" t="s">
        <v>6006</v>
      </c>
      <c r="J1795" s="169" t="s">
        <v>514</v>
      </c>
      <c r="K1795" s="169" t="s">
        <v>88</v>
      </c>
    </row>
    <row r="1796" spans="1:11">
      <c r="A1796" s="154" t="s">
        <v>20</v>
      </c>
      <c r="B1796" s="155" t="s">
        <v>12331</v>
      </c>
      <c r="C1796" s="132" t="s">
        <v>21</v>
      </c>
      <c r="D1796" s="132" t="s">
        <v>12332</v>
      </c>
      <c r="E1796" s="132" t="s">
        <v>12333</v>
      </c>
      <c r="F1796" s="132" t="s">
        <v>40</v>
      </c>
      <c r="G1796" s="156" t="s">
        <v>12334</v>
      </c>
      <c r="H1796" s="156" t="s">
        <v>12335</v>
      </c>
      <c r="I1796" s="168" t="s">
        <v>1628</v>
      </c>
      <c r="J1796" s="169" t="s">
        <v>88</v>
      </c>
    </row>
    <row r="1797" spans="1:11">
      <c r="A1797" s="154" t="s">
        <v>20</v>
      </c>
      <c r="B1797" s="155" t="s">
        <v>12336</v>
      </c>
      <c r="C1797" s="132" t="s">
        <v>21</v>
      </c>
      <c r="D1797" s="132" t="s">
        <v>12337</v>
      </c>
      <c r="E1797" s="132" t="s">
        <v>12338</v>
      </c>
      <c r="F1797" s="132" t="s">
        <v>40</v>
      </c>
      <c r="G1797" s="156" t="s">
        <v>12339</v>
      </c>
      <c r="H1797" s="156" t="s">
        <v>12340</v>
      </c>
      <c r="I1797" s="168" t="s">
        <v>1628</v>
      </c>
      <c r="J1797" s="169" t="s">
        <v>88</v>
      </c>
    </row>
    <row r="1798" spans="1:11">
      <c r="A1798" s="154" t="s">
        <v>20</v>
      </c>
      <c r="B1798" s="155" t="s">
        <v>12341</v>
      </c>
      <c r="C1798" s="132" t="s">
        <v>21</v>
      </c>
      <c r="D1798" s="132" t="s">
        <v>12342</v>
      </c>
      <c r="E1798" s="132" t="s">
        <v>12343</v>
      </c>
      <c r="F1798" s="132" t="s">
        <v>40</v>
      </c>
      <c r="G1798" s="156" t="s">
        <v>12344</v>
      </c>
      <c r="H1798" s="156" t="s">
        <v>12345</v>
      </c>
      <c r="I1798" s="168" t="s">
        <v>1628</v>
      </c>
      <c r="J1798" s="169" t="s">
        <v>88</v>
      </c>
    </row>
    <row r="1799" spans="1:11">
      <c r="A1799" s="154" t="s">
        <v>20</v>
      </c>
      <c r="B1799" s="155" t="s">
        <v>12346</v>
      </c>
      <c r="C1799" s="132" t="s">
        <v>21</v>
      </c>
      <c r="D1799" s="132" t="s">
        <v>12347</v>
      </c>
      <c r="E1799" s="132" t="s">
        <v>12348</v>
      </c>
      <c r="F1799" s="132" t="s">
        <v>40</v>
      </c>
      <c r="G1799" s="156" t="s">
        <v>12349</v>
      </c>
      <c r="H1799" s="156" t="s">
        <v>12350</v>
      </c>
      <c r="I1799" s="168" t="s">
        <v>1628</v>
      </c>
      <c r="J1799" s="169" t="s">
        <v>88</v>
      </c>
    </row>
    <row r="1800" spans="1:11">
      <c r="A1800" s="154" t="s">
        <v>20</v>
      </c>
      <c r="B1800" s="155" t="s">
        <v>12351</v>
      </c>
      <c r="C1800" s="132" t="s">
        <v>21</v>
      </c>
      <c r="D1800" s="132" t="s">
        <v>12352</v>
      </c>
      <c r="E1800" s="132" t="s">
        <v>12353</v>
      </c>
      <c r="F1800" s="132" t="s">
        <v>40</v>
      </c>
      <c r="G1800" s="156" t="s">
        <v>12354</v>
      </c>
      <c r="H1800" s="156" t="s">
        <v>12355</v>
      </c>
      <c r="I1800" s="168" t="s">
        <v>1628</v>
      </c>
      <c r="J1800" s="169" t="s">
        <v>88</v>
      </c>
      <c r="K1800" s="169" t="s">
        <v>514</v>
      </c>
    </row>
    <row r="1801" spans="1:11">
      <c r="A1801" s="154" t="s">
        <v>95</v>
      </c>
      <c r="B1801" s="155" t="s">
        <v>12356</v>
      </c>
      <c r="C1801" s="132" t="s">
        <v>28</v>
      </c>
      <c r="D1801" s="132" t="s">
        <v>12357</v>
      </c>
      <c r="E1801" s="132" t="s">
        <v>12358</v>
      </c>
      <c r="F1801" s="132" t="s">
        <v>40</v>
      </c>
      <c r="G1801" s="156" t="s">
        <v>12359</v>
      </c>
      <c r="H1801" s="156" t="s">
        <v>12360</v>
      </c>
      <c r="I1801" s="168" t="s">
        <v>980</v>
      </c>
      <c r="J1801" s="169" t="s">
        <v>514</v>
      </c>
    </row>
    <row r="1802" spans="1:11">
      <c r="A1802" s="154" t="s">
        <v>106</v>
      </c>
      <c r="B1802" s="155" t="s">
        <v>12361</v>
      </c>
      <c r="C1802" s="132" t="s">
        <v>108</v>
      </c>
      <c r="D1802" s="143" t="s">
        <v>12362</v>
      </c>
      <c r="E1802" s="132" t="s">
        <v>12363</v>
      </c>
      <c r="F1802" s="132" t="s">
        <v>40</v>
      </c>
      <c r="G1802" s="156" t="s">
        <v>12364</v>
      </c>
      <c r="H1802" s="156" t="s">
        <v>12365</v>
      </c>
      <c r="I1802" s="168" t="s">
        <v>6006</v>
      </c>
      <c r="J1802" s="169" t="s">
        <v>514</v>
      </c>
    </row>
    <row r="1803" spans="1:11" hidden="1">
      <c r="A1803" s="154" t="s">
        <v>106</v>
      </c>
      <c r="B1803" s="155" t="s">
        <v>12366</v>
      </c>
      <c r="C1803" s="132" t="s">
        <v>108</v>
      </c>
      <c r="D1803" s="132" t="s">
        <v>12367</v>
      </c>
      <c r="F1803" s="132" t="s">
        <v>214</v>
      </c>
      <c r="G1803" s="156" t="s">
        <v>12368</v>
      </c>
      <c r="I1803" s="168" t="s">
        <v>6006</v>
      </c>
      <c r="J1803" s="169" t="s">
        <v>514</v>
      </c>
      <c r="K1803" s="169" t="s">
        <v>1557</v>
      </c>
    </row>
    <row r="1804" spans="1:11">
      <c r="A1804" s="154" t="s">
        <v>95</v>
      </c>
      <c r="B1804" s="155" t="s">
        <v>12369</v>
      </c>
      <c r="C1804" s="132" t="s">
        <v>97</v>
      </c>
      <c r="D1804" s="132" t="s">
        <v>12370</v>
      </c>
      <c r="E1804" s="132" t="s">
        <v>12371</v>
      </c>
      <c r="F1804" s="132" t="s">
        <v>40</v>
      </c>
      <c r="G1804" s="156" t="s">
        <v>12372</v>
      </c>
      <c r="H1804" s="156" t="s">
        <v>12373</v>
      </c>
      <c r="I1804" s="168" t="s">
        <v>4635</v>
      </c>
      <c r="J1804" s="169" t="s">
        <v>514</v>
      </c>
    </row>
    <row r="1805" spans="1:11">
      <c r="A1805" s="154" t="s">
        <v>20</v>
      </c>
      <c r="B1805" s="155" t="s">
        <v>12374</v>
      </c>
      <c r="C1805" s="132" t="s">
        <v>13</v>
      </c>
      <c r="D1805" s="132" t="s">
        <v>12375</v>
      </c>
      <c r="E1805" s="132" t="s">
        <v>12376</v>
      </c>
      <c r="F1805" s="132" t="s">
        <v>40</v>
      </c>
      <c r="G1805" s="156" t="s">
        <v>12377</v>
      </c>
      <c r="H1805" s="156" t="s">
        <v>12378</v>
      </c>
      <c r="I1805" s="168" t="s">
        <v>17</v>
      </c>
      <c r="J1805" s="169" t="s">
        <v>514</v>
      </c>
    </row>
    <row r="1806" spans="1:11" hidden="1">
      <c r="A1806" s="154" t="s">
        <v>95</v>
      </c>
      <c r="B1806" s="155" t="s">
        <v>12379</v>
      </c>
      <c r="C1806" s="132" t="s">
        <v>97</v>
      </c>
      <c r="D1806" s="132" t="s">
        <v>12380</v>
      </c>
      <c r="F1806" s="132" t="s">
        <v>214</v>
      </c>
      <c r="G1806" s="156" t="s">
        <v>12381</v>
      </c>
      <c r="I1806" s="168" t="s">
        <v>4635</v>
      </c>
      <c r="J1806" s="169" t="s">
        <v>514</v>
      </c>
    </row>
    <row r="1807" spans="1:11">
      <c r="A1807" s="154" t="s">
        <v>95</v>
      </c>
      <c r="B1807" s="155" t="s">
        <v>12382</v>
      </c>
      <c r="C1807" s="132" t="s">
        <v>118</v>
      </c>
      <c r="D1807" s="132" t="s">
        <v>12383</v>
      </c>
      <c r="E1807" s="132" t="s">
        <v>12384</v>
      </c>
      <c r="F1807" s="132" t="s">
        <v>40</v>
      </c>
      <c r="G1807" s="156" t="s">
        <v>12385</v>
      </c>
      <c r="H1807" s="156" t="s">
        <v>12386</v>
      </c>
      <c r="I1807" s="168" t="s">
        <v>3956</v>
      </c>
      <c r="J1807" s="169" t="s">
        <v>88</v>
      </c>
    </row>
    <row r="1808" spans="1:11" hidden="1">
      <c r="A1808" s="154" t="s">
        <v>20</v>
      </c>
      <c r="B1808" s="155" t="s">
        <v>12387</v>
      </c>
      <c r="C1808" s="132" t="s">
        <v>21</v>
      </c>
      <c r="D1808" s="132" t="s">
        <v>12388</v>
      </c>
      <c r="F1808" s="132" t="s">
        <v>214</v>
      </c>
      <c r="G1808" s="156" t="s">
        <v>12389</v>
      </c>
      <c r="I1808" s="168" t="s">
        <v>6091</v>
      </c>
      <c r="J1808" s="169" t="s">
        <v>88</v>
      </c>
    </row>
    <row r="1809" spans="1:11">
      <c r="A1809" s="154" t="s">
        <v>20</v>
      </c>
      <c r="B1809" s="155" t="s">
        <v>12390</v>
      </c>
      <c r="C1809" s="132" t="s">
        <v>21</v>
      </c>
      <c r="D1809" s="132" t="s">
        <v>12391</v>
      </c>
      <c r="E1809" s="132" t="s">
        <v>12392</v>
      </c>
      <c r="F1809" s="132" t="s">
        <v>40</v>
      </c>
      <c r="G1809" s="156" t="s">
        <v>12393</v>
      </c>
      <c r="H1809" s="156" t="s">
        <v>12394</v>
      </c>
      <c r="I1809" s="168" t="s">
        <v>1628</v>
      </c>
      <c r="J1809" s="169" t="s">
        <v>88</v>
      </c>
    </row>
    <row r="1810" spans="1:11">
      <c r="A1810" s="154" t="s">
        <v>20</v>
      </c>
      <c r="B1810" s="155" t="s">
        <v>12395</v>
      </c>
      <c r="C1810" s="132" t="s">
        <v>21</v>
      </c>
      <c r="D1810" s="132" t="s">
        <v>12396</v>
      </c>
      <c r="E1810" s="132" t="s">
        <v>12397</v>
      </c>
      <c r="F1810" s="132" t="s">
        <v>40</v>
      </c>
      <c r="G1810" s="156" t="s">
        <v>12398</v>
      </c>
      <c r="H1810" s="156" t="s">
        <v>12399</v>
      </c>
      <c r="I1810" s="168" t="s">
        <v>1628</v>
      </c>
      <c r="J1810" s="169" t="s">
        <v>88</v>
      </c>
    </row>
    <row r="1811" spans="1:11">
      <c r="A1811" s="154" t="s">
        <v>20</v>
      </c>
      <c r="B1811" s="155" t="s">
        <v>12400</v>
      </c>
      <c r="C1811" s="132" t="s">
        <v>21</v>
      </c>
      <c r="D1811" s="132" t="s">
        <v>12401</v>
      </c>
      <c r="E1811" s="132" t="s">
        <v>12402</v>
      </c>
      <c r="F1811" s="132" t="s">
        <v>40</v>
      </c>
      <c r="G1811" s="156" t="s">
        <v>12403</v>
      </c>
      <c r="H1811" s="156" t="s">
        <v>12404</v>
      </c>
      <c r="I1811" s="168" t="s">
        <v>1628</v>
      </c>
      <c r="J1811" s="169" t="s">
        <v>88</v>
      </c>
    </row>
    <row r="1812" spans="1:11">
      <c r="A1812" s="154" t="s">
        <v>95</v>
      </c>
      <c r="B1812" s="159" t="s">
        <v>12405</v>
      </c>
      <c r="C1812" s="132" t="s">
        <v>28</v>
      </c>
      <c r="D1812" s="132" t="s">
        <v>12406</v>
      </c>
      <c r="E1812" s="132" t="s">
        <v>12407</v>
      </c>
      <c r="F1812" s="132" t="s">
        <v>40</v>
      </c>
      <c r="G1812" s="156" t="s">
        <v>12408</v>
      </c>
      <c r="H1812" s="190" t="s">
        <v>12409</v>
      </c>
      <c r="I1812" s="168" t="s">
        <v>980</v>
      </c>
      <c r="J1812" s="169" t="s">
        <v>514</v>
      </c>
      <c r="K1812" s="169" t="s">
        <v>88</v>
      </c>
    </row>
    <row r="1813" spans="1:11">
      <c r="A1813" s="154" t="s">
        <v>95</v>
      </c>
      <c r="B1813" s="155" t="s">
        <v>12410</v>
      </c>
      <c r="C1813" s="132" t="s">
        <v>118</v>
      </c>
      <c r="D1813" s="132" t="s">
        <v>12411</v>
      </c>
      <c r="E1813" s="132" t="s">
        <v>12412</v>
      </c>
      <c r="F1813" s="132" t="s">
        <v>40</v>
      </c>
      <c r="G1813" s="156" t="s">
        <v>12413</v>
      </c>
      <c r="H1813" s="156" t="s">
        <v>12414</v>
      </c>
      <c r="I1813" s="168" t="s">
        <v>4635</v>
      </c>
      <c r="J1813" s="169" t="s">
        <v>514</v>
      </c>
    </row>
    <row r="1814" spans="1:11" hidden="1">
      <c r="A1814" s="154" t="s">
        <v>95</v>
      </c>
      <c r="B1814" s="155" t="s">
        <v>12415</v>
      </c>
      <c r="C1814" s="132" t="s">
        <v>97</v>
      </c>
      <c r="D1814" s="132" t="s">
        <v>12416</v>
      </c>
      <c r="E1814" s="132" t="s">
        <v>12417</v>
      </c>
      <c r="F1814" s="132" t="s">
        <v>308</v>
      </c>
      <c r="G1814" s="156" t="s">
        <v>12418</v>
      </c>
      <c r="H1814" s="156" t="s">
        <v>12419</v>
      </c>
      <c r="I1814" s="168" t="s">
        <v>4635</v>
      </c>
      <c r="J1814" s="169" t="s">
        <v>514</v>
      </c>
      <c r="K1814" s="169" t="s">
        <v>88</v>
      </c>
    </row>
    <row r="1815" spans="1:11">
      <c r="A1815" s="154" t="s">
        <v>95</v>
      </c>
      <c r="B1815" s="155" t="s">
        <v>12420</v>
      </c>
      <c r="C1815" s="132" t="s">
        <v>97</v>
      </c>
      <c r="D1815" s="132" t="s">
        <v>12421</v>
      </c>
      <c r="E1815" s="132" t="s">
        <v>12422</v>
      </c>
      <c r="F1815" s="132" t="s">
        <v>40</v>
      </c>
      <c r="G1815" s="156" t="s">
        <v>12423</v>
      </c>
      <c r="H1815" s="156" t="s">
        <v>12424</v>
      </c>
      <c r="I1815" s="168" t="s">
        <v>4635</v>
      </c>
      <c r="J1815" s="169" t="s">
        <v>514</v>
      </c>
    </row>
    <row r="1816" spans="1:11">
      <c r="A1816" s="154" t="s">
        <v>106</v>
      </c>
      <c r="B1816" s="155" t="s">
        <v>12425</v>
      </c>
      <c r="C1816" s="132" t="s">
        <v>333</v>
      </c>
      <c r="D1816" s="132" t="s">
        <v>12426</v>
      </c>
      <c r="E1816" s="132" t="s">
        <v>12427</v>
      </c>
      <c r="F1816" s="132" t="s">
        <v>40</v>
      </c>
      <c r="G1816" s="156" t="s">
        <v>12428</v>
      </c>
      <c r="H1816" s="156" t="s">
        <v>12429</v>
      </c>
      <c r="I1816" s="168" t="s">
        <v>346</v>
      </c>
      <c r="J1816" s="169" t="s">
        <v>514</v>
      </c>
    </row>
    <row r="1817" spans="1:11">
      <c r="A1817" s="154" t="s">
        <v>20</v>
      </c>
      <c r="B1817" s="155" t="s">
        <v>12430</v>
      </c>
      <c r="C1817" s="132" t="s">
        <v>49</v>
      </c>
      <c r="D1817" s="132" t="s">
        <v>12431</v>
      </c>
      <c r="E1817" s="132" t="s">
        <v>12432</v>
      </c>
      <c r="F1817" s="132" t="s">
        <v>40</v>
      </c>
      <c r="G1817" s="156" t="s">
        <v>12433</v>
      </c>
      <c r="H1817" s="156" t="s">
        <v>12434</v>
      </c>
      <c r="I1817" s="168" t="s">
        <v>161</v>
      </c>
      <c r="J1817" s="169" t="s">
        <v>514</v>
      </c>
      <c r="K1817" s="169" t="s">
        <v>88</v>
      </c>
    </row>
    <row r="1818" spans="1:11">
      <c r="A1818" s="154" t="s">
        <v>20</v>
      </c>
      <c r="B1818" s="155" t="s">
        <v>12435</v>
      </c>
      <c r="C1818" s="132" t="s">
        <v>21</v>
      </c>
      <c r="D1818" s="132" t="s">
        <v>12436</v>
      </c>
      <c r="E1818" s="132" t="s">
        <v>12437</v>
      </c>
      <c r="F1818" s="132" t="s">
        <v>40</v>
      </c>
      <c r="G1818" s="156" t="s">
        <v>12438</v>
      </c>
      <c r="H1818" s="156" t="s">
        <v>12439</v>
      </c>
      <c r="I1818" s="168" t="s">
        <v>1628</v>
      </c>
      <c r="J1818" s="169" t="s">
        <v>88</v>
      </c>
    </row>
    <row r="1819" spans="1:11">
      <c r="A1819" s="154" t="s">
        <v>20</v>
      </c>
      <c r="B1819" s="155" t="s">
        <v>12440</v>
      </c>
      <c r="C1819" s="132" t="s">
        <v>21</v>
      </c>
      <c r="D1819" s="132" t="s">
        <v>12441</v>
      </c>
      <c r="E1819" s="132" t="s">
        <v>12442</v>
      </c>
      <c r="F1819" s="132" t="s">
        <v>40</v>
      </c>
      <c r="G1819" s="156" t="s">
        <v>12439</v>
      </c>
      <c r="H1819" s="156" t="s">
        <v>12443</v>
      </c>
      <c r="I1819" s="168" t="s">
        <v>1628</v>
      </c>
      <c r="J1819" s="169" t="s">
        <v>88</v>
      </c>
    </row>
    <row r="1820" spans="1:11" ht="43.5">
      <c r="A1820" s="154" t="s">
        <v>20</v>
      </c>
      <c r="B1820" s="155" t="s">
        <v>12444</v>
      </c>
      <c r="C1820" s="132" t="s">
        <v>21</v>
      </c>
      <c r="D1820" s="132" t="s">
        <v>12445</v>
      </c>
      <c r="E1820" s="137" t="s">
        <v>12446</v>
      </c>
      <c r="F1820" s="132" t="s">
        <v>40</v>
      </c>
      <c r="G1820" s="156" t="s">
        <v>12447</v>
      </c>
      <c r="H1820" s="156" t="s">
        <v>12448</v>
      </c>
      <c r="I1820" s="168" t="s">
        <v>1628</v>
      </c>
      <c r="J1820" s="169" t="s">
        <v>88</v>
      </c>
    </row>
    <row r="1821" spans="1:11">
      <c r="A1821" s="154" t="s">
        <v>20</v>
      </c>
      <c r="B1821" s="155" t="s">
        <v>12449</v>
      </c>
      <c r="C1821" s="132" t="s">
        <v>13</v>
      </c>
      <c r="D1821" s="132" t="s">
        <v>12450</v>
      </c>
      <c r="E1821" s="132" t="s">
        <v>12451</v>
      </c>
      <c r="F1821" s="132" t="s">
        <v>40</v>
      </c>
      <c r="G1821" s="156" t="s">
        <v>12452</v>
      </c>
      <c r="H1821" s="156" t="s">
        <v>12453</v>
      </c>
      <c r="I1821" s="168" t="s">
        <v>8015</v>
      </c>
      <c r="J1821" s="169" t="s">
        <v>88</v>
      </c>
    </row>
    <row r="1822" spans="1:11">
      <c r="A1822" s="154" t="s">
        <v>20</v>
      </c>
      <c r="B1822" s="155" t="s">
        <v>12454</v>
      </c>
      <c r="C1822" s="132" t="s">
        <v>21</v>
      </c>
      <c r="D1822" s="132" t="s">
        <v>12455</v>
      </c>
      <c r="E1822" s="132" t="s">
        <v>12456</v>
      </c>
      <c r="F1822" s="132" t="s">
        <v>40</v>
      </c>
      <c r="G1822" s="156" t="s">
        <v>12457</v>
      </c>
      <c r="H1822" s="156" t="s">
        <v>12458</v>
      </c>
      <c r="I1822" s="168" t="s">
        <v>1628</v>
      </c>
      <c r="J1822" s="169" t="s">
        <v>88</v>
      </c>
    </row>
    <row r="1823" spans="1:11">
      <c r="A1823" s="154" t="s">
        <v>95</v>
      </c>
      <c r="B1823" s="155" t="s">
        <v>12459</v>
      </c>
      <c r="C1823" s="132" t="s">
        <v>28</v>
      </c>
      <c r="D1823" s="132" t="s">
        <v>12460</v>
      </c>
      <c r="E1823" s="132" t="s">
        <v>12460</v>
      </c>
      <c r="F1823" s="132" t="s">
        <v>40</v>
      </c>
      <c r="G1823" s="156" t="s">
        <v>12461</v>
      </c>
      <c r="H1823" s="156" t="s">
        <v>12462</v>
      </c>
      <c r="I1823" s="168" t="s">
        <v>980</v>
      </c>
      <c r="J1823" s="169" t="s">
        <v>514</v>
      </c>
    </row>
    <row r="1824" spans="1:11">
      <c r="A1824" s="154" t="s">
        <v>95</v>
      </c>
      <c r="B1824" s="155" t="s">
        <v>12463</v>
      </c>
      <c r="C1824" s="132" t="s">
        <v>28</v>
      </c>
      <c r="D1824" s="132" t="s">
        <v>12464</v>
      </c>
      <c r="E1824" s="132" t="s">
        <v>12465</v>
      </c>
      <c r="F1824" s="132" t="s">
        <v>40</v>
      </c>
      <c r="G1824" s="156" t="s">
        <v>12466</v>
      </c>
      <c r="H1824" s="156" t="s">
        <v>12467</v>
      </c>
      <c r="I1824" s="168" t="s">
        <v>980</v>
      </c>
      <c r="J1824" s="169" t="s">
        <v>514</v>
      </c>
    </row>
    <row r="1825" spans="1:11">
      <c r="A1825" s="154" t="s">
        <v>106</v>
      </c>
      <c r="B1825" s="155" t="s">
        <v>12468</v>
      </c>
      <c r="C1825" s="132" t="s">
        <v>333</v>
      </c>
      <c r="D1825" s="132" t="s">
        <v>12469</v>
      </c>
      <c r="E1825" s="132" t="s">
        <v>12470</v>
      </c>
      <c r="F1825" s="132" t="s">
        <v>40</v>
      </c>
      <c r="G1825" s="156" t="s">
        <v>12471</v>
      </c>
      <c r="I1825" s="168" t="s">
        <v>346</v>
      </c>
      <c r="J1825" s="169" t="s">
        <v>132</v>
      </c>
      <c r="K1825" s="169" t="s">
        <v>88</v>
      </c>
    </row>
    <row r="1826" spans="1:11">
      <c r="A1826" s="154" t="s">
        <v>106</v>
      </c>
      <c r="B1826" s="155" t="s">
        <v>12472</v>
      </c>
      <c r="C1826" s="132" t="s">
        <v>333</v>
      </c>
      <c r="D1826" s="132" t="s">
        <v>12473</v>
      </c>
      <c r="F1826" s="132" t="s">
        <v>40</v>
      </c>
      <c r="G1826" s="156" t="s">
        <v>12474</v>
      </c>
      <c r="I1826" s="168" t="s">
        <v>346</v>
      </c>
      <c r="J1826" s="169" t="s">
        <v>514</v>
      </c>
      <c r="K1826" s="169" t="s">
        <v>132</v>
      </c>
    </row>
    <row r="1827" spans="1:11">
      <c r="A1827" s="154" t="s">
        <v>20</v>
      </c>
      <c r="B1827" s="155" t="s">
        <v>12475</v>
      </c>
      <c r="C1827" s="132" t="s">
        <v>21</v>
      </c>
      <c r="D1827" s="132" t="s">
        <v>12476</v>
      </c>
      <c r="E1827" s="132" t="s">
        <v>12477</v>
      </c>
      <c r="F1827" s="132" t="s">
        <v>40</v>
      </c>
      <c r="G1827" s="156" t="s">
        <v>12478</v>
      </c>
      <c r="H1827" s="156" t="s">
        <v>12479</v>
      </c>
      <c r="I1827" s="168" t="s">
        <v>1628</v>
      </c>
      <c r="J1827" s="169" t="s">
        <v>88</v>
      </c>
    </row>
    <row r="1828" spans="1:11">
      <c r="A1828" s="154" t="s">
        <v>20</v>
      </c>
      <c r="B1828" s="155" t="s">
        <v>12480</v>
      </c>
      <c r="C1828" s="132" t="s">
        <v>21</v>
      </c>
      <c r="D1828" s="132" t="s">
        <v>12481</v>
      </c>
      <c r="E1828" s="132" t="s">
        <v>12482</v>
      </c>
      <c r="F1828" s="132" t="s">
        <v>40</v>
      </c>
      <c r="G1828" s="156" t="s">
        <v>12483</v>
      </c>
      <c r="H1828" s="156" t="s">
        <v>12484</v>
      </c>
      <c r="I1828" s="168" t="s">
        <v>1628</v>
      </c>
      <c r="J1828" s="169" t="s">
        <v>88</v>
      </c>
    </row>
    <row r="1829" spans="1:11">
      <c r="A1829" s="154" t="s">
        <v>20</v>
      </c>
      <c r="B1829" s="155" t="s">
        <v>12485</v>
      </c>
      <c r="C1829" s="132" t="s">
        <v>13</v>
      </c>
      <c r="D1829" s="132" t="s">
        <v>12486</v>
      </c>
      <c r="E1829" s="132" t="s">
        <v>12487</v>
      </c>
      <c r="F1829" s="132" t="s">
        <v>40</v>
      </c>
      <c r="G1829" s="156" t="s">
        <v>12488</v>
      </c>
      <c r="H1829" s="156" t="s">
        <v>12489</v>
      </c>
      <c r="I1829" s="168" t="s">
        <v>10029</v>
      </c>
      <c r="J1829" s="169" t="s">
        <v>88</v>
      </c>
    </row>
    <row r="1830" spans="1:11" ht="29">
      <c r="A1830" s="154" t="s">
        <v>95</v>
      </c>
      <c r="B1830" s="155" t="s">
        <v>12490</v>
      </c>
      <c r="C1830" s="132" t="s">
        <v>113</v>
      </c>
      <c r="D1830" s="132" t="s">
        <v>12491</v>
      </c>
      <c r="E1830" s="132" t="s">
        <v>12492</v>
      </c>
      <c r="F1830" s="132" t="s">
        <v>40</v>
      </c>
      <c r="G1830" s="178" t="s">
        <v>12493</v>
      </c>
      <c r="H1830" s="156" t="s">
        <v>12494</v>
      </c>
      <c r="I1830" s="168" t="s">
        <v>4677</v>
      </c>
      <c r="J1830" s="169" t="s">
        <v>88</v>
      </c>
    </row>
    <row r="1831" spans="1:11">
      <c r="A1831" s="154" t="s">
        <v>20</v>
      </c>
      <c r="B1831" s="155" t="s">
        <v>12495</v>
      </c>
      <c r="C1831" s="132" t="s">
        <v>21</v>
      </c>
      <c r="D1831" s="132" t="s">
        <v>12496</v>
      </c>
      <c r="E1831" s="132" t="s">
        <v>12497</v>
      </c>
      <c r="F1831" s="132" t="s">
        <v>40</v>
      </c>
      <c r="G1831" s="156" t="s">
        <v>12498</v>
      </c>
      <c r="H1831" s="156" t="s">
        <v>12499</v>
      </c>
      <c r="I1831" s="168" t="s">
        <v>1628</v>
      </c>
      <c r="J1831" s="169" t="s">
        <v>88</v>
      </c>
    </row>
    <row r="1832" spans="1:11" hidden="1">
      <c r="A1832" s="154" t="s">
        <v>95</v>
      </c>
      <c r="B1832" s="155" t="s">
        <v>12500</v>
      </c>
      <c r="C1832" s="132" t="s">
        <v>118</v>
      </c>
      <c r="D1832" s="132" t="s">
        <v>12501</v>
      </c>
      <c r="F1832" s="132" t="s">
        <v>214</v>
      </c>
      <c r="G1832" s="156" t="s">
        <v>12502</v>
      </c>
      <c r="I1832" s="168" t="s">
        <v>3956</v>
      </c>
      <c r="J1832" s="169" t="s">
        <v>88</v>
      </c>
    </row>
    <row r="1833" spans="1:11">
      <c r="A1833" s="154" t="s">
        <v>106</v>
      </c>
      <c r="B1833" s="155" t="s">
        <v>12503</v>
      </c>
      <c r="C1833" s="132" t="s">
        <v>78</v>
      </c>
      <c r="D1833" s="132" t="s">
        <v>12504</v>
      </c>
      <c r="E1833" s="132" t="s">
        <v>12505</v>
      </c>
      <c r="F1833" s="132" t="s">
        <v>40</v>
      </c>
      <c r="G1833" s="156" t="s">
        <v>12506</v>
      </c>
      <c r="H1833" s="156" t="s">
        <v>12507</v>
      </c>
      <c r="I1833" s="168" t="s">
        <v>7393</v>
      </c>
      <c r="J1833" s="169" t="s">
        <v>514</v>
      </c>
    </row>
    <row r="1834" spans="1:11">
      <c r="A1834" s="154" t="s">
        <v>95</v>
      </c>
      <c r="B1834" s="155" t="s">
        <v>12508</v>
      </c>
      <c r="C1834" s="132" t="s">
        <v>28</v>
      </c>
      <c r="D1834" s="132" t="s">
        <v>12509</v>
      </c>
      <c r="E1834" s="132" t="s">
        <v>12510</v>
      </c>
      <c r="F1834" s="132" t="s">
        <v>40</v>
      </c>
      <c r="G1834" s="156" t="s">
        <v>12511</v>
      </c>
      <c r="H1834" s="156" t="s">
        <v>12512</v>
      </c>
      <c r="I1834" s="168" t="s">
        <v>980</v>
      </c>
      <c r="J1834" s="169" t="s">
        <v>514</v>
      </c>
    </row>
    <row r="1835" spans="1:11">
      <c r="A1835" s="154" t="s">
        <v>106</v>
      </c>
      <c r="B1835" s="155" t="s">
        <v>12513</v>
      </c>
      <c r="C1835" s="132" t="s">
        <v>108</v>
      </c>
      <c r="D1835" s="132" t="s">
        <v>12514</v>
      </c>
      <c r="E1835" s="132" t="s">
        <v>12515</v>
      </c>
      <c r="F1835" s="132" t="s">
        <v>40</v>
      </c>
      <c r="G1835" s="156" t="s">
        <v>12516</v>
      </c>
      <c r="H1835" s="156" t="s">
        <v>12517</v>
      </c>
      <c r="I1835" s="168" t="s">
        <v>6006</v>
      </c>
      <c r="J1835" s="169" t="s">
        <v>514</v>
      </c>
    </row>
    <row r="1836" spans="1:11">
      <c r="A1836" s="154" t="s">
        <v>106</v>
      </c>
      <c r="B1836" s="155" t="s">
        <v>12518</v>
      </c>
      <c r="C1836" s="132" t="s">
        <v>108</v>
      </c>
      <c r="D1836" s="132" t="s">
        <v>12519</v>
      </c>
      <c r="E1836" s="132" t="s">
        <v>12520</v>
      </c>
      <c r="F1836" s="132" t="s">
        <v>40</v>
      </c>
      <c r="G1836" s="156" t="s">
        <v>12521</v>
      </c>
      <c r="H1836" s="156" t="s">
        <v>12522</v>
      </c>
      <c r="I1836" s="168" t="s">
        <v>6006</v>
      </c>
      <c r="J1836" s="169" t="s">
        <v>514</v>
      </c>
    </row>
    <row r="1837" spans="1:11">
      <c r="A1837" s="154" t="s">
        <v>20</v>
      </c>
      <c r="B1837" s="155" t="s">
        <v>12523</v>
      </c>
      <c r="C1837" s="132" t="s">
        <v>21</v>
      </c>
      <c r="D1837" s="132" t="s">
        <v>12524</v>
      </c>
      <c r="E1837" s="132" t="s">
        <v>12525</v>
      </c>
      <c r="F1837" s="132" t="s">
        <v>40</v>
      </c>
      <c r="G1837" s="156" t="s">
        <v>12526</v>
      </c>
      <c r="H1837" s="156" t="s">
        <v>12527</v>
      </c>
      <c r="I1837" s="168" t="s">
        <v>1628</v>
      </c>
      <c r="J1837" s="169" t="s">
        <v>88</v>
      </c>
    </row>
    <row r="1838" spans="1:11">
      <c r="A1838" s="154" t="s">
        <v>20</v>
      </c>
      <c r="B1838" s="155" t="s">
        <v>12528</v>
      </c>
      <c r="C1838" s="132" t="s">
        <v>21</v>
      </c>
      <c r="D1838" s="132" t="s">
        <v>12529</v>
      </c>
      <c r="E1838" s="132" t="s">
        <v>12530</v>
      </c>
      <c r="F1838" s="132" t="s">
        <v>40</v>
      </c>
      <c r="G1838" s="156" t="s">
        <v>12531</v>
      </c>
      <c r="H1838" s="156" t="s">
        <v>12532</v>
      </c>
      <c r="I1838" s="168" t="s">
        <v>1628</v>
      </c>
      <c r="J1838" s="169" t="s">
        <v>88</v>
      </c>
    </row>
    <row r="1839" spans="1:11">
      <c r="A1839" s="154" t="s">
        <v>20</v>
      </c>
      <c r="B1839" s="155" t="s">
        <v>12533</v>
      </c>
      <c r="C1839" s="132" t="s">
        <v>21</v>
      </c>
      <c r="D1839" s="132" t="s">
        <v>12534</v>
      </c>
      <c r="E1839" s="132" t="s">
        <v>12535</v>
      </c>
      <c r="F1839" s="132" t="s">
        <v>40</v>
      </c>
      <c r="G1839" s="156" t="s">
        <v>12536</v>
      </c>
      <c r="H1839" s="156" t="s">
        <v>12537</v>
      </c>
      <c r="I1839" s="168" t="s">
        <v>1628</v>
      </c>
      <c r="J1839" s="169" t="s">
        <v>88</v>
      </c>
    </row>
    <row r="1840" spans="1:11">
      <c r="A1840" s="154" t="s">
        <v>20</v>
      </c>
      <c r="B1840" s="155" t="s">
        <v>12538</v>
      </c>
      <c r="C1840" s="132" t="s">
        <v>21</v>
      </c>
      <c r="D1840" s="132" t="s">
        <v>12539</v>
      </c>
      <c r="E1840" s="132" t="s">
        <v>12540</v>
      </c>
      <c r="F1840" s="132" t="s">
        <v>40</v>
      </c>
      <c r="G1840" s="156" t="s">
        <v>12541</v>
      </c>
      <c r="H1840" s="156" t="s">
        <v>12542</v>
      </c>
      <c r="I1840" s="168" t="s">
        <v>1628</v>
      </c>
      <c r="J1840" s="169" t="s">
        <v>88</v>
      </c>
    </row>
    <row r="1841" spans="1:11">
      <c r="A1841" s="154" t="s">
        <v>20</v>
      </c>
      <c r="B1841" s="155" t="s">
        <v>12543</v>
      </c>
      <c r="C1841" s="132" t="s">
        <v>21</v>
      </c>
      <c r="D1841" s="132" t="s">
        <v>12544</v>
      </c>
      <c r="E1841" s="132" t="s">
        <v>12545</v>
      </c>
      <c r="F1841" s="132" t="s">
        <v>40</v>
      </c>
      <c r="G1841" s="156" t="s">
        <v>12546</v>
      </c>
      <c r="H1841" s="156" t="s">
        <v>12547</v>
      </c>
      <c r="I1841" s="168" t="s">
        <v>1628</v>
      </c>
      <c r="J1841" s="169" t="s">
        <v>88</v>
      </c>
    </row>
    <row r="1842" spans="1:11">
      <c r="A1842" s="154" t="s">
        <v>20</v>
      </c>
      <c r="B1842" s="155" t="s">
        <v>12548</v>
      </c>
      <c r="C1842" s="132" t="s">
        <v>21</v>
      </c>
      <c r="D1842" s="132" t="s">
        <v>12549</v>
      </c>
      <c r="E1842" s="132" t="s">
        <v>12550</v>
      </c>
      <c r="F1842" s="132" t="s">
        <v>40</v>
      </c>
      <c r="G1842" s="156" t="s">
        <v>12551</v>
      </c>
      <c r="H1842" s="156" t="s">
        <v>12552</v>
      </c>
      <c r="I1842" s="168" t="s">
        <v>1628</v>
      </c>
      <c r="J1842" s="169" t="s">
        <v>88</v>
      </c>
    </row>
    <row r="1843" spans="1:11">
      <c r="A1843" s="154" t="s">
        <v>95</v>
      </c>
      <c r="B1843" s="155" t="s">
        <v>12553</v>
      </c>
      <c r="C1843" s="132" t="s">
        <v>6047</v>
      </c>
      <c r="D1843" s="132" t="s">
        <v>12554</v>
      </c>
      <c r="E1843" s="132" t="s">
        <v>12555</v>
      </c>
      <c r="F1843" s="132" t="s">
        <v>40</v>
      </c>
      <c r="G1843" s="156" t="s">
        <v>12556</v>
      </c>
      <c r="H1843" s="156" t="s">
        <v>12557</v>
      </c>
      <c r="I1843" s="168" t="s">
        <v>12558</v>
      </c>
      <c r="J1843" s="169" t="s">
        <v>88</v>
      </c>
    </row>
    <row r="1844" spans="1:11" hidden="1">
      <c r="A1844" s="154" t="s">
        <v>95</v>
      </c>
      <c r="B1844" s="155" t="s">
        <v>12559</v>
      </c>
      <c r="C1844" s="132" t="s">
        <v>6047</v>
      </c>
      <c r="D1844" s="132" t="s">
        <v>12560</v>
      </c>
      <c r="E1844" s="132" t="s">
        <v>12561</v>
      </c>
      <c r="F1844" s="132" t="s">
        <v>308</v>
      </c>
      <c r="G1844" s="156" t="s">
        <v>12562</v>
      </c>
      <c r="H1844" s="156" t="s">
        <v>12563</v>
      </c>
      <c r="I1844" s="168" t="s">
        <v>10418</v>
      </c>
      <c r="J1844" s="169" t="s">
        <v>9367</v>
      </c>
    </row>
    <row r="1845" spans="1:11">
      <c r="A1845" s="154" t="s">
        <v>95</v>
      </c>
      <c r="B1845" s="155" t="s">
        <v>12564</v>
      </c>
      <c r="C1845" s="132" t="s">
        <v>118</v>
      </c>
      <c r="D1845" s="132" t="s">
        <v>12565</v>
      </c>
      <c r="E1845" s="132" t="s">
        <v>12566</v>
      </c>
      <c r="F1845" s="132" t="s">
        <v>40</v>
      </c>
      <c r="G1845" s="156" t="s">
        <v>12567</v>
      </c>
      <c r="H1845" s="156" t="s">
        <v>12568</v>
      </c>
      <c r="I1845" s="168" t="s">
        <v>12569</v>
      </c>
      <c r="J1845" s="169" t="s">
        <v>9367</v>
      </c>
    </row>
    <row r="1846" spans="1:11" hidden="1">
      <c r="A1846" s="154" t="s">
        <v>95</v>
      </c>
      <c r="B1846" s="155" t="s">
        <v>12570</v>
      </c>
      <c r="C1846" s="132" t="s">
        <v>118</v>
      </c>
      <c r="D1846" s="132" t="s">
        <v>12571</v>
      </c>
      <c r="E1846" s="132" t="s">
        <v>12572</v>
      </c>
      <c r="F1846" s="132" t="s">
        <v>308</v>
      </c>
      <c r="G1846" s="156" t="s">
        <v>12573</v>
      </c>
      <c r="H1846" s="156" t="s">
        <v>12574</v>
      </c>
      <c r="I1846" s="168" t="s">
        <v>12569</v>
      </c>
      <c r="J1846" s="169" t="s">
        <v>9367</v>
      </c>
    </row>
    <row r="1847" spans="1:11">
      <c r="A1847" s="154" t="s">
        <v>95</v>
      </c>
      <c r="B1847" s="155" t="s">
        <v>12575</v>
      </c>
      <c r="C1847" s="132" t="s">
        <v>118</v>
      </c>
      <c r="D1847" s="132" t="s">
        <v>12576</v>
      </c>
      <c r="E1847" s="132" t="s">
        <v>12577</v>
      </c>
      <c r="F1847" s="132" t="s">
        <v>40</v>
      </c>
      <c r="G1847" s="156" t="s">
        <v>12578</v>
      </c>
      <c r="H1847" s="156" t="s">
        <v>12579</v>
      </c>
      <c r="I1847" s="168" t="s">
        <v>12569</v>
      </c>
      <c r="J1847" s="169" t="s">
        <v>9367</v>
      </c>
    </row>
    <row r="1848" spans="1:11">
      <c r="A1848" s="154" t="s">
        <v>95</v>
      </c>
      <c r="B1848" s="155" t="s">
        <v>12580</v>
      </c>
      <c r="C1848" s="132" t="s">
        <v>118</v>
      </c>
      <c r="D1848" s="132" t="s">
        <v>12581</v>
      </c>
      <c r="E1848" s="132" t="s">
        <v>12582</v>
      </c>
      <c r="F1848" s="132" t="s">
        <v>40</v>
      </c>
      <c r="G1848" s="156" t="s">
        <v>12583</v>
      </c>
      <c r="H1848" s="156" t="s">
        <v>12584</v>
      </c>
      <c r="I1848" s="168" t="s">
        <v>32</v>
      </c>
      <c r="J1848" s="169" t="s">
        <v>9367</v>
      </c>
    </row>
    <row r="1849" spans="1:11">
      <c r="A1849" s="154" t="s">
        <v>95</v>
      </c>
      <c r="B1849" s="155" t="s">
        <v>12585</v>
      </c>
      <c r="C1849" s="132" t="s">
        <v>97</v>
      </c>
      <c r="D1849" s="132" t="s">
        <v>1933</v>
      </c>
      <c r="E1849" s="132" t="s">
        <v>11578</v>
      </c>
      <c r="F1849" s="132" t="s">
        <v>40</v>
      </c>
      <c r="G1849" s="156" t="s">
        <v>12586</v>
      </c>
      <c r="H1849" s="156" t="s">
        <v>12587</v>
      </c>
      <c r="I1849" s="168" t="s">
        <v>32</v>
      </c>
      <c r="J1849" s="169" t="s">
        <v>9367</v>
      </c>
    </row>
    <row r="1850" spans="1:11">
      <c r="A1850" s="154" t="s">
        <v>95</v>
      </c>
      <c r="B1850" s="155" t="s">
        <v>12588</v>
      </c>
      <c r="C1850" s="132" t="s">
        <v>1763</v>
      </c>
      <c r="D1850" s="132" t="s">
        <v>12589</v>
      </c>
      <c r="E1850" s="132" t="s">
        <v>12590</v>
      </c>
      <c r="F1850" s="132" t="s">
        <v>40</v>
      </c>
      <c r="G1850" s="156" t="s">
        <v>12591</v>
      </c>
      <c r="H1850" s="156" t="s">
        <v>12592</v>
      </c>
      <c r="I1850" s="168" t="s">
        <v>2129</v>
      </c>
      <c r="J1850" s="169" t="s">
        <v>72</v>
      </c>
    </row>
    <row r="1851" spans="1:11">
      <c r="A1851" s="154" t="s">
        <v>95</v>
      </c>
      <c r="B1851" s="155" t="s">
        <v>12593</v>
      </c>
      <c r="C1851" s="132" t="s">
        <v>28</v>
      </c>
      <c r="D1851" s="132" t="s">
        <v>12594</v>
      </c>
      <c r="E1851" s="132" t="s">
        <v>12595</v>
      </c>
      <c r="F1851" s="132" t="s">
        <v>40</v>
      </c>
      <c r="G1851" s="156" t="s">
        <v>12596</v>
      </c>
      <c r="H1851" s="156" t="s">
        <v>12597</v>
      </c>
      <c r="I1851" s="168" t="s">
        <v>12598</v>
      </c>
      <c r="J1851" s="169" t="s">
        <v>72</v>
      </c>
    </row>
    <row r="1852" spans="1:11">
      <c r="A1852" s="154" t="s">
        <v>106</v>
      </c>
      <c r="B1852" s="155" t="s">
        <v>12599</v>
      </c>
      <c r="C1852" s="132" t="s">
        <v>108</v>
      </c>
      <c r="D1852" s="132" t="s">
        <v>11686</v>
      </c>
      <c r="E1852" s="132" t="s">
        <v>12600</v>
      </c>
      <c r="F1852" s="132" t="s">
        <v>40</v>
      </c>
      <c r="G1852" s="156" t="s">
        <v>12601</v>
      </c>
      <c r="H1852" s="156" t="s">
        <v>12602</v>
      </c>
      <c r="I1852" s="168" t="s">
        <v>32</v>
      </c>
      <c r="J1852" s="169" t="s">
        <v>9367</v>
      </c>
    </row>
    <row r="1853" spans="1:11">
      <c r="A1853" s="154" t="s">
        <v>20</v>
      </c>
      <c r="B1853" s="155" t="s">
        <v>12603</v>
      </c>
      <c r="C1853" s="132" t="s">
        <v>21</v>
      </c>
      <c r="D1853" s="132" t="s">
        <v>12604</v>
      </c>
      <c r="E1853" s="132" t="s">
        <v>12605</v>
      </c>
      <c r="F1853" s="132" t="s">
        <v>40</v>
      </c>
      <c r="G1853" s="156" t="s">
        <v>12606</v>
      </c>
      <c r="H1853" s="156" t="s">
        <v>12607</v>
      </c>
      <c r="I1853" s="168" t="s">
        <v>52</v>
      </c>
      <c r="J1853" s="169" t="s">
        <v>9367</v>
      </c>
    </row>
    <row r="1854" spans="1:11">
      <c r="A1854" s="154" t="s">
        <v>95</v>
      </c>
      <c r="B1854" s="155" t="s">
        <v>12608</v>
      </c>
      <c r="C1854" s="132" t="s">
        <v>6047</v>
      </c>
      <c r="D1854" s="132" t="s">
        <v>12609</v>
      </c>
      <c r="E1854" s="132" t="s">
        <v>12610</v>
      </c>
      <c r="F1854" s="132" t="s">
        <v>40</v>
      </c>
      <c r="G1854" s="156" t="s">
        <v>12611</v>
      </c>
      <c r="H1854" s="156" t="s">
        <v>12612</v>
      </c>
      <c r="I1854" s="168" t="s">
        <v>10418</v>
      </c>
      <c r="J1854" s="169" t="s">
        <v>9367</v>
      </c>
    </row>
    <row r="1855" spans="1:11" hidden="1">
      <c r="A1855" s="154" t="s">
        <v>106</v>
      </c>
      <c r="B1855" s="155" t="s">
        <v>12613</v>
      </c>
      <c r="C1855" s="132" t="s">
        <v>333</v>
      </c>
      <c r="D1855" s="132" t="s">
        <v>12614</v>
      </c>
      <c r="F1855" s="132" t="s">
        <v>214</v>
      </c>
      <c r="G1855" s="156" t="s">
        <v>12615</v>
      </c>
      <c r="I1855" s="168" t="s">
        <v>3296</v>
      </c>
      <c r="J1855" s="169" t="s">
        <v>9367</v>
      </c>
      <c r="K1855" s="169" t="s">
        <v>72</v>
      </c>
    </row>
    <row r="1856" spans="1:11">
      <c r="A1856" s="154" t="s">
        <v>20</v>
      </c>
      <c r="B1856" s="155" t="s">
        <v>12616</v>
      </c>
      <c r="C1856" s="132" t="s">
        <v>21</v>
      </c>
      <c r="D1856" s="132" t="s">
        <v>12617</v>
      </c>
      <c r="E1856" s="132" t="s">
        <v>12618</v>
      </c>
      <c r="F1856" s="132" t="s">
        <v>40</v>
      </c>
      <c r="G1856" s="156" t="s">
        <v>12619</v>
      </c>
      <c r="H1856" s="156" t="s">
        <v>12620</v>
      </c>
      <c r="I1856" s="168" t="s">
        <v>6459</v>
      </c>
      <c r="J1856" s="169" t="s">
        <v>72</v>
      </c>
    </row>
    <row r="1857" spans="1:10">
      <c r="A1857" s="154" t="s">
        <v>95</v>
      </c>
      <c r="B1857" s="155" t="s">
        <v>12621</v>
      </c>
      <c r="C1857" s="132" t="s">
        <v>97</v>
      </c>
      <c r="D1857" s="132" t="s">
        <v>1933</v>
      </c>
      <c r="E1857" s="132" t="s">
        <v>9751</v>
      </c>
      <c r="F1857" s="132" t="s">
        <v>40</v>
      </c>
      <c r="G1857" s="156" t="s">
        <v>12622</v>
      </c>
      <c r="H1857" s="156" t="s">
        <v>12623</v>
      </c>
      <c r="I1857" s="168" t="s">
        <v>32</v>
      </c>
      <c r="J1857" s="169" t="s">
        <v>72</v>
      </c>
    </row>
    <row r="1858" spans="1:10">
      <c r="A1858" s="154" t="s">
        <v>95</v>
      </c>
      <c r="B1858" s="155" t="s">
        <v>12624</v>
      </c>
      <c r="C1858" s="132" t="s">
        <v>97</v>
      </c>
      <c r="D1858" s="132" t="s">
        <v>12625</v>
      </c>
      <c r="E1858" s="132" t="s">
        <v>12626</v>
      </c>
      <c r="F1858" s="132" t="s">
        <v>40</v>
      </c>
      <c r="G1858" s="156" t="s">
        <v>12627</v>
      </c>
      <c r="H1858" s="156" t="s">
        <v>12628</v>
      </c>
      <c r="I1858" s="168" t="s">
        <v>2168</v>
      </c>
      <c r="J1858" s="169" t="s">
        <v>72</v>
      </c>
    </row>
    <row r="1859" spans="1:10">
      <c r="A1859" s="154" t="s">
        <v>106</v>
      </c>
      <c r="B1859" s="155" t="s">
        <v>12629</v>
      </c>
      <c r="C1859" s="132" t="s">
        <v>108</v>
      </c>
      <c r="D1859" s="132" t="s">
        <v>12630</v>
      </c>
      <c r="E1859" s="132" t="s">
        <v>2209</v>
      </c>
      <c r="F1859" s="132" t="s">
        <v>40</v>
      </c>
      <c r="G1859" s="156" t="s">
        <v>12631</v>
      </c>
      <c r="H1859" s="156" t="s">
        <v>12632</v>
      </c>
      <c r="I1859" s="168" t="s">
        <v>616</v>
      </c>
      <c r="J1859" s="169" t="s">
        <v>72</v>
      </c>
    </row>
    <row r="1860" spans="1:10">
      <c r="A1860" s="154" t="s">
        <v>20</v>
      </c>
      <c r="B1860" s="155" t="s">
        <v>12633</v>
      </c>
      <c r="C1860" s="132" t="s">
        <v>49</v>
      </c>
      <c r="D1860" s="132" t="s">
        <v>12634</v>
      </c>
      <c r="E1860" s="132" t="s">
        <v>12635</v>
      </c>
      <c r="F1860" s="132" t="s">
        <v>40</v>
      </c>
      <c r="G1860" s="156" t="s">
        <v>12636</v>
      </c>
      <c r="H1860" s="156" t="s">
        <v>12637</v>
      </c>
      <c r="I1860" s="168" t="s">
        <v>2912</v>
      </c>
      <c r="J1860" s="169" t="s">
        <v>72</v>
      </c>
    </row>
    <row r="1861" spans="1:10">
      <c r="A1861" s="154" t="s">
        <v>95</v>
      </c>
      <c r="B1861" s="155" t="s">
        <v>12638</v>
      </c>
      <c r="C1861" s="132" t="s">
        <v>6047</v>
      </c>
      <c r="D1861" s="143" t="s">
        <v>12639</v>
      </c>
      <c r="E1861" s="132" t="s">
        <v>12640</v>
      </c>
      <c r="F1861" s="132" t="s">
        <v>40</v>
      </c>
      <c r="G1861" s="156" t="s">
        <v>12641</v>
      </c>
      <c r="H1861" s="156" t="s">
        <v>12642</v>
      </c>
      <c r="I1861" s="168" t="s">
        <v>10418</v>
      </c>
      <c r="J1861" s="169" t="s">
        <v>9367</v>
      </c>
    </row>
    <row r="1862" spans="1:10">
      <c r="A1862" s="154" t="s">
        <v>95</v>
      </c>
      <c r="B1862" s="155" t="s">
        <v>12643</v>
      </c>
      <c r="C1862" s="132" t="s">
        <v>113</v>
      </c>
      <c r="D1862" s="143" t="s">
        <v>12644</v>
      </c>
      <c r="E1862" s="142" t="s">
        <v>12645</v>
      </c>
      <c r="F1862" s="132" t="s">
        <v>40</v>
      </c>
      <c r="G1862" s="156" t="s">
        <v>12646</v>
      </c>
      <c r="H1862" s="156" t="s">
        <v>12647</v>
      </c>
      <c r="I1862" s="168" t="s">
        <v>12648</v>
      </c>
      <c r="J1862" s="169" t="s">
        <v>9367</v>
      </c>
    </row>
    <row r="1863" spans="1:10">
      <c r="A1863" s="154" t="s">
        <v>106</v>
      </c>
      <c r="B1863" s="155" t="s">
        <v>12649</v>
      </c>
      <c r="C1863" s="132" t="s">
        <v>108</v>
      </c>
      <c r="D1863" s="132" t="s">
        <v>12650</v>
      </c>
      <c r="E1863" s="132" t="s">
        <v>12651</v>
      </c>
      <c r="F1863" s="132" t="s">
        <v>40</v>
      </c>
      <c r="G1863" s="156" t="s">
        <v>12652</v>
      </c>
      <c r="H1863" s="156" t="s">
        <v>12653</v>
      </c>
      <c r="I1863" s="168" t="s">
        <v>616</v>
      </c>
      <c r="J1863" s="169" t="s">
        <v>72</v>
      </c>
    </row>
    <row r="1864" spans="1:10">
      <c r="A1864" s="154" t="s">
        <v>95</v>
      </c>
      <c r="B1864" s="155" t="s">
        <v>12654</v>
      </c>
      <c r="C1864" s="132" t="s">
        <v>118</v>
      </c>
      <c r="D1864" s="132" t="s">
        <v>12655</v>
      </c>
      <c r="E1864" s="132" t="s">
        <v>12656</v>
      </c>
      <c r="F1864" s="132" t="s">
        <v>40</v>
      </c>
      <c r="G1864" s="156" t="s">
        <v>12657</v>
      </c>
      <c r="H1864" s="156" t="s">
        <v>12658</v>
      </c>
      <c r="I1864" s="168" t="s">
        <v>1999</v>
      </c>
      <c r="J1864" s="169" t="s">
        <v>72</v>
      </c>
    </row>
    <row r="1865" spans="1:10">
      <c r="A1865" s="154" t="s">
        <v>20</v>
      </c>
      <c r="B1865" s="155" t="s">
        <v>12659</v>
      </c>
      <c r="C1865" s="132" t="s">
        <v>21</v>
      </c>
      <c r="D1865" s="132" t="s">
        <v>12660</v>
      </c>
      <c r="E1865" s="132" t="s">
        <v>12661</v>
      </c>
      <c r="F1865" s="132" t="s">
        <v>40</v>
      </c>
      <c r="G1865" s="156" t="s">
        <v>12662</v>
      </c>
      <c r="H1865" s="156" t="s">
        <v>12663</v>
      </c>
      <c r="I1865" s="168" t="s">
        <v>6459</v>
      </c>
      <c r="J1865" s="169" t="s">
        <v>72</v>
      </c>
    </row>
    <row r="1866" spans="1:10">
      <c r="A1866" s="154" t="s">
        <v>95</v>
      </c>
      <c r="B1866" s="155" t="s">
        <v>12664</v>
      </c>
      <c r="C1866" s="132" t="s">
        <v>6047</v>
      </c>
      <c r="D1866" s="132" t="s">
        <v>12665</v>
      </c>
      <c r="E1866" s="132" t="s">
        <v>12666</v>
      </c>
      <c r="F1866" s="132" t="s">
        <v>40</v>
      </c>
      <c r="G1866" s="156" t="s">
        <v>12667</v>
      </c>
      <c r="H1866" s="156" t="s">
        <v>12668</v>
      </c>
      <c r="I1866" s="168" t="s">
        <v>10418</v>
      </c>
      <c r="J1866" s="169" t="s">
        <v>9367</v>
      </c>
    </row>
    <row r="1867" spans="1:10">
      <c r="A1867" s="154" t="s">
        <v>106</v>
      </c>
      <c r="B1867" s="155" t="s">
        <v>12669</v>
      </c>
      <c r="C1867" s="132" t="s">
        <v>108</v>
      </c>
      <c r="D1867" s="132" t="s">
        <v>11686</v>
      </c>
      <c r="E1867" s="132" t="s">
        <v>12600</v>
      </c>
      <c r="F1867" s="132" t="s">
        <v>40</v>
      </c>
      <c r="G1867" s="156" t="s">
        <v>12670</v>
      </c>
      <c r="H1867" s="156" t="s">
        <v>12671</v>
      </c>
      <c r="I1867" s="168" t="s">
        <v>32</v>
      </c>
      <c r="J1867" s="169" t="s">
        <v>9367</v>
      </c>
    </row>
    <row r="1868" spans="1:10">
      <c r="A1868" s="154" t="s">
        <v>95</v>
      </c>
      <c r="B1868" s="155" t="s">
        <v>12672</v>
      </c>
      <c r="C1868" s="132" t="s">
        <v>97</v>
      </c>
      <c r="D1868" s="132" t="s">
        <v>1933</v>
      </c>
      <c r="E1868" s="132" t="s">
        <v>11578</v>
      </c>
      <c r="F1868" s="132" t="s">
        <v>40</v>
      </c>
      <c r="G1868" s="156" t="s">
        <v>12673</v>
      </c>
      <c r="H1868" s="156" t="s">
        <v>12674</v>
      </c>
      <c r="I1868" s="168" t="s">
        <v>32</v>
      </c>
      <c r="J1868" s="169" t="s">
        <v>9367</v>
      </c>
    </row>
    <row r="1869" spans="1:10">
      <c r="A1869" s="154" t="s">
        <v>20</v>
      </c>
      <c r="B1869" s="155" t="s">
        <v>12675</v>
      </c>
      <c r="C1869" s="132" t="s">
        <v>21</v>
      </c>
      <c r="D1869" s="132" t="s">
        <v>12676</v>
      </c>
      <c r="E1869" s="132" t="s">
        <v>12677</v>
      </c>
      <c r="F1869" s="132" t="s">
        <v>40</v>
      </c>
      <c r="G1869" s="156" t="s">
        <v>12678</v>
      </c>
      <c r="H1869" s="156" t="s">
        <v>12679</v>
      </c>
      <c r="I1869" s="168" t="s">
        <v>32</v>
      </c>
      <c r="J1869" s="169" t="s">
        <v>9367</v>
      </c>
    </row>
    <row r="1870" spans="1:10">
      <c r="A1870" s="154" t="s">
        <v>95</v>
      </c>
      <c r="B1870" s="155" t="s">
        <v>12680</v>
      </c>
      <c r="C1870" s="132" t="s">
        <v>97</v>
      </c>
      <c r="D1870" s="132" t="s">
        <v>1933</v>
      </c>
      <c r="E1870" s="132" t="s">
        <v>11578</v>
      </c>
      <c r="F1870" s="132" t="s">
        <v>40</v>
      </c>
      <c r="G1870" s="156" t="s">
        <v>12681</v>
      </c>
      <c r="H1870" s="156" t="s">
        <v>12682</v>
      </c>
      <c r="I1870" s="168" t="s">
        <v>32</v>
      </c>
      <c r="J1870" s="169" t="s">
        <v>9367</v>
      </c>
    </row>
    <row r="1871" spans="1:10">
      <c r="A1871" s="154" t="s">
        <v>95</v>
      </c>
      <c r="B1871" s="155" t="s">
        <v>12683</v>
      </c>
      <c r="C1871" s="132" t="s">
        <v>97</v>
      </c>
      <c r="D1871" s="143" t="s">
        <v>12684</v>
      </c>
      <c r="E1871" s="132" t="s">
        <v>12685</v>
      </c>
      <c r="F1871" s="132" t="s">
        <v>40</v>
      </c>
      <c r="G1871" s="156" t="s">
        <v>12686</v>
      </c>
      <c r="H1871" s="156" t="s">
        <v>12687</v>
      </c>
      <c r="I1871" s="168" t="s">
        <v>991</v>
      </c>
      <c r="J1871" s="169" t="s">
        <v>9367</v>
      </c>
    </row>
    <row r="1872" spans="1:10">
      <c r="A1872" s="154" t="s">
        <v>95</v>
      </c>
      <c r="B1872" s="155" t="s">
        <v>12688</v>
      </c>
      <c r="C1872" s="132" t="s">
        <v>97</v>
      </c>
      <c r="D1872" s="132" t="s">
        <v>1933</v>
      </c>
      <c r="E1872" s="132" t="s">
        <v>12689</v>
      </c>
      <c r="F1872" s="132" t="s">
        <v>40</v>
      </c>
      <c r="G1872" s="156" t="s">
        <v>12690</v>
      </c>
      <c r="H1872" s="156" t="s">
        <v>12691</v>
      </c>
      <c r="I1872" s="168" t="s">
        <v>32</v>
      </c>
      <c r="J1872" s="169" t="s">
        <v>72</v>
      </c>
    </row>
    <row r="1873" spans="1:10">
      <c r="A1873" s="154" t="s">
        <v>20</v>
      </c>
      <c r="B1873" s="155" t="s">
        <v>12692</v>
      </c>
      <c r="C1873" s="132" t="s">
        <v>21</v>
      </c>
      <c r="D1873" s="132" t="s">
        <v>12693</v>
      </c>
      <c r="E1873" s="132" t="s">
        <v>12694</v>
      </c>
      <c r="F1873" s="132" t="s">
        <v>40</v>
      </c>
      <c r="G1873" s="156" t="s">
        <v>12695</v>
      </c>
      <c r="H1873" s="156" t="s">
        <v>12696</v>
      </c>
      <c r="I1873" s="168" t="s">
        <v>6459</v>
      </c>
      <c r="J1873" s="169" t="s">
        <v>72</v>
      </c>
    </row>
    <row r="1874" spans="1:10">
      <c r="A1874" s="154" t="s">
        <v>95</v>
      </c>
      <c r="B1874" s="155" t="s">
        <v>12697</v>
      </c>
      <c r="C1874" s="132" t="s">
        <v>28</v>
      </c>
      <c r="D1874" s="132" t="s">
        <v>12698</v>
      </c>
      <c r="E1874" s="132" t="s">
        <v>12699</v>
      </c>
      <c r="F1874" s="132" t="s">
        <v>40</v>
      </c>
      <c r="G1874" s="156" t="s">
        <v>12700</v>
      </c>
      <c r="H1874" s="156" t="s">
        <v>12701</v>
      </c>
      <c r="I1874" s="168" t="s">
        <v>11335</v>
      </c>
      <c r="J1874" s="169" t="s">
        <v>72</v>
      </c>
    </row>
    <row r="1875" spans="1:10">
      <c r="A1875" s="154" t="s">
        <v>106</v>
      </c>
      <c r="B1875" s="155" t="s">
        <v>12702</v>
      </c>
      <c r="C1875" s="132" t="s">
        <v>108</v>
      </c>
      <c r="D1875" s="132" t="s">
        <v>12703</v>
      </c>
      <c r="E1875" s="132" t="s">
        <v>12704</v>
      </c>
      <c r="F1875" s="132" t="s">
        <v>40</v>
      </c>
      <c r="G1875" s="156" t="s">
        <v>12705</v>
      </c>
      <c r="H1875" s="156" t="s">
        <v>12706</v>
      </c>
      <c r="I1875" s="168" t="s">
        <v>2168</v>
      </c>
      <c r="J1875" s="169" t="s">
        <v>72</v>
      </c>
    </row>
    <row r="1876" spans="1:10">
      <c r="A1876" s="154" t="s">
        <v>106</v>
      </c>
      <c r="B1876" s="155" t="s">
        <v>12707</v>
      </c>
      <c r="C1876" s="132" t="s">
        <v>108</v>
      </c>
      <c r="D1876" s="132" t="s">
        <v>8467</v>
      </c>
      <c r="E1876" s="132" t="s">
        <v>12708</v>
      </c>
      <c r="F1876" s="132" t="s">
        <v>40</v>
      </c>
      <c r="G1876" s="156" t="s">
        <v>12709</v>
      </c>
      <c r="H1876" s="156" t="s">
        <v>12710</v>
      </c>
      <c r="I1876" s="168" t="s">
        <v>32</v>
      </c>
      <c r="J1876" s="169" t="s">
        <v>72</v>
      </c>
    </row>
    <row r="1877" spans="1:10">
      <c r="A1877" s="154" t="s">
        <v>20</v>
      </c>
      <c r="B1877" s="155" t="s">
        <v>12711</v>
      </c>
      <c r="C1877" s="132" t="s">
        <v>21</v>
      </c>
      <c r="D1877" s="132" t="s">
        <v>12712</v>
      </c>
      <c r="E1877" s="132" t="s">
        <v>276</v>
      </c>
      <c r="F1877" s="132" t="s">
        <v>40</v>
      </c>
      <c r="G1877" s="156" t="s">
        <v>12713</v>
      </c>
      <c r="H1877" s="156" t="s">
        <v>12714</v>
      </c>
      <c r="I1877" s="168" t="s">
        <v>6116</v>
      </c>
      <c r="J1877" s="169" t="s">
        <v>72</v>
      </c>
    </row>
    <row r="1878" spans="1:10">
      <c r="A1878" s="154" t="s">
        <v>95</v>
      </c>
      <c r="B1878" s="155" t="s">
        <v>12715</v>
      </c>
      <c r="C1878" s="132" t="s">
        <v>6047</v>
      </c>
      <c r="D1878" s="132" t="s">
        <v>12716</v>
      </c>
      <c r="E1878" s="132" t="s">
        <v>12717</v>
      </c>
      <c r="F1878" s="132" t="s">
        <v>40</v>
      </c>
      <c r="G1878" s="156" t="s">
        <v>12718</v>
      </c>
      <c r="H1878" s="156" t="s">
        <v>12713</v>
      </c>
      <c r="I1878" s="168" t="s">
        <v>10418</v>
      </c>
      <c r="J1878" s="169" t="s">
        <v>9367</v>
      </c>
    </row>
    <row r="1879" spans="1:10">
      <c r="A1879" s="154" t="s">
        <v>106</v>
      </c>
      <c r="B1879" s="155" t="s">
        <v>12719</v>
      </c>
      <c r="C1879" s="132" t="s">
        <v>108</v>
      </c>
      <c r="D1879" s="132" t="s">
        <v>12720</v>
      </c>
      <c r="E1879" s="132" t="s">
        <v>12721</v>
      </c>
      <c r="F1879" s="132" t="s">
        <v>40</v>
      </c>
      <c r="G1879" s="156" t="s">
        <v>12722</v>
      </c>
      <c r="H1879" s="156" t="s">
        <v>12713</v>
      </c>
      <c r="I1879" s="168" t="s">
        <v>1470</v>
      </c>
      <c r="J1879" s="169" t="s">
        <v>9367</v>
      </c>
    </row>
    <row r="1880" spans="1:10">
      <c r="A1880" s="154" t="s">
        <v>106</v>
      </c>
      <c r="B1880" s="155" t="s">
        <v>12723</v>
      </c>
      <c r="C1880" s="132" t="s">
        <v>108</v>
      </c>
      <c r="D1880" s="132" t="s">
        <v>12724</v>
      </c>
      <c r="E1880" s="132" t="s">
        <v>12725</v>
      </c>
      <c r="F1880" s="132" t="s">
        <v>40</v>
      </c>
      <c r="G1880" s="156" t="s">
        <v>12722</v>
      </c>
      <c r="H1880" s="156" t="s">
        <v>12713</v>
      </c>
      <c r="I1880" s="168" t="s">
        <v>1470</v>
      </c>
      <c r="J1880" s="169" t="s">
        <v>9367</v>
      </c>
    </row>
    <row r="1881" spans="1:10">
      <c r="A1881" s="154" t="s">
        <v>95</v>
      </c>
      <c r="B1881" s="155" t="s">
        <v>12726</v>
      </c>
      <c r="C1881" s="132" t="s">
        <v>1763</v>
      </c>
      <c r="D1881" s="132" t="s">
        <v>12727</v>
      </c>
      <c r="E1881" s="132" t="s">
        <v>12728</v>
      </c>
      <c r="F1881" s="132" t="s">
        <v>40</v>
      </c>
      <c r="G1881" s="156" t="s">
        <v>12729</v>
      </c>
      <c r="H1881" s="156" t="s">
        <v>12730</v>
      </c>
      <c r="I1881" s="168" t="s">
        <v>32</v>
      </c>
      <c r="J1881" s="169" t="s">
        <v>9367</v>
      </c>
    </row>
    <row r="1882" spans="1:10">
      <c r="A1882" s="154" t="s">
        <v>106</v>
      </c>
      <c r="B1882" s="155" t="s">
        <v>12731</v>
      </c>
      <c r="C1882" s="132" t="s">
        <v>37</v>
      </c>
      <c r="D1882" s="132" t="s">
        <v>12732</v>
      </c>
      <c r="E1882" s="132" t="s">
        <v>12733</v>
      </c>
      <c r="F1882" s="132" t="s">
        <v>40</v>
      </c>
      <c r="G1882" s="156" t="s">
        <v>12734</v>
      </c>
      <c r="H1882" s="156" t="s">
        <v>12735</v>
      </c>
      <c r="I1882" s="168" t="s">
        <v>32</v>
      </c>
      <c r="J1882" s="169" t="s">
        <v>9367</v>
      </c>
    </row>
    <row r="1883" spans="1:10">
      <c r="A1883" s="154" t="s">
        <v>106</v>
      </c>
      <c r="B1883" s="155" t="s">
        <v>12736</v>
      </c>
      <c r="C1883" s="132" t="s">
        <v>108</v>
      </c>
      <c r="D1883" s="132" t="s">
        <v>12737</v>
      </c>
      <c r="E1883" s="132" t="s">
        <v>12738</v>
      </c>
      <c r="F1883" s="132" t="s">
        <v>40</v>
      </c>
      <c r="G1883" s="156" t="s">
        <v>12739</v>
      </c>
      <c r="H1883" s="156" t="s">
        <v>12740</v>
      </c>
      <c r="I1883" s="168" t="s">
        <v>32</v>
      </c>
      <c r="J1883" s="169" t="s">
        <v>9367</v>
      </c>
    </row>
    <row r="1884" spans="1:10">
      <c r="A1884" s="154" t="s">
        <v>95</v>
      </c>
      <c r="B1884" s="155" t="s">
        <v>12741</v>
      </c>
      <c r="C1884" s="132" t="s">
        <v>6047</v>
      </c>
      <c r="D1884" s="132" t="s">
        <v>12742</v>
      </c>
      <c r="E1884" s="132" t="s">
        <v>12743</v>
      </c>
      <c r="F1884" s="132" t="s">
        <v>40</v>
      </c>
      <c r="G1884" s="156" t="s">
        <v>12744</v>
      </c>
      <c r="H1884" s="156" t="s">
        <v>12745</v>
      </c>
      <c r="I1884" s="168" t="s">
        <v>10418</v>
      </c>
      <c r="J1884" s="169" t="s">
        <v>9367</v>
      </c>
    </row>
    <row r="1885" spans="1:10">
      <c r="A1885" s="154" t="s">
        <v>20</v>
      </c>
      <c r="B1885" s="155" t="s">
        <v>12746</v>
      </c>
      <c r="C1885" s="132" t="s">
        <v>21</v>
      </c>
      <c r="D1885" s="132" t="s">
        <v>12747</v>
      </c>
      <c r="E1885" s="132" t="s">
        <v>12748</v>
      </c>
      <c r="F1885" s="132" t="s">
        <v>40</v>
      </c>
      <c r="G1885" s="156" t="s">
        <v>12749</v>
      </c>
      <c r="H1885" s="156" t="s">
        <v>12750</v>
      </c>
      <c r="I1885" s="168" t="s">
        <v>64</v>
      </c>
      <c r="J1885" s="169" t="s">
        <v>9367</v>
      </c>
    </row>
    <row r="1886" spans="1:10">
      <c r="A1886" s="154" t="s">
        <v>95</v>
      </c>
      <c r="B1886" s="155" t="s">
        <v>12751</v>
      </c>
      <c r="C1886" s="132" t="s">
        <v>113</v>
      </c>
      <c r="D1886" s="132" t="s">
        <v>12752</v>
      </c>
      <c r="E1886" s="143" t="s">
        <v>12753</v>
      </c>
      <c r="F1886" s="132" t="s">
        <v>40</v>
      </c>
      <c r="G1886" s="156" t="s">
        <v>12754</v>
      </c>
      <c r="H1886" s="156" t="s">
        <v>12755</v>
      </c>
      <c r="I1886" s="168" t="s">
        <v>2400</v>
      </c>
      <c r="J1886" s="169" t="s">
        <v>9367</v>
      </c>
    </row>
    <row r="1887" spans="1:10">
      <c r="A1887" s="154" t="s">
        <v>20</v>
      </c>
      <c r="B1887" s="155" t="s">
        <v>12756</v>
      </c>
      <c r="C1887" s="132" t="s">
        <v>21</v>
      </c>
      <c r="D1887" s="132" t="s">
        <v>12757</v>
      </c>
      <c r="E1887" s="132" t="s">
        <v>12758</v>
      </c>
      <c r="F1887" s="132" t="s">
        <v>40</v>
      </c>
      <c r="G1887" s="156" t="s">
        <v>12759</v>
      </c>
      <c r="H1887" s="156" t="s">
        <v>12760</v>
      </c>
      <c r="I1887" s="168" t="s">
        <v>32</v>
      </c>
      <c r="J1887" s="169" t="s">
        <v>9367</v>
      </c>
    </row>
    <row r="1888" spans="1:10">
      <c r="A1888" s="154" t="s">
        <v>95</v>
      </c>
      <c r="B1888" s="155" t="s">
        <v>12761</v>
      </c>
      <c r="C1888" s="132" t="s">
        <v>97</v>
      </c>
      <c r="D1888" s="132" t="s">
        <v>1933</v>
      </c>
      <c r="E1888" s="132" t="s">
        <v>11578</v>
      </c>
      <c r="F1888" s="132" t="s">
        <v>40</v>
      </c>
      <c r="G1888" s="156" t="s">
        <v>12762</v>
      </c>
      <c r="H1888" s="156" t="s">
        <v>12763</v>
      </c>
      <c r="I1888" s="168" t="s">
        <v>32</v>
      </c>
      <c r="J1888" s="169" t="s">
        <v>9367</v>
      </c>
    </row>
    <row r="1889" spans="1:12">
      <c r="A1889" s="154" t="s">
        <v>95</v>
      </c>
      <c r="B1889" s="155" t="s">
        <v>12764</v>
      </c>
      <c r="C1889" s="132" t="s">
        <v>28</v>
      </c>
      <c r="D1889" s="132" t="s">
        <v>12765</v>
      </c>
      <c r="E1889" s="132" t="s">
        <v>12766</v>
      </c>
      <c r="F1889" s="132" t="s">
        <v>40</v>
      </c>
      <c r="G1889" s="156" t="s">
        <v>12767</v>
      </c>
      <c r="H1889" s="156" t="s">
        <v>12768</v>
      </c>
      <c r="I1889" s="168" t="s">
        <v>10261</v>
      </c>
      <c r="J1889" s="169" t="s">
        <v>72</v>
      </c>
    </row>
    <row r="1890" spans="1:12" ht="72.5">
      <c r="A1890" s="154" t="s">
        <v>106</v>
      </c>
      <c r="B1890" s="155" t="s">
        <v>12769</v>
      </c>
      <c r="C1890" s="132" t="s">
        <v>108</v>
      </c>
      <c r="D1890" s="132" t="s">
        <v>12770</v>
      </c>
      <c r="E1890" s="137" t="s">
        <v>12771</v>
      </c>
      <c r="F1890" s="132" t="s">
        <v>40</v>
      </c>
      <c r="G1890" s="156" t="s">
        <v>12772</v>
      </c>
      <c r="H1890" s="156" t="s">
        <v>12773</v>
      </c>
      <c r="I1890" s="168" t="s">
        <v>2168</v>
      </c>
      <c r="J1890" s="169" t="s">
        <v>72</v>
      </c>
    </row>
    <row r="1891" spans="1:12">
      <c r="A1891" s="154" t="s">
        <v>20</v>
      </c>
      <c r="B1891" s="155" t="s">
        <v>12774</v>
      </c>
      <c r="C1891" s="132" t="s">
        <v>13</v>
      </c>
      <c r="D1891" s="132" t="s">
        <v>12775</v>
      </c>
      <c r="E1891" s="132" t="s">
        <v>12776</v>
      </c>
      <c r="F1891" s="132" t="s">
        <v>40</v>
      </c>
      <c r="G1891" s="156" t="s">
        <v>12777</v>
      </c>
      <c r="I1891" s="168" t="s">
        <v>17</v>
      </c>
      <c r="J1891" s="169" t="s">
        <v>72</v>
      </c>
      <c r="K1891" s="169" t="s">
        <v>88</v>
      </c>
      <c r="L1891" s="185">
        <v>45503</v>
      </c>
    </row>
    <row r="1892" spans="1:12">
      <c r="A1892" s="154" t="s">
        <v>95</v>
      </c>
      <c r="B1892" s="155" t="s">
        <v>12778</v>
      </c>
      <c r="C1892" s="132" t="s">
        <v>28</v>
      </c>
      <c r="D1892" s="132" t="s">
        <v>12779</v>
      </c>
      <c r="E1892" s="132" t="s">
        <v>12780</v>
      </c>
      <c r="F1892" s="132" t="s">
        <v>40</v>
      </c>
      <c r="G1892" s="156" t="s">
        <v>12781</v>
      </c>
      <c r="I1892" s="168" t="s">
        <v>10261</v>
      </c>
      <c r="J1892" s="169" t="s">
        <v>72</v>
      </c>
    </row>
    <row r="1893" spans="1:12">
      <c r="A1893" s="154" t="s">
        <v>106</v>
      </c>
      <c r="B1893" s="155" t="s">
        <v>12782</v>
      </c>
      <c r="C1893" s="132" t="s">
        <v>108</v>
      </c>
      <c r="D1893" s="132" t="s">
        <v>12783</v>
      </c>
      <c r="E1893" s="132" t="s">
        <v>12784</v>
      </c>
      <c r="F1893" s="132" t="s">
        <v>40</v>
      </c>
      <c r="G1893" s="156" t="s">
        <v>12785</v>
      </c>
      <c r="H1893" s="156" t="s">
        <v>12786</v>
      </c>
      <c r="I1893" s="168" t="s">
        <v>3320</v>
      </c>
      <c r="J1893" s="169" t="s">
        <v>72</v>
      </c>
    </row>
    <row r="1894" spans="1:12">
      <c r="A1894" s="154" t="s">
        <v>20</v>
      </c>
      <c r="B1894" s="155" t="s">
        <v>12787</v>
      </c>
      <c r="C1894" s="132" t="s">
        <v>21</v>
      </c>
      <c r="D1894" s="143" t="s">
        <v>12788</v>
      </c>
      <c r="E1894" s="143" t="s">
        <v>12789</v>
      </c>
      <c r="F1894" s="132" t="s">
        <v>40</v>
      </c>
      <c r="G1894" s="156" t="s">
        <v>12790</v>
      </c>
      <c r="H1894" s="156" t="s">
        <v>12791</v>
      </c>
      <c r="I1894" s="168" t="s">
        <v>2909</v>
      </c>
      <c r="J1894" s="169" t="s">
        <v>9367</v>
      </c>
    </row>
    <row r="1895" spans="1:12">
      <c r="A1895" s="154" t="s">
        <v>95</v>
      </c>
      <c r="B1895" s="155" t="s">
        <v>12792</v>
      </c>
      <c r="C1895" s="132" t="s">
        <v>113</v>
      </c>
      <c r="D1895" s="143" t="s">
        <v>10466</v>
      </c>
      <c r="E1895" s="143" t="s">
        <v>12793</v>
      </c>
      <c r="F1895" s="132" t="s">
        <v>40</v>
      </c>
      <c r="G1895" s="156" t="s">
        <v>12794</v>
      </c>
      <c r="H1895" s="156" t="s">
        <v>12795</v>
      </c>
      <c r="I1895" s="168" t="s">
        <v>2400</v>
      </c>
      <c r="J1895" s="169" t="s">
        <v>9367</v>
      </c>
    </row>
    <row r="1896" spans="1:12" hidden="1">
      <c r="A1896" s="154" t="s">
        <v>95</v>
      </c>
      <c r="B1896" s="155" t="s">
        <v>12796</v>
      </c>
      <c r="C1896" s="132" t="s">
        <v>113</v>
      </c>
      <c r="D1896" s="143" t="s">
        <v>12797</v>
      </c>
      <c r="E1896" s="143" t="s">
        <v>12798</v>
      </c>
      <c r="F1896" s="132" t="s">
        <v>308</v>
      </c>
      <c r="G1896" s="156" t="s">
        <v>12799</v>
      </c>
      <c r="I1896" s="168" t="s">
        <v>2400</v>
      </c>
      <c r="J1896" s="169" t="s">
        <v>9367</v>
      </c>
    </row>
    <row r="1897" spans="1:12">
      <c r="A1897" s="154" t="s">
        <v>106</v>
      </c>
      <c r="B1897" s="155" t="s">
        <v>12800</v>
      </c>
      <c r="C1897" s="132" t="s">
        <v>78</v>
      </c>
      <c r="D1897" s="143" t="s">
        <v>12801</v>
      </c>
      <c r="E1897" s="143" t="s">
        <v>12802</v>
      </c>
      <c r="F1897" s="132" t="s">
        <v>40</v>
      </c>
      <c r="G1897" s="156" t="s">
        <v>12803</v>
      </c>
      <c r="H1897" s="156" t="s">
        <v>12804</v>
      </c>
      <c r="I1897" s="168" t="s">
        <v>708</v>
      </c>
      <c r="J1897" s="169" t="s">
        <v>9367</v>
      </c>
    </row>
    <row r="1898" spans="1:12">
      <c r="A1898" s="154" t="s">
        <v>20</v>
      </c>
      <c r="B1898" s="155" t="s">
        <v>12805</v>
      </c>
      <c r="C1898" s="132" t="s">
        <v>13</v>
      </c>
      <c r="D1898" s="143" t="s">
        <v>12806</v>
      </c>
      <c r="E1898" s="143" t="s">
        <v>12807</v>
      </c>
      <c r="F1898" s="132" t="s">
        <v>40</v>
      </c>
      <c r="G1898" s="156" t="s">
        <v>12808</v>
      </c>
      <c r="H1898" s="156">
        <v>45299.566666666666</v>
      </c>
      <c r="I1898" s="168" t="s">
        <v>12809</v>
      </c>
      <c r="J1898" s="169" t="s">
        <v>9367</v>
      </c>
      <c r="K1898" s="169" t="s">
        <v>88</v>
      </c>
    </row>
    <row r="1899" spans="1:12" hidden="1">
      <c r="A1899" s="154" t="s">
        <v>106</v>
      </c>
      <c r="B1899" s="155" t="s">
        <v>12810</v>
      </c>
      <c r="C1899" s="132" t="s">
        <v>108</v>
      </c>
      <c r="D1899" s="143" t="s">
        <v>12811</v>
      </c>
      <c r="E1899" s="146" t="s">
        <v>12812</v>
      </c>
      <c r="F1899" s="132" t="s">
        <v>308</v>
      </c>
      <c r="G1899" s="156" t="s">
        <v>12813</v>
      </c>
      <c r="I1899" s="168" t="s">
        <v>10803</v>
      </c>
      <c r="J1899" s="169" t="s">
        <v>9367</v>
      </c>
    </row>
    <row r="1900" spans="1:12">
      <c r="A1900" s="154" t="s">
        <v>95</v>
      </c>
      <c r="B1900" s="155" t="s">
        <v>12814</v>
      </c>
      <c r="C1900" s="132" t="s">
        <v>113</v>
      </c>
      <c r="D1900" s="143" t="s">
        <v>12815</v>
      </c>
      <c r="E1900" s="143" t="s">
        <v>12816</v>
      </c>
      <c r="F1900" s="132" t="s">
        <v>40</v>
      </c>
      <c r="G1900" s="156" t="s">
        <v>12817</v>
      </c>
      <c r="H1900" s="156" t="s">
        <v>12818</v>
      </c>
      <c r="I1900" s="168" t="s">
        <v>2400</v>
      </c>
      <c r="J1900" s="169" t="s">
        <v>9367</v>
      </c>
    </row>
    <row r="1901" spans="1:12">
      <c r="A1901" s="154" t="s">
        <v>95</v>
      </c>
      <c r="B1901" s="155" t="s">
        <v>12819</v>
      </c>
      <c r="C1901" s="132" t="s">
        <v>6047</v>
      </c>
      <c r="D1901" s="143" t="s">
        <v>12742</v>
      </c>
      <c r="E1901" s="143" t="s">
        <v>12820</v>
      </c>
      <c r="F1901" s="132" t="s">
        <v>40</v>
      </c>
      <c r="G1901" s="156" t="s">
        <v>12821</v>
      </c>
      <c r="H1901" s="156" t="s">
        <v>12822</v>
      </c>
      <c r="I1901" s="168" t="s">
        <v>10418</v>
      </c>
      <c r="J1901" s="169" t="s">
        <v>9367</v>
      </c>
    </row>
    <row r="1902" spans="1:12">
      <c r="A1902" s="154" t="s">
        <v>20</v>
      </c>
      <c r="B1902" s="155" t="s">
        <v>12823</v>
      </c>
      <c r="C1902" s="132" t="s">
        <v>21</v>
      </c>
      <c r="D1902" s="143" t="s">
        <v>12824</v>
      </c>
      <c r="E1902" s="142" t="s">
        <v>12825</v>
      </c>
      <c r="F1902" s="132" t="s">
        <v>40</v>
      </c>
      <c r="G1902" s="156" t="s">
        <v>12826</v>
      </c>
      <c r="H1902" s="156" t="s">
        <v>12827</v>
      </c>
      <c r="I1902" s="168" t="s">
        <v>64</v>
      </c>
      <c r="J1902" s="169" t="s">
        <v>9367</v>
      </c>
    </row>
    <row r="1903" spans="1:12">
      <c r="A1903" s="154" t="s">
        <v>106</v>
      </c>
      <c r="B1903" s="155" t="s">
        <v>12828</v>
      </c>
      <c r="C1903" s="132" t="s">
        <v>108</v>
      </c>
      <c r="D1903" s="132" t="s">
        <v>12829</v>
      </c>
      <c r="E1903" s="132" t="s">
        <v>12830</v>
      </c>
      <c r="F1903" s="132" t="s">
        <v>40</v>
      </c>
      <c r="G1903" s="156" t="s">
        <v>12831</v>
      </c>
      <c r="H1903" s="156" t="s">
        <v>12832</v>
      </c>
      <c r="I1903" s="168" t="s">
        <v>12833</v>
      </c>
      <c r="J1903" s="169" t="s">
        <v>72</v>
      </c>
    </row>
    <row r="1904" spans="1:12">
      <c r="A1904" s="154" t="s">
        <v>20</v>
      </c>
      <c r="B1904" s="155" t="s">
        <v>12834</v>
      </c>
      <c r="C1904" s="132" t="s">
        <v>13</v>
      </c>
      <c r="D1904" s="132" t="s">
        <v>12835</v>
      </c>
      <c r="E1904" s="132" t="s">
        <v>276</v>
      </c>
      <c r="F1904" s="132" t="s">
        <v>40</v>
      </c>
      <c r="G1904" s="156" t="s">
        <v>12836</v>
      </c>
      <c r="H1904" s="156" t="s">
        <v>12837</v>
      </c>
      <c r="I1904" s="168" t="s">
        <v>17</v>
      </c>
      <c r="J1904" s="169" t="s">
        <v>72</v>
      </c>
    </row>
    <row r="1905" spans="1:12">
      <c r="A1905" s="154" t="s">
        <v>106</v>
      </c>
      <c r="B1905" s="155" t="s">
        <v>12838</v>
      </c>
      <c r="C1905" s="132" t="s">
        <v>78</v>
      </c>
      <c r="D1905" s="132" t="s">
        <v>12839</v>
      </c>
      <c r="E1905" s="132" t="s">
        <v>276</v>
      </c>
      <c r="F1905" s="132" t="s">
        <v>40</v>
      </c>
      <c r="G1905" s="156" t="s">
        <v>12840</v>
      </c>
      <c r="H1905" s="156" t="s">
        <v>12841</v>
      </c>
      <c r="I1905" s="168" t="s">
        <v>258</v>
      </c>
      <c r="J1905" s="169" t="s">
        <v>72</v>
      </c>
    </row>
    <row r="1906" spans="1:12">
      <c r="A1906" s="154" t="s">
        <v>20</v>
      </c>
      <c r="B1906" s="155" t="s">
        <v>12842</v>
      </c>
      <c r="C1906" s="132" t="s">
        <v>13</v>
      </c>
      <c r="D1906" s="132" t="s">
        <v>12843</v>
      </c>
      <c r="E1906" s="132" t="s">
        <v>12844</v>
      </c>
      <c r="F1906" s="132" t="s">
        <v>40</v>
      </c>
      <c r="G1906" s="156" t="s">
        <v>12845</v>
      </c>
      <c r="I1906" s="168" t="s">
        <v>17</v>
      </c>
      <c r="J1906" s="169" t="s">
        <v>72</v>
      </c>
      <c r="K1906" s="169" t="s">
        <v>88</v>
      </c>
      <c r="L1906" s="185">
        <v>45503</v>
      </c>
    </row>
    <row r="1907" spans="1:12">
      <c r="A1907" s="154" t="s">
        <v>95</v>
      </c>
      <c r="B1907" s="155" t="s">
        <v>12846</v>
      </c>
      <c r="C1907" s="132" t="s">
        <v>113</v>
      </c>
      <c r="D1907" s="132" t="s">
        <v>12847</v>
      </c>
      <c r="E1907" s="143" t="s">
        <v>12848</v>
      </c>
      <c r="F1907" s="132" t="s">
        <v>40</v>
      </c>
      <c r="G1907" s="156" t="s">
        <v>12849</v>
      </c>
      <c r="H1907" s="156" t="s">
        <v>12850</v>
      </c>
      <c r="I1907" s="168" t="s">
        <v>12851</v>
      </c>
      <c r="J1907" s="169" t="s">
        <v>9367</v>
      </c>
    </row>
    <row r="1908" spans="1:12">
      <c r="A1908" s="154" t="s">
        <v>95</v>
      </c>
      <c r="B1908" s="155" t="s">
        <v>12852</v>
      </c>
      <c r="C1908" s="132" t="s">
        <v>113</v>
      </c>
      <c r="D1908" s="132" t="s">
        <v>12853</v>
      </c>
      <c r="E1908" s="132" t="s">
        <v>12854</v>
      </c>
      <c r="F1908" s="132" t="s">
        <v>40</v>
      </c>
      <c r="G1908" s="156" t="s">
        <v>12855</v>
      </c>
      <c r="H1908" s="156" t="s">
        <v>12856</v>
      </c>
      <c r="I1908" s="168" t="s">
        <v>12851</v>
      </c>
      <c r="J1908" s="169" t="s">
        <v>9367</v>
      </c>
      <c r="K1908" s="169" t="s">
        <v>88</v>
      </c>
    </row>
    <row r="1909" spans="1:12">
      <c r="A1909" s="154" t="s">
        <v>106</v>
      </c>
      <c r="B1909" s="155" t="s">
        <v>12857</v>
      </c>
      <c r="C1909" s="132" t="s">
        <v>108</v>
      </c>
      <c r="D1909" s="132" t="s">
        <v>12858</v>
      </c>
      <c r="E1909" s="132" t="s">
        <v>12859</v>
      </c>
      <c r="F1909" s="132" t="s">
        <v>40</v>
      </c>
      <c r="G1909" s="156" t="s">
        <v>12860</v>
      </c>
      <c r="H1909" s="156" t="s">
        <v>12861</v>
      </c>
      <c r="I1909" s="168" t="s">
        <v>1373</v>
      </c>
      <c r="J1909" s="169" t="s">
        <v>88</v>
      </c>
    </row>
    <row r="1910" spans="1:12">
      <c r="A1910" s="154" t="s">
        <v>20</v>
      </c>
      <c r="B1910" s="155" t="s">
        <v>12862</v>
      </c>
      <c r="C1910" s="132" t="s">
        <v>13</v>
      </c>
      <c r="D1910" s="132" t="s">
        <v>12863</v>
      </c>
      <c r="E1910" s="132" t="s">
        <v>12864</v>
      </c>
      <c r="F1910" s="132" t="s">
        <v>40</v>
      </c>
      <c r="G1910" s="156" t="s">
        <v>12865</v>
      </c>
      <c r="H1910" s="156">
        <v>45390.214583333334</v>
      </c>
      <c r="I1910" s="168" t="s">
        <v>17</v>
      </c>
      <c r="J1910" s="169" t="s">
        <v>88</v>
      </c>
    </row>
    <row r="1911" spans="1:12">
      <c r="A1911" s="154" t="s">
        <v>106</v>
      </c>
      <c r="B1911" s="155" t="s">
        <v>12866</v>
      </c>
      <c r="C1911" s="132" t="s">
        <v>108</v>
      </c>
      <c r="D1911" s="132" t="s">
        <v>12867</v>
      </c>
      <c r="E1911" s="132" t="s">
        <v>12868</v>
      </c>
      <c r="F1911" s="132" t="s">
        <v>40</v>
      </c>
      <c r="G1911" s="156" t="s">
        <v>12869</v>
      </c>
      <c r="H1911" s="156" t="s">
        <v>12870</v>
      </c>
      <c r="I1911" s="168" t="s">
        <v>960</v>
      </c>
      <c r="J1911" s="169" t="s">
        <v>88</v>
      </c>
    </row>
    <row r="1912" spans="1:12">
      <c r="A1912" s="154" t="s">
        <v>95</v>
      </c>
      <c r="B1912" s="155" t="s">
        <v>12871</v>
      </c>
      <c r="C1912" s="132" t="s">
        <v>118</v>
      </c>
      <c r="D1912" s="132" t="s">
        <v>12872</v>
      </c>
      <c r="E1912" s="132" t="s">
        <v>12873</v>
      </c>
      <c r="F1912" s="132" t="s">
        <v>40</v>
      </c>
      <c r="G1912" s="156" t="s">
        <v>12874</v>
      </c>
      <c r="H1912" s="156" t="s">
        <v>12875</v>
      </c>
      <c r="I1912" s="168" t="s">
        <v>4635</v>
      </c>
      <c r="J1912" s="169" t="s">
        <v>514</v>
      </c>
    </row>
    <row r="1913" spans="1:12">
      <c r="A1913" s="154" t="s">
        <v>20</v>
      </c>
      <c r="B1913" s="155" t="s">
        <v>12876</v>
      </c>
      <c r="C1913" s="132" t="s">
        <v>13</v>
      </c>
      <c r="D1913" s="132" t="s">
        <v>12877</v>
      </c>
      <c r="E1913" s="132" t="s">
        <v>12878</v>
      </c>
      <c r="F1913" s="132" t="s">
        <v>40</v>
      </c>
      <c r="G1913" s="156" t="s">
        <v>12879</v>
      </c>
      <c r="H1913" s="156">
        <v>45299.279861111114</v>
      </c>
      <c r="I1913" s="168" t="s">
        <v>17</v>
      </c>
      <c r="J1913" s="169" t="s">
        <v>514</v>
      </c>
    </row>
    <row r="1914" spans="1:12">
      <c r="A1914" s="154" t="s">
        <v>106</v>
      </c>
      <c r="B1914" s="155" t="s">
        <v>12880</v>
      </c>
      <c r="C1914" s="132" t="s">
        <v>108</v>
      </c>
      <c r="D1914" s="132" t="s">
        <v>12881</v>
      </c>
      <c r="E1914" s="132" t="s">
        <v>12882</v>
      </c>
      <c r="F1914" s="132" t="s">
        <v>40</v>
      </c>
      <c r="G1914" s="156">
        <v>45299.005555555559</v>
      </c>
      <c r="H1914" s="156">
        <v>45299.118750000001</v>
      </c>
      <c r="I1914" s="168" t="s">
        <v>6006</v>
      </c>
      <c r="J1914" s="169" t="s">
        <v>514</v>
      </c>
    </row>
    <row r="1915" spans="1:12">
      <c r="A1915" s="154" t="s">
        <v>106</v>
      </c>
      <c r="B1915" s="155" t="s">
        <v>12883</v>
      </c>
      <c r="C1915" s="132" t="s">
        <v>37</v>
      </c>
      <c r="D1915" s="132" t="s">
        <v>12884</v>
      </c>
      <c r="E1915" s="132" t="s">
        <v>12885</v>
      </c>
      <c r="F1915" s="132" t="s">
        <v>40</v>
      </c>
      <c r="G1915" s="156">
        <v>45299.252083333333</v>
      </c>
      <c r="H1915" s="156">
        <v>45299.258333333331</v>
      </c>
      <c r="I1915" s="168" t="s">
        <v>984</v>
      </c>
      <c r="J1915" s="169" t="s">
        <v>514</v>
      </c>
    </row>
    <row r="1916" spans="1:12">
      <c r="A1916" s="154" t="s">
        <v>95</v>
      </c>
      <c r="B1916" s="155" t="s">
        <v>12886</v>
      </c>
      <c r="C1916" s="132" t="s">
        <v>97</v>
      </c>
      <c r="D1916" s="132" t="s">
        <v>12887</v>
      </c>
      <c r="E1916" s="132" t="s">
        <v>12888</v>
      </c>
      <c r="F1916" s="132" t="s">
        <v>40</v>
      </c>
      <c r="G1916" s="156">
        <v>45299.290972222225</v>
      </c>
      <c r="H1916" s="156">
        <v>45299.296527777777</v>
      </c>
      <c r="I1916" s="168" t="s">
        <v>4635</v>
      </c>
      <c r="J1916" s="169" t="s">
        <v>514</v>
      </c>
    </row>
    <row r="1917" spans="1:12" hidden="1">
      <c r="A1917" s="154" t="s">
        <v>20</v>
      </c>
      <c r="B1917" s="155" t="s">
        <v>12889</v>
      </c>
      <c r="C1917" s="132" t="s">
        <v>13</v>
      </c>
      <c r="D1917" s="132" t="s">
        <v>12890</v>
      </c>
      <c r="E1917" s="132" t="s">
        <v>12891</v>
      </c>
      <c r="F1917" s="132" t="s">
        <v>308</v>
      </c>
      <c r="G1917" s="156">
        <v>45299.279861111114</v>
      </c>
      <c r="H1917" s="156">
        <v>45299.40902777778</v>
      </c>
      <c r="I1917" s="168" t="s">
        <v>17</v>
      </c>
      <c r="J1917" s="169" t="s">
        <v>88</v>
      </c>
    </row>
    <row r="1918" spans="1:12">
      <c r="A1918" s="154" t="s">
        <v>106</v>
      </c>
      <c r="B1918" s="155" t="s">
        <v>12892</v>
      </c>
      <c r="C1918" s="132" t="s">
        <v>108</v>
      </c>
      <c r="D1918" s="132" t="s">
        <v>12893</v>
      </c>
      <c r="E1918" s="132" t="s">
        <v>12894</v>
      </c>
      <c r="F1918" s="132" t="s">
        <v>40</v>
      </c>
      <c r="G1918" s="156">
        <v>45299.287499999999</v>
      </c>
      <c r="H1918" s="156">
        <v>45299.560416666667</v>
      </c>
      <c r="I1918" s="168" t="s">
        <v>12895</v>
      </c>
      <c r="J1918" s="169" t="s">
        <v>88</v>
      </c>
    </row>
    <row r="1919" spans="1:12">
      <c r="A1919" s="154" t="s">
        <v>106</v>
      </c>
      <c r="B1919" s="155" t="s">
        <v>12896</v>
      </c>
      <c r="C1919" s="132" t="s">
        <v>108</v>
      </c>
      <c r="D1919" s="132" t="s">
        <v>12897</v>
      </c>
      <c r="E1919" s="132" t="s">
        <v>12898</v>
      </c>
      <c r="F1919" s="132" t="s">
        <v>40</v>
      </c>
      <c r="G1919" s="156">
        <v>45299.288194444445</v>
      </c>
      <c r="H1919" s="156">
        <v>45330.082638888889</v>
      </c>
      <c r="I1919" s="168" t="s">
        <v>111</v>
      </c>
      <c r="J1919" s="169" t="s">
        <v>88</v>
      </c>
    </row>
    <row r="1920" spans="1:12">
      <c r="A1920" s="154" t="s">
        <v>106</v>
      </c>
      <c r="B1920" s="155" t="s">
        <v>12899</v>
      </c>
      <c r="C1920" s="132" t="s">
        <v>108</v>
      </c>
      <c r="D1920" s="132" t="s">
        <v>12900</v>
      </c>
      <c r="E1920" s="132" t="s">
        <v>12901</v>
      </c>
      <c r="F1920" s="132" t="s">
        <v>40</v>
      </c>
      <c r="G1920" s="156">
        <v>45299.331250000003</v>
      </c>
      <c r="H1920" s="156">
        <v>45299.565972222219</v>
      </c>
      <c r="I1920" s="168" t="s">
        <v>7318</v>
      </c>
      <c r="J1920" s="169" t="s">
        <v>88</v>
      </c>
    </row>
    <row r="1921" spans="1:11">
      <c r="A1921" s="154" t="s">
        <v>106</v>
      </c>
      <c r="B1921" s="155" t="s">
        <v>12902</v>
      </c>
      <c r="C1921" s="132" t="s">
        <v>78</v>
      </c>
      <c r="D1921" s="132" t="s">
        <v>12903</v>
      </c>
      <c r="E1921" s="132" t="s">
        <v>12904</v>
      </c>
      <c r="F1921" s="132" t="s">
        <v>40</v>
      </c>
      <c r="G1921" s="156">
        <v>45299.49722222222</v>
      </c>
      <c r="H1921" s="156">
        <v>45299.570138888892</v>
      </c>
      <c r="I1921" s="168" t="s">
        <v>32</v>
      </c>
      <c r="J1921" s="169" t="s">
        <v>88</v>
      </c>
    </row>
    <row r="1922" spans="1:11" hidden="1">
      <c r="A1922" s="154" t="s">
        <v>95</v>
      </c>
      <c r="B1922" s="155" t="s">
        <v>12905</v>
      </c>
      <c r="C1922" s="132" t="s">
        <v>97</v>
      </c>
      <c r="D1922" s="132" t="s">
        <v>12906</v>
      </c>
      <c r="F1922" s="132" t="s">
        <v>214</v>
      </c>
      <c r="G1922" s="156">
        <v>45299.644444444442</v>
      </c>
      <c r="I1922" s="168" t="s">
        <v>325</v>
      </c>
      <c r="J1922" s="169" t="s">
        <v>88</v>
      </c>
    </row>
    <row r="1923" spans="1:11">
      <c r="A1923" s="154" t="s">
        <v>106</v>
      </c>
      <c r="B1923" s="155" t="s">
        <v>12907</v>
      </c>
      <c r="C1923" s="132" t="s">
        <v>333</v>
      </c>
      <c r="D1923" s="132" t="s">
        <v>12908</v>
      </c>
      <c r="E1923" s="132" t="s">
        <v>12909</v>
      </c>
      <c r="F1923" s="132" t="s">
        <v>40</v>
      </c>
      <c r="G1923" s="156">
        <v>45299.645833333336</v>
      </c>
      <c r="H1923" s="156">
        <v>45330.323611111111</v>
      </c>
      <c r="I1923" s="168" t="s">
        <v>6640</v>
      </c>
      <c r="J1923" s="169" t="s">
        <v>88</v>
      </c>
      <c r="K1923" s="169" t="s">
        <v>514</v>
      </c>
    </row>
    <row r="1924" spans="1:11">
      <c r="A1924" s="154" t="s">
        <v>106</v>
      </c>
      <c r="B1924" s="155" t="s">
        <v>12910</v>
      </c>
      <c r="C1924" s="132" t="s">
        <v>78</v>
      </c>
      <c r="D1924" s="132" t="s">
        <v>12911</v>
      </c>
      <c r="E1924" s="132" t="s">
        <v>12912</v>
      </c>
      <c r="F1924" s="132" t="s">
        <v>40</v>
      </c>
      <c r="G1924" s="156">
        <v>45299.656944444447</v>
      </c>
      <c r="H1924" s="156">
        <v>45299.96875</v>
      </c>
      <c r="I1924" s="168" t="s">
        <v>258</v>
      </c>
      <c r="J1924" s="169" t="s">
        <v>88</v>
      </c>
      <c r="K1924" s="169" t="s">
        <v>514</v>
      </c>
    </row>
    <row r="1925" spans="1:11">
      <c r="A1925" s="154" t="s">
        <v>95</v>
      </c>
      <c r="B1925" s="155" t="s">
        <v>12913</v>
      </c>
      <c r="C1925" s="132" t="s">
        <v>6047</v>
      </c>
      <c r="D1925" s="132" t="s">
        <v>12914</v>
      </c>
      <c r="E1925" s="132" t="s">
        <v>12915</v>
      </c>
      <c r="F1925" s="132" t="s">
        <v>40</v>
      </c>
      <c r="G1925" s="156">
        <v>45299.878472222219</v>
      </c>
      <c r="H1925" s="156">
        <v>45299.978472222225</v>
      </c>
      <c r="I1925" s="168" t="s">
        <v>378</v>
      </c>
      <c r="J1925" s="169" t="s">
        <v>514</v>
      </c>
    </row>
    <row r="1926" spans="1:11">
      <c r="A1926" s="154" t="s">
        <v>106</v>
      </c>
      <c r="B1926" s="155" t="s">
        <v>12916</v>
      </c>
      <c r="C1926" s="132" t="s">
        <v>108</v>
      </c>
      <c r="D1926" s="132" t="s">
        <v>12917</v>
      </c>
      <c r="E1926" s="132" t="s">
        <v>12918</v>
      </c>
      <c r="F1926" s="132" t="s">
        <v>40</v>
      </c>
      <c r="G1926" s="156">
        <v>45299.457638888889</v>
      </c>
      <c r="H1926" s="156">
        <v>45330.074999999997</v>
      </c>
      <c r="I1926" s="168" t="s">
        <v>6006</v>
      </c>
      <c r="J1926" s="169" t="s">
        <v>514</v>
      </c>
    </row>
    <row r="1927" spans="1:11">
      <c r="A1927" s="154" t="s">
        <v>106</v>
      </c>
      <c r="B1927" s="155" t="s">
        <v>12919</v>
      </c>
      <c r="C1927" s="132" t="s">
        <v>108</v>
      </c>
      <c r="D1927" s="132" t="s">
        <v>12920</v>
      </c>
      <c r="E1927" s="132" t="s">
        <v>12921</v>
      </c>
      <c r="F1927" s="132" t="s">
        <v>40</v>
      </c>
      <c r="G1927" s="156">
        <v>45330.261111111111</v>
      </c>
      <c r="H1927" s="156">
        <v>45330.327777777777</v>
      </c>
      <c r="I1927" s="168" t="s">
        <v>6006</v>
      </c>
      <c r="J1927" s="169" t="s">
        <v>514</v>
      </c>
    </row>
    <row r="1928" spans="1:11">
      <c r="A1928" s="154" t="s">
        <v>95</v>
      </c>
      <c r="B1928" s="155" t="s">
        <v>12922</v>
      </c>
      <c r="C1928" s="132" t="s">
        <v>97</v>
      </c>
      <c r="D1928" s="132" t="s">
        <v>12923</v>
      </c>
      <c r="E1928" s="132" t="s">
        <v>12924</v>
      </c>
      <c r="F1928" s="132" t="s">
        <v>40</v>
      </c>
      <c r="G1928" s="156">
        <v>45330.284722222219</v>
      </c>
      <c r="I1928" s="168" t="s">
        <v>325</v>
      </c>
      <c r="J1928" s="169" t="s">
        <v>88</v>
      </c>
    </row>
    <row r="1929" spans="1:11">
      <c r="A1929" s="154" t="s">
        <v>20</v>
      </c>
      <c r="B1929" s="155" t="s">
        <v>12925</v>
      </c>
      <c r="C1929" s="132" t="s">
        <v>13</v>
      </c>
      <c r="D1929" s="132" t="s">
        <v>12926</v>
      </c>
      <c r="E1929" s="132" t="s">
        <v>12927</v>
      </c>
      <c r="F1929" s="132" t="s">
        <v>40</v>
      </c>
      <c r="G1929" s="156">
        <v>45330.286111111112</v>
      </c>
      <c r="I1929" s="168" t="s">
        <v>8015</v>
      </c>
      <c r="J1929" s="169" t="s">
        <v>88</v>
      </c>
    </row>
    <row r="1930" spans="1:11">
      <c r="A1930" s="154" t="s">
        <v>106</v>
      </c>
      <c r="B1930" s="155" t="s">
        <v>12928</v>
      </c>
      <c r="C1930" s="132" t="s">
        <v>108</v>
      </c>
      <c r="D1930" s="132" t="s">
        <v>12929</v>
      </c>
      <c r="E1930" s="132" t="s">
        <v>12930</v>
      </c>
      <c r="F1930" s="132" t="s">
        <v>40</v>
      </c>
      <c r="G1930" s="156">
        <v>45330.286805555559</v>
      </c>
      <c r="H1930" s="156">
        <v>45330.660416666666</v>
      </c>
      <c r="I1930" s="168" t="s">
        <v>3932</v>
      </c>
      <c r="J1930" s="169" t="s">
        <v>88</v>
      </c>
    </row>
    <row r="1931" spans="1:11">
      <c r="A1931" s="154" t="s">
        <v>20</v>
      </c>
      <c r="B1931" s="155" t="s">
        <v>12931</v>
      </c>
      <c r="C1931" s="132" t="s">
        <v>13</v>
      </c>
      <c r="D1931" s="132" t="s">
        <v>12932</v>
      </c>
      <c r="E1931" s="132" t="s">
        <v>12933</v>
      </c>
      <c r="F1931" s="132" t="s">
        <v>40</v>
      </c>
      <c r="G1931" s="156">
        <v>45330.322222222225</v>
      </c>
      <c r="H1931" s="156">
        <v>45359.578472222223</v>
      </c>
      <c r="I1931" s="168" t="s">
        <v>1736</v>
      </c>
      <c r="J1931" s="169" t="s">
        <v>88</v>
      </c>
      <c r="K1931" s="169" t="s">
        <v>514</v>
      </c>
    </row>
    <row r="1932" spans="1:11">
      <c r="A1932" s="154" t="s">
        <v>106</v>
      </c>
      <c r="B1932" s="155" t="s">
        <v>12934</v>
      </c>
      <c r="C1932" s="132" t="s">
        <v>108</v>
      </c>
      <c r="D1932" s="132" t="s">
        <v>12935</v>
      </c>
      <c r="E1932" s="132" t="s">
        <v>12936</v>
      </c>
      <c r="F1932" s="132" t="s">
        <v>40</v>
      </c>
      <c r="G1932" s="156">
        <v>45330.326388888891</v>
      </c>
      <c r="H1932" s="156" t="s">
        <v>12937</v>
      </c>
      <c r="I1932" s="168" t="s">
        <v>3825</v>
      </c>
      <c r="J1932" s="169" t="s">
        <v>88</v>
      </c>
      <c r="K1932" s="169" t="s">
        <v>514</v>
      </c>
    </row>
    <row r="1933" spans="1:11">
      <c r="A1933" s="154" t="s">
        <v>20</v>
      </c>
      <c r="B1933" s="155" t="s">
        <v>12938</v>
      </c>
      <c r="C1933" s="132" t="s">
        <v>13</v>
      </c>
      <c r="D1933" s="132" t="s">
        <v>12939</v>
      </c>
      <c r="E1933" s="132" t="s">
        <v>12940</v>
      </c>
      <c r="F1933" s="132" t="s">
        <v>40</v>
      </c>
      <c r="G1933" s="156">
        <v>45330.456944444442</v>
      </c>
      <c r="H1933" s="156">
        <v>45359.063194444447</v>
      </c>
      <c r="I1933" s="168" t="s">
        <v>17</v>
      </c>
      <c r="J1933" s="169" t="s">
        <v>514</v>
      </c>
    </row>
    <row r="1934" spans="1:11">
      <c r="A1934" s="154" t="s">
        <v>20</v>
      </c>
      <c r="B1934" s="155" t="s">
        <v>12941</v>
      </c>
      <c r="C1934" s="132" t="s">
        <v>13</v>
      </c>
      <c r="D1934" s="132" t="s">
        <v>12942</v>
      </c>
      <c r="E1934" s="132" t="s">
        <v>12943</v>
      </c>
      <c r="F1934" s="132" t="s">
        <v>40</v>
      </c>
      <c r="G1934" s="156">
        <v>45359.006944444445</v>
      </c>
      <c r="H1934" s="156">
        <v>45359.060416666667</v>
      </c>
      <c r="I1934" s="168" t="s">
        <v>17</v>
      </c>
      <c r="J1934" s="169" t="s">
        <v>514</v>
      </c>
    </row>
    <row r="1935" spans="1:11">
      <c r="A1935" s="154" t="s">
        <v>20</v>
      </c>
      <c r="B1935" s="155" t="s">
        <v>12944</v>
      </c>
      <c r="C1935" s="132" t="s">
        <v>13</v>
      </c>
      <c r="D1935" s="132" t="s">
        <v>12945</v>
      </c>
      <c r="E1935" s="132" t="s">
        <v>12946</v>
      </c>
      <c r="F1935" s="132" t="s">
        <v>40</v>
      </c>
      <c r="G1935" s="156">
        <v>45359.027083333334</v>
      </c>
      <c r="H1935" s="156">
        <v>45359.124305555553</v>
      </c>
      <c r="I1935" s="168" t="s">
        <v>1557</v>
      </c>
      <c r="J1935" s="169" t="s">
        <v>514</v>
      </c>
    </row>
    <row r="1936" spans="1:11">
      <c r="A1936" s="154" t="s">
        <v>95</v>
      </c>
      <c r="B1936" s="155" t="s">
        <v>12947</v>
      </c>
      <c r="C1936" s="132" t="s">
        <v>6047</v>
      </c>
      <c r="D1936" s="132" t="s">
        <v>12948</v>
      </c>
      <c r="E1936" s="132" t="s">
        <v>12949</v>
      </c>
      <c r="F1936" s="132" t="s">
        <v>40</v>
      </c>
      <c r="G1936" s="156">
        <v>45359.047222222223</v>
      </c>
      <c r="H1936" s="156">
        <v>45359.126388888886</v>
      </c>
      <c r="I1936" s="168" t="s">
        <v>378</v>
      </c>
      <c r="J1936" s="169" t="s">
        <v>514</v>
      </c>
    </row>
    <row r="1937" spans="1:11">
      <c r="A1937" s="154" t="s">
        <v>20</v>
      </c>
      <c r="B1937" s="155" t="s">
        <v>12950</v>
      </c>
      <c r="C1937" s="132" t="s">
        <v>13</v>
      </c>
      <c r="D1937" s="132" t="s">
        <v>3554</v>
      </c>
      <c r="E1937" s="132" t="s">
        <v>12951</v>
      </c>
      <c r="F1937" s="132" t="s">
        <v>40</v>
      </c>
      <c r="G1937" s="156">
        <v>45359.072222222225</v>
      </c>
      <c r="H1937" s="156">
        <v>45359.126388888886</v>
      </c>
      <c r="I1937" s="168" t="s">
        <v>17</v>
      </c>
      <c r="J1937" s="169" t="s">
        <v>514</v>
      </c>
    </row>
    <row r="1938" spans="1:11">
      <c r="A1938" s="154" t="s">
        <v>106</v>
      </c>
      <c r="B1938" s="155" t="s">
        <v>12952</v>
      </c>
      <c r="C1938" s="132" t="s">
        <v>333</v>
      </c>
      <c r="D1938" s="132" t="s">
        <v>12953</v>
      </c>
      <c r="E1938" s="132" t="s">
        <v>12954</v>
      </c>
      <c r="F1938" s="132" t="s">
        <v>40</v>
      </c>
      <c r="G1938" s="156">
        <v>45359.17291666667</v>
      </c>
      <c r="H1938" s="156">
        <v>45359.318749999999</v>
      </c>
      <c r="I1938" s="168" t="s">
        <v>346</v>
      </c>
      <c r="J1938" s="169" t="s">
        <v>514</v>
      </c>
    </row>
    <row r="1939" spans="1:11">
      <c r="A1939" s="154" t="s">
        <v>106</v>
      </c>
      <c r="B1939" s="155" t="s">
        <v>12955</v>
      </c>
      <c r="C1939" s="132" t="s">
        <v>108</v>
      </c>
      <c r="D1939" s="132" t="s">
        <v>12956</v>
      </c>
      <c r="E1939" s="132" t="s">
        <v>12957</v>
      </c>
      <c r="F1939" s="132" t="s">
        <v>40</v>
      </c>
      <c r="G1939" s="156">
        <v>45359.57916666667</v>
      </c>
      <c r="H1939" s="156">
        <v>45359.704861111109</v>
      </c>
      <c r="I1939" s="168" t="s">
        <v>11808</v>
      </c>
      <c r="J1939" s="169" t="s">
        <v>88</v>
      </c>
    </row>
    <row r="1940" spans="1:11">
      <c r="A1940" s="154" t="s">
        <v>95</v>
      </c>
      <c r="B1940" s="155" t="s">
        <v>12958</v>
      </c>
      <c r="C1940" s="132" t="s">
        <v>97</v>
      </c>
      <c r="D1940" s="132" t="s">
        <v>12959</v>
      </c>
      <c r="E1940" s="132" t="s">
        <v>12960</v>
      </c>
      <c r="F1940" s="132" t="s">
        <v>40</v>
      </c>
      <c r="G1940" s="156">
        <v>45359.827777777777</v>
      </c>
      <c r="H1940" s="156">
        <v>45451.692361111112</v>
      </c>
      <c r="I1940" s="168" t="s">
        <v>2814</v>
      </c>
      <c r="J1940" s="169" t="s">
        <v>88</v>
      </c>
    </row>
    <row r="1941" spans="1:11">
      <c r="A1941" s="154" t="s">
        <v>20</v>
      </c>
      <c r="B1941" s="155" t="s">
        <v>12961</v>
      </c>
      <c r="C1941" s="132" t="s">
        <v>21</v>
      </c>
      <c r="D1941" s="132" t="s">
        <v>12962</v>
      </c>
      <c r="E1941" s="132" t="s">
        <v>12963</v>
      </c>
      <c r="F1941" s="132" t="s">
        <v>40</v>
      </c>
      <c r="G1941" s="156">
        <v>45359.887499999997</v>
      </c>
      <c r="H1941" s="156">
        <v>45390.126388888886</v>
      </c>
      <c r="I1941" s="168" t="s">
        <v>980</v>
      </c>
      <c r="J1941" s="169" t="s">
        <v>514</v>
      </c>
    </row>
    <row r="1942" spans="1:11" ht="29">
      <c r="A1942" s="154" t="s">
        <v>20</v>
      </c>
      <c r="B1942" s="155" t="s">
        <v>12964</v>
      </c>
      <c r="C1942" s="132" t="s">
        <v>49</v>
      </c>
      <c r="D1942" s="132" t="s">
        <v>12965</v>
      </c>
      <c r="E1942" s="137" t="s">
        <v>12966</v>
      </c>
      <c r="F1942" s="132" t="s">
        <v>40</v>
      </c>
      <c r="G1942" s="156" t="s">
        <v>12967</v>
      </c>
      <c r="H1942" s="156">
        <v>45420.688194444447</v>
      </c>
      <c r="I1942" s="168" t="s">
        <v>980</v>
      </c>
      <c r="J1942" s="169" t="s">
        <v>514</v>
      </c>
      <c r="K1942" s="169" t="s">
        <v>88</v>
      </c>
    </row>
    <row r="1943" spans="1:11">
      <c r="A1943" s="154" t="s">
        <v>95</v>
      </c>
      <c r="B1943" s="155" t="s">
        <v>12968</v>
      </c>
      <c r="C1943" s="132" t="s">
        <v>113</v>
      </c>
      <c r="D1943" s="132" t="s">
        <v>12969</v>
      </c>
      <c r="E1943" s="132" t="s">
        <v>12970</v>
      </c>
      <c r="F1943" s="132" t="s">
        <v>40</v>
      </c>
      <c r="G1943" s="156">
        <v>45390.26666666667</v>
      </c>
      <c r="H1943" s="156">
        <v>45390.295138888891</v>
      </c>
      <c r="I1943" s="168" t="s">
        <v>4907</v>
      </c>
      <c r="J1943" s="169" t="s">
        <v>88</v>
      </c>
    </row>
    <row r="1944" spans="1:11">
      <c r="A1944" s="154" t="s">
        <v>20</v>
      </c>
      <c r="B1944" s="155" t="s">
        <v>12971</v>
      </c>
      <c r="C1944" s="132" t="s">
        <v>13</v>
      </c>
      <c r="D1944" s="132" t="s">
        <v>12972</v>
      </c>
      <c r="E1944" s="132" t="s">
        <v>12973</v>
      </c>
      <c r="F1944" s="132" t="s">
        <v>40</v>
      </c>
      <c r="G1944" s="156">
        <v>45390.379166666666</v>
      </c>
      <c r="H1944" s="156">
        <v>45390.524305555555</v>
      </c>
      <c r="I1944" s="168" t="s">
        <v>17</v>
      </c>
      <c r="J1944" s="169" t="s">
        <v>88</v>
      </c>
    </row>
    <row r="1945" spans="1:11">
      <c r="A1945" s="154" t="s">
        <v>95</v>
      </c>
      <c r="B1945" s="155" t="s">
        <v>12974</v>
      </c>
      <c r="C1945" s="132" t="s">
        <v>97</v>
      </c>
      <c r="D1945" s="132" t="s">
        <v>12975</v>
      </c>
      <c r="E1945" s="132" t="s">
        <v>12976</v>
      </c>
      <c r="F1945" s="132" t="s">
        <v>40</v>
      </c>
      <c r="G1945" s="156">
        <v>45390.382638888892</v>
      </c>
      <c r="H1945" s="156">
        <v>45390.408333333333</v>
      </c>
      <c r="I1945" s="168" t="s">
        <v>325</v>
      </c>
      <c r="J1945" s="169" t="s">
        <v>88</v>
      </c>
    </row>
    <row r="1946" spans="1:11">
      <c r="A1946" s="154" t="s">
        <v>20</v>
      </c>
      <c r="B1946" s="155" t="s">
        <v>12977</v>
      </c>
      <c r="C1946" s="132" t="s">
        <v>13</v>
      </c>
      <c r="D1946" s="132" t="s">
        <v>12978</v>
      </c>
      <c r="E1946" s="132" t="s">
        <v>12979</v>
      </c>
      <c r="F1946" s="132" t="s">
        <v>40</v>
      </c>
      <c r="G1946" s="156">
        <v>45390.693749999999</v>
      </c>
      <c r="H1946" s="156">
        <v>45420.501388888886</v>
      </c>
      <c r="I1946" s="168" t="s">
        <v>187</v>
      </c>
      <c r="J1946" s="169" t="s">
        <v>88</v>
      </c>
    </row>
    <row r="1947" spans="1:11">
      <c r="A1947" s="154" t="s">
        <v>95</v>
      </c>
      <c r="B1947" s="155" t="s">
        <v>12980</v>
      </c>
      <c r="C1947" s="132" t="s">
        <v>118</v>
      </c>
      <c r="D1947" s="132" t="s">
        <v>12981</v>
      </c>
      <c r="E1947" s="132" t="s">
        <v>12982</v>
      </c>
      <c r="F1947" s="132" t="s">
        <v>40</v>
      </c>
      <c r="G1947" s="156">
        <v>45390.992361111108</v>
      </c>
      <c r="H1947" s="156">
        <v>45420.241666666669</v>
      </c>
      <c r="I1947" s="168" t="s">
        <v>4635</v>
      </c>
      <c r="J1947" s="169" t="s">
        <v>514</v>
      </c>
    </row>
    <row r="1948" spans="1:11">
      <c r="A1948" s="154" t="s">
        <v>106</v>
      </c>
      <c r="B1948" s="155" t="s">
        <v>12983</v>
      </c>
      <c r="C1948" s="132" t="s">
        <v>333</v>
      </c>
      <c r="D1948" s="132" t="s">
        <v>12984</v>
      </c>
      <c r="E1948" s="132" t="s">
        <v>12985</v>
      </c>
      <c r="F1948" s="132" t="s">
        <v>40</v>
      </c>
      <c r="G1948" s="156">
        <v>45420.078472222223</v>
      </c>
      <c r="H1948" s="156">
        <v>45512.444444444445</v>
      </c>
      <c r="I1948" s="168" t="s">
        <v>346</v>
      </c>
      <c r="J1948" s="169" t="s">
        <v>514</v>
      </c>
    </row>
    <row r="1949" spans="1:11">
      <c r="A1949" s="154" t="s">
        <v>106</v>
      </c>
      <c r="B1949" s="155" t="s">
        <v>12986</v>
      </c>
      <c r="C1949" s="132" t="s">
        <v>108</v>
      </c>
      <c r="D1949" s="132" t="s">
        <v>12987</v>
      </c>
      <c r="E1949" s="132" t="s">
        <v>12988</v>
      </c>
      <c r="F1949" s="132" t="s">
        <v>40</v>
      </c>
      <c r="G1949" s="156">
        <v>45420.098611111112</v>
      </c>
      <c r="H1949" s="156">
        <v>45420.282638888886</v>
      </c>
      <c r="I1949" s="168" t="s">
        <v>6006</v>
      </c>
      <c r="J1949" s="169" t="s">
        <v>514</v>
      </c>
    </row>
    <row r="1950" spans="1:11">
      <c r="A1950" s="154" t="s">
        <v>106</v>
      </c>
      <c r="B1950" s="155" t="s">
        <v>12989</v>
      </c>
      <c r="C1950" s="132" t="s">
        <v>333</v>
      </c>
      <c r="D1950" s="132" t="s">
        <v>12990</v>
      </c>
      <c r="E1950" s="132" t="s">
        <v>12991</v>
      </c>
      <c r="F1950" s="132" t="s">
        <v>40</v>
      </c>
      <c r="G1950" s="156">
        <v>45420.223611111112</v>
      </c>
      <c r="H1950" s="156">
        <v>45420.282638888886</v>
      </c>
      <c r="I1950" s="168" t="s">
        <v>346</v>
      </c>
      <c r="J1950" s="169" t="s">
        <v>514</v>
      </c>
    </row>
    <row r="1951" spans="1:11">
      <c r="A1951" s="154" t="s">
        <v>95</v>
      </c>
      <c r="B1951" s="155" t="s">
        <v>12992</v>
      </c>
      <c r="C1951" s="132" t="s">
        <v>28</v>
      </c>
      <c r="D1951" s="132" t="s">
        <v>12993</v>
      </c>
      <c r="E1951" s="132" t="s">
        <v>12994</v>
      </c>
      <c r="F1951" s="132" t="s">
        <v>40</v>
      </c>
      <c r="G1951" s="156">
        <v>45420.5</v>
      </c>
      <c r="H1951" s="156">
        <v>45420.685416666667</v>
      </c>
      <c r="I1951" s="168" t="s">
        <v>11860</v>
      </c>
      <c r="J1951" s="169" t="s">
        <v>88</v>
      </c>
    </row>
    <row r="1952" spans="1:11">
      <c r="A1952" s="154" t="s">
        <v>106</v>
      </c>
      <c r="B1952" s="155" t="s">
        <v>12995</v>
      </c>
      <c r="C1952" s="132" t="s">
        <v>108</v>
      </c>
      <c r="D1952" s="132" t="s">
        <v>12996</v>
      </c>
      <c r="E1952" s="132" t="s">
        <v>12997</v>
      </c>
      <c r="F1952" s="132" t="s">
        <v>40</v>
      </c>
      <c r="G1952" s="156">
        <v>45420.393055555556</v>
      </c>
      <c r="H1952" s="156">
        <v>45451.039583333331</v>
      </c>
      <c r="I1952" s="168" t="s">
        <v>6006</v>
      </c>
      <c r="J1952" s="169" t="s">
        <v>514</v>
      </c>
    </row>
    <row r="1953" spans="1:12">
      <c r="A1953" s="154" t="s">
        <v>95</v>
      </c>
      <c r="B1953" s="155" t="s">
        <v>12998</v>
      </c>
      <c r="C1953" s="132" t="s">
        <v>6047</v>
      </c>
      <c r="D1953" s="132" t="s">
        <v>12999</v>
      </c>
      <c r="E1953" s="132" t="s">
        <v>13000</v>
      </c>
      <c r="F1953" s="132" t="s">
        <v>40</v>
      </c>
      <c r="G1953" s="156">
        <v>45420.438194444447</v>
      </c>
      <c r="H1953" s="156">
        <v>45451.425694444442</v>
      </c>
      <c r="I1953" s="168" t="s">
        <v>378</v>
      </c>
      <c r="J1953" s="169" t="s">
        <v>514</v>
      </c>
      <c r="K1953" s="169" t="s">
        <v>88</v>
      </c>
    </row>
    <row r="1954" spans="1:12">
      <c r="A1954" s="154" t="s">
        <v>20</v>
      </c>
      <c r="B1954" s="155" t="s">
        <v>13001</v>
      </c>
      <c r="C1954" s="132" t="s">
        <v>13</v>
      </c>
      <c r="D1954" s="132" t="s">
        <v>13002</v>
      </c>
      <c r="E1954" s="132" t="s">
        <v>13003</v>
      </c>
      <c r="F1954" s="132" t="s">
        <v>40</v>
      </c>
      <c r="G1954" s="156">
        <v>45420.481249999997</v>
      </c>
      <c r="H1954" s="156">
        <v>45420.257638888892</v>
      </c>
      <c r="I1954" s="168" t="s">
        <v>17</v>
      </c>
      <c r="J1954" s="169" t="s">
        <v>514</v>
      </c>
    </row>
    <row r="1955" spans="1:12">
      <c r="A1955" s="154" t="s">
        <v>106</v>
      </c>
      <c r="B1955" s="155" t="s">
        <v>13004</v>
      </c>
      <c r="C1955" s="132" t="s">
        <v>37</v>
      </c>
      <c r="D1955" s="132" t="s">
        <v>13005</v>
      </c>
      <c r="E1955" s="132" t="s">
        <v>13006</v>
      </c>
      <c r="F1955" s="132" t="s">
        <v>40</v>
      </c>
      <c r="G1955" s="156">
        <v>45451.150694444441</v>
      </c>
      <c r="H1955" s="156">
        <v>45451.251388888886</v>
      </c>
      <c r="I1955" s="168" t="s">
        <v>984</v>
      </c>
      <c r="J1955" s="169" t="s">
        <v>514</v>
      </c>
    </row>
    <row r="1956" spans="1:12">
      <c r="A1956" s="154" t="s">
        <v>106</v>
      </c>
      <c r="B1956" s="155" t="s">
        <v>13007</v>
      </c>
      <c r="C1956" s="132" t="s">
        <v>78</v>
      </c>
      <c r="D1956" s="132" t="s">
        <v>13008</v>
      </c>
      <c r="E1956" s="132" t="s">
        <v>13009</v>
      </c>
      <c r="F1956" s="132" t="s">
        <v>40</v>
      </c>
      <c r="G1956" s="156">
        <v>45451.426388888889</v>
      </c>
      <c r="H1956" s="156">
        <v>45451.603472222225</v>
      </c>
      <c r="I1956" s="168" t="s">
        <v>258</v>
      </c>
      <c r="J1956" s="169" t="s">
        <v>88</v>
      </c>
    </row>
    <row r="1957" spans="1:12">
      <c r="A1957" s="154" t="s">
        <v>106</v>
      </c>
      <c r="B1957" s="155" t="s">
        <v>13010</v>
      </c>
      <c r="C1957" s="132" t="s">
        <v>108</v>
      </c>
      <c r="D1957" s="132" t="s">
        <v>13011</v>
      </c>
      <c r="E1957" s="132" t="s">
        <v>13012</v>
      </c>
      <c r="F1957" s="132" t="s">
        <v>40</v>
      </c>
      <c r="G1957" s="156">
        <v>45481.109027777777</v>
      </c>
      <c r="H1957" s="156">
        <v>45481.161111111112</v>
      </c>
      <c r="I1957" s="168" t="s">
        <v>6006</v>
      </c>
      <c r="J1957" s="169" t="s">
        <v>514</v>
      </c>
    </row>
    <row r="1958" spans="1:12">
      <c r="A1958" s="154" t="s">
        <v>95</v>
      </c>
      <c r="B1958" s="155" t="s">
        <v>13013</v>
      </c>
      <c r="C1958" s="132" t="s">
        <v>6047</v>
      </c>
      <c r="D1958" s="132" t="s">
        <v>13014</v>
      </c>
      <c r="E1958" s="132" t="s">
        <v>13015</v>
      </c>
      <c r="F1958" s="132" t="s">
        <v>40</v>
      </c>
      <c r="G1958" s="156">
        <v>45481.129861111112</v>
      </c>
      <c r="H1958" s="156">
        <v>45481.274305555555</v>
      </c>
      <c r="I1958" s="168" t="s">
        <v>378</v>
      </c>
      <c r="J1958" s="169" t="s">
        <v>514</v>
      </c>
    </row>
    <row r="1959" spans="1:12">
      <c r="A1959" s="154" t="s">
        <v>106</v>
      </c>
      <c r="B1959" s="155" t="s">
        <v>13016</v>
      </c>
      <c r="C1959" s="132" t="s">
        <v>108</v>
      </c>
      <c r="D1959" s="132" t="s">
        <v>13017</v>
      </c>
      <c r="E1959" s="143" t="s">
        <v>13018</v>
      </c>
      <c r="F1959" s="132" t="s">
        <v>40</v>
      </c>
      <c r="G1959" s="156">
        <v>45481.445138888892</v>
      </c>
      <c r="H1959" s="156">
        <v>45481.476388888892</v>
      </c>
      <c r="I1959" s="168" t="s">
        <v>1651</v>
      </c>
      <c r="J1959" s="169" t="s">
        <v>9367</v>
      </c>
    </row>
    <row r="1960" spans="1:12" hidden="1">
      <c r="A1960" s="154" t="s">
        <v>106</v>
      </c>
      <c r="B1960" s="155" t="s">
        <v>13019</v>
      </c>
      <c r="C1960" s="132" t="s">
        <v>78</v>
      </c>
      <c r="D1960" s="132" t="s">
        <v>13020</v>
      </c>
      <c r="E1960" s="143" t="s">
        <v>13021</v>
      </c>
      <c r="F1960" s="132" t="s">
        <v>308</v>
      </c>
      <c r="G1960" s="156">
        <v>45481.651388888888</v>
      </c>
      <c r="H1960" s="156">
        <v>45481.75</v>
      </c>
      <c r="I1960" s="168" t="s">
        <v>258</v>
      </c>
      <c r="J1960" s="169" t="s">
        <v>9367</v>
      </c>
    </row>
    <row r="1961" spans="1:12">
      <c r="A1961" s="154" t="s">
        <v>106</v>
      </c>
      <c r="B1961" s="155" t="s">
        <v>13022</v>
      </c>
      <c r="C1961" s="132" t="s">
        <v>333</v>
      </c>
      <c r="D1961" s="132" t="s">
        <v>13023</v>
      </c>
      <c r="E1961" s="143" t="s">
        <v>13024</v>
      </c>
      <c r="F1961" s="132" t="s">
        <v>40</v>
      </c>
      <c r="G1961" s="156">
        <v>45481.38958333333</v>
      </c>
      <c r="H1961" s="156">
        <v>45481.467361111114</v>
      </c>
      <c r="I1961" s="168" t="s">
        <v>41</v>
      </c>
      <c r="J1961" s="169" t="s">
        <v>9367</v>
      </c>
    </row>
    <row r="1962" spans="1:12">
      <c r="A1962" s="154" t="s">
        <v>20</v>
      </c>
      <c r="B1962" s="155" t="s">
        <v>13025</v>
      </c>
      <c r="C1962" s="132" t="s">
        <v>49</v>
      </c>
      <c r="D1962" s="132" t="s">
        <v>13026</v>
      </c>
      <c r="E1962" s="143" t="s">
        <v>13027</v>
      </c>
      <c r="F1962" s="132" t="s">
        <v>40</v>
      </c>
      <c r="G1962" s="156">
        <v>45481.833333333336</v>
      </c>
      <c r="H1962" s="156">
        <v>45512.681944444441</v>
      </c>
      <c r="I1962" s="168" t="s">
        <v>32</v>
      </c>
      <c r="J1962" s="169" t="s">
        <v>72</v>
      </c>
      <c r="K1962" s="169" t="s">
        <v>9367</v>
      </c>
      <c r="L1962" s="185">
        <v>45512</v>
      </c>
    </row>
    <row r="1963" spans="1:12">
      <c r="A1963" s="154" t="s">
        <v>20</v>
      </c>
      <c r="B1963" s="155" t="s">
        <v>13028</v>
      </c>
      <c r="C1963" s="132" t="s">
        <v>21</v>
      </c>
      <c r="D1963" s="132" t="s">
        <v>13029</v>
      </c>
      <c r="E1963" s="132" t="s">
        <v>13030</v>
      </c>
      <c r="F1963" s="132" t="s">
        <v>40</v>
      </c>
      <c r="G1963" s="156">
        <v>45481.94027777778</v>
      </c>
      <c r="H1963" s="156">
        <v>45481.977083333331</v>
      </c>
      <c r="I1963" s="168" t="s">
        <v>52</v>
      </c>
      <c r="J1963" s="169" t="s">
        <v>72</v>
      </c>
    </row>
    <row r="1964" spans="1:12">
      <c r="A1964" s="154" t="s">
        <v>20</v>
      </c>
      <c r="B1964" s="155" t="s">
        <v>13031</v>
      </c>
      <c r="C1964" s="132" t="s">
        <v>21</v>
      </c>
      <c r="D1964" s="132" t="s">
        <v>13032</v>
      </c>
      <c r="E1964" s="132" t="s">
        <v>13033</v>
      </c>
      <c r="F1964" s="132" t="s">
        <v>40</v>
      </c>
      <c r="G1964" s="156">
        <v>45481.944444444445</v>
      </c>
      <c r="H1964" s="156">
        <v>45481.98333333333</v>
      </c>
      <c r="I1964" s="168" t="s">
        <v>52</v>
      </c>
      <c r="J1964" s="169" t="s">
        <v>72</v>
      </c>
    </row>
    <row r="1965" spans="1:12">
      <c r="A1965" s="154" t="s">
        <v>20</v>
      </c>
      <c r="B1965" s="155" t="s">
        <v>13034</v>
      </c>
      <c r="C1965" s="132" t="s">
        <v>21</v>
      </c>
      <c r="D1965" s="132" t="s">
        <v>13035</v>
      </c>
      <c r="E1965" s="132" t="s">
        <v>13036</v>
      </c>
      <c r="F1965" s="132" t="s">
        <v>40</v>
      </c>
      <c r="G1965" s="156">
        <v>45481.967361111114</v>
      </c>
      <c r="H1965" s="156">
        <v>45512.306250000001</v>
      </c>
      <c r="I1965" s="168" t="s">
        <v>52</v>
      </c>
      <c r="J1965" s="169" t="s">
        <v>72</v>
      </c>
    </row>
    <row r="1966" spans="1:12">
      <c r="A1966" s="154" t="s">
        <v>106</v>
      </c>
      <c r="B1966" s="155" t="s">
        <v>13037</v>
      </c>
      <c r="C1966" s="132" t="s">
        <v>108</v>
      </c>
      <c r="D1966" s="132" t="s">
        <v>13038</v>
      </c>
      <c r="E1966" s="132" t="s">
        <v>13039</v>
      </c>
      <c r="F1966" s="132" t="s">
        <v>40</v>
      </c>
      <c r="G1966" s="156">
        <v>45512.015277777777</v>
      </c>
      <c r="H1966" s="156">
        <v>45512.032638888886</v>
      </c>
      <c r="I1966" s="168" t="s">
        <v>3041</v>
      </c>
      <c r="J1966" s="169" t="s">
        <v>72</v>
      </c>
    </row>
    <row r="1967" spans="1:12">
      <c r="A1967" s="154" t="s">
        <v>20</v>
      </c>
      <c r="B1967" s="155" t="s">
        <v>13040</v>
      </c>
      <c r="C1967" s="132" t="s">
        <v>21</v>
      </c>
      <c r="D1967" s="132" t="s">
        <v>13041</v>
      </c>
      <c r="E1967" s="132" t="s">
        <v>13042</v>
      </c>
      <c r="F1967" s="132" t="s">
        <v>40</v>
      </c>
      <c r="G1967" s="156">
        <v>45512.043055555558</v>
      </c>
      <c r="H1967" s="156">
        <v>45512.053472222222</v>
      </c>
      <c r="I1967" s="168" t="s">
        <v>52</v>
      </c>
      <c r="J1967" s="169" t="s">
        <v>72</v>
      </c>
    </row>
    <row r="1968" spans="1:12">
      <c r="A1968" s="154" t="s">
        <v>20</v>
      </c>
      <c r="B1968" s="155" t="s">
        <v>13043</v>
      </c>
      <c r="C1968" s="132" t="s">
        <v>13</v>
      </c>
      <c r="D1968" s="132" t="s">
        <v>13044</v>
      </c>
      <c r="E1968" s="143" t="s">
        <v>13045</v>
      </c>
      <c r="F1968" s="132" t="s">
        <v>40</v>
      </c>
      <c r="G1968" s="156">
        <v>45512.344444444447</v>
      </c>
      <c r="H1968" s="156">
        <v>45512.362500000003</v>
      </c>
      <c r="I1968" s="168" t="s">
        <v>17</v>
      </c>
      <c r="J1968" s="169" t="s">
        <v>9367</v>
      </c>
    </row>
    <row r="1969" spans="1:10" hidden="1">
      <c r="A1969" s="154" t="s">
        <v>106</v>
      </c>
      <c r="B1969" s="155" t="s">
        <v>13046</v>
      </c>
      <c r="C1969" s="132" t="s">
        <v>37</v>
      </c>
      <c r="D1969" s="132" t="s">
        <v>13047</v>
      </c>
      <c r="E1969" s="143" t="s">
        <v>13048</v>
      </c>
      <c r="F1969" s="132" t="s">
        <v>308</v>
      </c>
      <c r="G1969" s="156">
        <v>45512.367361111108</v>
      </c>
      <c r="H1969" s="156">
        <v>45515.68472222222</v>
      </c>
      <c r="I1969" s="168" t="s">
        <v>13049</v>
      </c>
      <c r="J1969" s="169" t="s">
        <v>9367</v>
      </c>
    </row>
    <row r="1970" spans="1:10" hidden="1">
      <c r="A1970" s="154" t="s">
        <v>20</v>
      </c>
      <c r="B1970" s="155" t="s">
        <v>13050</v>
      </c>
      <c r="C1970" s="132" t="s">
        <v>49</v>
      </c>
      <c r="D1970" s="132" t="s">
        <v>13051</v>
      </c>
      <c r="E1970" s="142" t="s">
        <v>13052</v>
      </c>
      <c r="F1970" s="132" t="s">
        <v>308</v>
      </c>
      <c r="G1970" s="156">
        <v>45512.76666666667</v>
      </c>
      <c r="H1970" s="156">
        <v>45513.696527777778</v>
      </c>
      <c r="I1970" s="168" t="s">
        <v>2220</v>
      </c>
      <c r="J1970" s="169" t="s">
        <v>9367</v>
      </c>
    </row>
    <row r="1971" spans="1:10">
      <c r="A1971" s="154" t="s">
        <v>20</v>
      </c>
      <c r="B1971" s="155" t="s">
        <v>13053</v>
      </c>
      <c r="C1971" s="132" t="s">
        <v>21</v>
      </c>
      <c r="D1971" s="132" t="s">
        <v>13054</v>
      </c>
      <c r="E1971" s="132" t="s">
        <v>13055</v>
      </c>
      <c r="F1971" s="132" t="s">
        <v>40</v>
      </c>
      <c r="G1971" s="156">
        <v>45512.890277777777</v>
      </c>
      <c r="H1971" s="156">
        <v>45512.90902777778</v>
      </c>
      <c r="I1971" s="168" t="s">
        <v>52</v>
      </c>
      <c r="J1971" s="169" t="s">
        <v>72</v>
      </c>
    </row>
    <row r="1972" spans="1:10">
      <c r="A1972" s="154" t="s">
        <v>95</v>
      </c>
      <c r="B1972" s="155" t="s">
        <v>13056</v>
      </c>
      <c r="C1972" s="132" t="s">
        <v>6047</v>
      </c>
      <c r="D1972" s="132" t="s">
        <v>13057</v>
      </c>
      <c r="E1972" s="132" t="s">
        <v>13058</v>
      </c>
      <c r="F1972" s="132" t="s">
        <v>40</v>
      </c>
      <c r="G1972" s="156">
        <v>45512.969444444447</v>
      </c>
      <c r="H1972" s="156">
        <v>45512.969444444447</v>
      </c>
      <c r="I1972" s="168" t="s">
        <v>13059</v>
      </c>
      <c r="J1972" s="169" t="s">
        <v>72</v>
      </c>
    </row>
    <row r="1973" spans="1:10">
      <c r="A1973" s="154" t="s">
        <v>95</v>
      </c>
      <c r="B1973" s="155" t="s">
        <v>13060</v>
      </c>
      <c r="C1973" s="132" t="s">
        <v>6047</v>
      </c>
      <c r="D1973" s="132" t="s">
        <v>13061</v>
      </c>
      <c r="E1973" s="132" t="s">
        <v>13062</v>
      </c>
      <c r="F1973" s="132" t="s">
        <v>40</v>
      </c>
      <c r="G1973" s="156">
        <v>45512.109722222223</v>
      </c>
      <c r="H1973" s="156">
        <v>45543.120138888888</v>
      </c>
      <c r="I1973" s="168" t="s">
        <v>7881</v>
      </c>
      <c r="J1973" s="169" t="s">
        <v>72</v>
      </c>
    </row>
    <row r="1974" spans="1:10">
      <c r="A1974" s="154" t="s">
        <v>106</v>
      </c>
      <c r="B1974" s="155" t="s">
        <v>13063</v>
      </c>
      <c r="C1974" s="132" t="s">
        <v>37</v>
      </c>
      <c r="D1974" s="132" t="s">
        <v>12732</v>
      </c>
      <c r="E1974" s="132" t="s">
        <v>13064</v>
      </c>
      <c r="F1974" s="132" t="s">
        <v>40</v>
      </c>
      <c r="G1974" s="156">
        <v>45513.63958333333</v>
      </c>
      <c r="H1974" s="156">
        <v>45514.378472222219</v>
      </c>
      <c r="I1974" s="168" t="s">
        <v>32</v>
      </c>
      <c r="J1974" s="169" t="s">
        <v>9367</v>
      </c>
    </row>
    <row r="1975" spans="1:10" ht="43.5">
      <c r="A1975" s="154" t="s">
        <v>106</v>
      </c>
      <c r="B1975" s="155" t="s">
        <v>13065</v>
      </c>
      <c r="C1975" s="132" t="s">
        <v>37</v>
      </c>
      <c r="D1975" s="132" t="s">
        <v>13066</v>
      </c>
      <c r="E1975" s="137" t="s">
        <v>13067</v>
      </c>
      <c r="F1975" s="132" t="s">
        <v>40</v>
      </c>
      <c r="G1975" s="156">
        <v>45513.731249999997</v>
      </c>
      <c r="H1975" s="156">
        <v>45515.731249999997</v>
      </c>
      <c r="I1975" s="168" t="s">
        <v>13068</v>
      </c>
      <c r="J1975" s="169" t="s">
        <v>9367</v>
      </c>
    </row>
    <row r="1976" spans="1:10">
      <c r="A1976" s="154" t="s">
        <v>20</v>
      </c>
      <c r="B1976" s="155" t="s">
        <v>13069</v>
      </c>
      <c r="C1976" s="132" t="s">
        <v>13</v>
      </c>
      <c r="D1976" s="132" t="s">
        <v>13070</v>
      </c>
      <c r="E1976" s="132" t="s">
        <v>13071</v>
      </c>
      <c r="F1976" s="132" t="s">
        <v>40</v>
      </c>
      <c r="G1976" s="156">
        <v>45513.731249999997</v>
      </c>
      <c r="H1976" s="156">
        <v>45513.742361111108</v>
      </c>
      <c r="I1976" s="168" t="s">
        <v>11612</v>
      </c>
      <c r="J1976" s="169" t="s">
        <v>9367</v>
      </c>
    </row>
    <row r="1977" spans="1:10">
      <c r="A1977" s="154" t="s">
        <v>20</v>
      </c>
      <c r="B1977" s="155" t="s">
        <v>13072</v>
      </c>
      <c r="C1977" s="132" t="s">
        <v>13</v>
      </c>
      <c r="D1977" s="132" t="s">
        <v>13073</v>
      </c>
      <c r="E1977" s="132" t="s">
        <v>13074</v>
      </c>
      <c r="F1977" s="132" t="s">
        <v>40</v>
      </c>
      <c r="G1977" s="156">
        <v>45513.757638888892</v>
      </c>
      <c r="H1977" s="156">
        <v>45513.785416666666</v>
      </c>
      <c r="I1977" s="168" t="s">
        <v>11612</v>
      </c>
      <c r="J1977" s="169" t="s">
        <v>9367</v>
      </c>
    </row>
    <row r="1978" spans="1:10" ht="72.5">
      <c r="A1978" s="154" t="s">
        <v>95</v>
      </c>
      <c r="B1978" s="155" t="s">
        <v>13075</v>
      </c>
      <c r="C1978" s="132" t="s">
        <v>6047</v>
      </c>
      <c r="D1978" s="132" t="s">
        <v>13076</v>
      </c>
      <c r="E1978" s="137" t="s">
        <v>13077</v>
      </c>
      <c r="F1978" s="132" t="s">
        <v>40</v>
      </c>
      <c r="G1978" s="156">
        <v>45512.862500000003</v>
      </c>
      <c r="H1978" s="156">
        <v>45544.258333333331</v>
      </c>
      <c r="I1978" s="168" t="s">
        <v>13059</v>
      </c>
      <c r="J1978" s="169" t="s">
        <v>72</v>
      </c>
    </row>
    <row r="1979" spans="1:10">
      <c r="A1979" s="154" t="s">
        <v>20</v>
      </c>
      <c r="B1979" s="155" t="s">
        <v>13078</v>
      </c>
      <c r="C1979" s="132" t="s">
        <v>21</v>
      </c>
      <c r="D1979" s="132" t="s">
        <v>13079</v>
      </c>
      <c r="E1979" s="132" t="s">
        <v>13080</v>
      </c>
      <c r="F1979" s="132" t="s">
        <v>40</v>
      </c>
      <c r="G1979" s="156">
        <v>45512.98541666667</v>
      </c>
      <c r="H1979" s="156">
        <v>45544.038194444445</v>
      </c>
      <c r="I1979" s="168" t="s">
        <v>52</v>
      </c>
      <c r="J1979" s="169" t="s">
        <v>72</v>
      </c>
    </row>
    <row r="1980" spans="1:10">
      <c r="A1980" s="154" t="s">
        <v>20</v>
      </c>
      <c r="B1980" s="155" t="s">
        <v>13081</v>
      </c>
      <c r="C1980" s="132" t="s">
        <v>21</v>
      </c>
      <c r="D1980" s="132" t="s">
        <v>9682</v>
      </c>
      <c r="E1980" s="132" t="s">
        <v>13082</v>
      </c>
      <c r="F1980" s="132" t="s">
        <v>40</v>
      </c>
      <c r="G1980" s="156">
        <v>45513.01666666667</v>
      </c>
      <c r="H1980" s="156">
        <v>45544.036111111112</v>
      </c>
      <c r="I1980" s="168" t="s">
        <v>52</v>
      </c>
      <c r="J1980" s="169" t="s">
        <v>72</v>
      </c>
    </row>
    <row r="1981" spans="1:10">
      <c r="A1981" s="154" t="s">
        <v>20</v>
      </c>
      <c r="B1981" s="155" t="s">
        <v>13083</v>
      </c>
      <c r="C1981" s="132" t="s">
        <v>49</v>
      </c>
      <c r="D1981" s="132" t="s">
        <v>13084</v>
      </c>
      <c r="E1981" s="132" t="s">
        <v>13085</v>
      </c>
      <c r="F1981" s="132" t="s">
        <v>40</v>
      </c>
      <c r="G1981" s="156">
        <v>45513.020138888889</v>
      </c>
      <c r="I1981" s="168" t="s">
        <v>7881</v>
      </c>
      <c r="J1981" s="169" t="s">
        <v>72</v>
      </c>
    </row>
    <row r="1982" spans="1:10">
      <c r="A1982" s="154" t="s">
        <v>95</v>
      </c>
      <c r="B1982" s="155" t="s">
        <v>13086</v>
      </c>
      <c r="C1982" s="132" t="s">
        <v>6047</v>
      </c>
      <c r="D1982" s="132" t="s">
        <v>13087</v>
      </c>
      <c r="E1982" s="132" t="s">
        <v>13088</v>
      </c>
      <c r="F1982" s="132" t="s">
        <v>40</v>
      </c>
      <c r="G1982" s="156">
        <v>45513.274305555555</v>
      </c>
      <c r="H1982" s="156">
        <v>45544.279166666667</v>
      </c>
      <c r="I1982" s="168" t="s">
        <v>13059</v>
      </c>
      <c r="J1982" s="169" t="s">
        <v>72</v>
      </c>
    </row>
    <row r="1983" spans="1:10" hidden="1">
      <c r="A1983" s="154" t="s">
        <v>20</v>
      </c>
      <c r="B1983" s="155" t="s">
        <v>13089</v>
      </c>
      <c r="C1983" s="132" t="s">
        <v>21</v>
      </c>
      <c r="D1983" s="143" t="s">
        <v>13090</v>
      </c>
      <c r="E1983" s="132" t="s">
        <v>13091</v>
      </c>
      <c r="F1983" s="132" t="s">
        <v>214</v>
      </c>
      <c r="G1983" s="156">
        <v>45514.411111111112</v>
      </c>
      <c r="H1983" s="156">
        <v>45520.73541666667</v>
      </c>
      <c r="I1983" s="168" t="s">
        <v>980</v>
      </c>
      <c r="J1983" s="169" t="s">
        <v>9367</v>
      </c>
    </row>
    <row r="1984" spans="1:10">
      <c r="A1984" s="154" t="s">
        <v>20</v>
      </c>
      <c r="B1984" s="155" t="s">
        <v>13092</v>
      </c>
      <c r="C1984" s="132" t="s">
        <v>13</v>
      </c>
      <c r="D1984" s="143" t="s">
        <v>13093</v>
      </c>
      <c r="E1984" s="143" t="s">
        <v>13094</v>
      </c>
      <c r="F1984" s="132" t="s">
        <v>40</v>
      </c>
      <c r="G1984" s="156">
        <v>45514.422222222223</v>
      </c>
      <c r="H1984" s="156">
        <v>45514.504861111112</v>
      </c>
      <c r="I1984" s="168" t="s">
        <v>11612</v>
      </c>
      <c r="J1984" s="169" t="s">
        <v>9367</v>
      </c>
    </row>
    <row r="1985" spans="1:10">
      <c r="A1985" s="154" t="s">
        <v>95</v>
      </c>
      <c r="B1985" s="155" t="s">
        <v>13095</v>
      </c>
      <c r="C1985" s="132" t="s">
        <v>6047</v>
      </c>
      <c r="D1985" s="143" t="s">
        <v>13096</v>
      </c>
      <c r="E1985" s="143" t="s">
        <v>13097</v>
      </c>
      <c r="F1985" s="132" t="s">
        <v>40</v>
      </c>
      <c r="G1985" s="156">
        <v>45514.435416666667</v>
      </c>
      <c r="H1985" s="156">
        <v>45514.78402777778</v>
      </c>
      <c r="I1985" s="168" t="s">
        <v>10418</v>
      </c>
      <c r="J1985" s="169" t="s">
        <v>9367</v>
      </c>
    </row>
    <row r="1986" spans="1:10">
      <c r="A1986" s="154" t="s">
        <v>106</v>
      </c>
      <c r="B1986" s="155" t="s">
        <v>13098</v>
      </c>
      <c r="C1986" s="132" t="s">
        <v>108</v>
      </c>
      <c r="D1986" s="143" t="s">
        <v>12720</v>
      </c>
      <c r="E1986" s="142" t="s">
        <v>13099</v>
      </c>
      <c r="F1986" s="132" t="s">
        <v>40</v>
      </c>
      <c r="G1986" s="156">
        <v>45514.689583333333</v>
      </c>
      <c r="H1986" s="156">
        <v>45514.695833333331</v>
      </c>
      <c r="I1986" s="168" t="s">
        <v>1470</v>
      </c>
      <c r="J1986" s="169" t="s">
        <v>9367</v>
      </c>
    </row>
    <row r="1987" spans="1:10">
      <c r="A1987" s="154" t="s">
        <v>20</v>
      </c>
      <c r="B1987" s="155" t="s">
        <v>13100</v>
      </c>
      <c r="C1987" s="132" t="s">
        <v>49</v>
      </c>
      <c r="D1987" s="143" t="s">
        <v>13051</v>
      </c>
      <c r="E1987" s="142" t="s">
        <v>13101</v>
      </c>
      <c r="F1987" s="132" t="s">
        <v>40</v>
      </c>
      <c r="G1987" s="156">
        <v>45514.397916666669</v>
      </c>
      <c r="H1987" s="156">
        <v>45514.792361111111</v>
      </c>
      <c r="I1987" s="168" t="s">
        <v>2220</v>
      </c>
      <c r="J1987" s="169" t="s">
        <v>9367</v>
      </c>
    </row>
    <row r="1988" spans="1:10">
      <c r="A1988" s="154" t="s">
        <v>20</v>
      </c>
      <c r="B1988" s="155" t="s">
        <v>13102</v>
      </c>
      <c r="C1988" s="132" t="s">
        <v>13</v>
      </c>
      <c r="D1988" s="143" t="s">
        <v>13103</v>
      </c>
      <c r="E1988" s="143" t="s">
        <v>13104</v>
      </c>
      <c r="F1988" s="132" t="s">
        <v>40</v>
      </c>
      <c r="G1988" s="156">
        <v>45514.750694444447</v>
      </c>
      <c r="H1988" s="156">
        <v>45514.781944444447</v>
      </c>
      <c r="I1988" s="168" t="s">
        <v>2618</v>
      </c>
      <c r="J1988" s="169" t="s">
        <v>9367</v>
      </c>
    </row>
    <row r="1989" spans="1:10">
      <c r="A1989" s="154" t="s">
        <v>20</v>
      </c>
      <c r="B1989" s="155" t="s">
        <v>13105</v>
      </c>
      <c r="C1989" s="132" t="s">
        <v>21</v>
      </c>
      <c r="D1989" s="132" t="s">
        <v>10688</v>
      </c>
      <c r="E1989" s="132" t="s">
        <v>8389</v>
      </c>
      <c r="F1989" s="132" t="s">
        <v>40</v>
      </c>
      <c r="G1989" s="156">
        <v>45514.842361111114</v>
      </c>
      <c r="H1989" s="156">
        <v>45545.853472222225</v>
      </c>
      <c r="I1989" s="168" t="s">
        <v>52</v>
      </c>
      <c r="J1989" s="169" t="s">
        <v>72</v>
      </c>
    </row>
    <row r="1990" spans="1:10">
      <c r="A1990" s="154" t="s">
        <v>106</v>
      </c>
      <c r="B1990" s="155" t="s">
        <v>13106</v>
      </c>
      <c r="C1990" s="132" t="s">
        <v>108</v>
      </c>
      <c r="D1990" s="132" t="s">
        <v>8467</v>
      </c>
      <c r="E1990" s="132" t="s">
        <v>11253</v>
      </c>
      <c r="F1990" s="132" t="s">
        <v>40</v>
      </c>
      <c r="G1990" s="156">
        <v>45514.864583333336</v>
      </c>
      <c r="H1990" s="156">
        <v>45545.897222222222</v>
      </c>
      <c r="I1990" s="168" t="s">
        <v>32</v>
      </c>
      <c r="J1990" s="169" t="s">
        <v>72</v>
      </c>
    </row>
    <row r="1991" spans="1:10">
      <c r="A1991" s="154" t="s">
        <v>95</v>
      </c>
      <c r="B1991" s="155" t="s">
        <v>13107</v>
      </c>
      <c r="C1991" s="132" t="s">
        <v>6047</v>
      </c>
      <c r="D1991" s="132" t="s">
        <v>13108</v>
      </c>
      <c r="E1991" s="132" t="s">
        <v>13109</v>
      </c>
      <c r="F1991" s="132" t="s">
        <v>40</v>
      </c>
      <c r="G1991" s="156">
        <v>45514.898611111108</v>
      </c>
      <c r="H1991" s="156">
        <v>45545.961805555555</v>
      </c>
      <c r="I1991" s="168" t="s">
        <v>13059</v>
      </c>
      <c r="J1991" s="169" t="s">
        <v>72</v>
      </c>
    </row>
    <row r="1992" spans="1:10">
      <c r="A1992" s="154" t="s">
        <v>20</v>
      </c>
      <c r="B1992" s="155" t="s">
        <v>13110</v>
      </c>
      <c r="C1992" s="132" t="s">
        <v>21</v>
      </c>
      <c r="D1992" s="132" t="s">
        <v>13111</v>
      </c>
      <c r="E1992" s="132" t="s">
        <v>13112</v>
      </c>
      <c r="F1992" s="132" t="s">
        <v>40</v>
      </c>
      <c r="G1992" s="156">
        <v>45514.95416666667</v>
      </c>
      <c r="H1992" s="156">
        <v>45545.989583333336</v>
      </c>
      <c r="I1992" s="168" t="s">
        <v>52</v>
      </c>
      <c r="J1992" s="169" t="s">
        <v>72</v>
      </c>
    </row>
    <row r="1993" spans="1:10">
      <c r="A1993" s="154" t="s">
        <v>20</v>
      </c>
      <c r="B1993" s="155" t="s">
        <v>13113</v>
      </c>
      <c r="C1993" s="132" t="s">
        <v>13</v>
      </c>
      <c r="D1993" s="132" t="s">
        <v>13114</v>
      </c>
      <c r="E1993" s="132" t="s">
        <v>13115</v>
      </c>
      <c r="F1993" s="132" t="s">
        <v>40</v>
      </c>
      <c r="G1993" s="156">
        <v>45514.95416666667</v>
      </c>
      <c r="H1993" s="156">
        <v>45545.988888888889</v>
      </c>
      <c r="I1993" s="168" t="s">
        <v>74</v>
      </c>
      <c r="J1993" s="169" t="s">
        <v>72</v>
      </c>
    </row>
    <row r="1994" spans="1:10">
      <c r="A1994" s="154" t="s">
        <v>95</v>
      </c>
      <c r="B1994" s="155" t="s">
        <v>13116</v>
      </c>
      <c r="C1994" s="132" t="s">
        <v>6047</v>
      </c>
      <c r="D1994" s="132" t="s">
        <v>13117</v>
      </c>
      <c r="E1994" s="132" t="s">
        <v>10934</v>
      </c>
      <c r="F1994" s="132" t="s">
        <v>40</v>
      </c>
      <c r="G1994" s="156">
        <v>45515.099305555559</v>
      </c>
      <c r="H1994" s="156">
        <v>45546.120833333334</v>
      </c>
      <c r="I1994" s="168" t="s">
        <v>7881</v>
      </c>
      <c r="J1994" s="169" t="s">
        <v>72</v>
      </c>
    </row>
    <row r="1995" spans="1:10">
      <c r="A1995" s="154" t="s">
        <v>20</v>
      </c>
      <c r="B1995" s="155" t="s">
        <v>13118</v>
      </c>
      <c r="C1995" s="132" t="s">
        <v>13</v>
      </c>
      <c r="D1995" s="132" t="s">
        <v>13119</v>
      </c>
      <c r="E1995" s="132" t="s">
        <v>13120</v>
      </c>
      <c r="F1995" s="132" t="s">
        <v>40</v>
      </c>
      <c r="G1995" s="156">
        <v>45515.095138888886</v>
      </c>
      <c r="H1995" s="156">
        <v>45546.239583333336</v>
      </c>
      <c r="I1995" s="168" t="s">
        <v>74</v>
      </c>
      <c r="J1995" s="169" t="s">
        <v>72</v>
      </c>
    </row>
    <row r="1996" spans="1:10">
      <c r="A1996" s="154" t="s">
        <v>20</v>
      </c>
      <c r="B1996" s="155" t="s">
        <v>13121</v>
      </c>
      <c r="C1996" s="132" t="s">
        <v>21</v>
      </c>
      <c r="D1996" s="132" t="s">
        <v>13122</v>
      </c>
      <c r="E1996" s="132" t="s">
        <v>13123</v>
      </c>
      <c r="F1996" s="132" t="s">
        <v>40</v>
      </c>
      <c r="G1996" s="156">
        <v>45515.186111111114</v>
      </c>
      <c r="H1996" s="156">
        <v>45546.197916666664</v>
      </c>
      <c r="I1996" s="168" t="s">
        <v>52</v>
      </c>
      <c r="J1996" s="169" t="s">
        <v>72</v>
      </c>
    </row>
    <row r="1997" spans="1:10">
      <c r="A1997" s="154" t="s">
        <v>20</v>
      </c>
      <c r="B1997" s="155" t="s">
        <v>13124</v>
      </c>
      <c r="C1997" s="132" t="s">
        <v>21</v>
      </c>
      <c r="D1997" s="132" t="s">
        <v>13125</v>
      </c>
      <c r="E1997" s="132" t="s">
        <v>13126</v>
      </c>
      <c r="F1997" s="132" t="s">
        <v>40</v>
      </c>
      <c r="G1997" s="156">
        <v>45515.19027777778</v>
      </c>
      <c r="H1997" s="156">
        <v>45546.201388888891</v>
      </c>
      <c r="I1997" s="168" t="s">
        <v>52</v>
      </c>
      <c r="J1997" s="169" t="s">
        <v>72</v>
      </c>
    </row>
    <row r="1998" spans="1:10">
      <c r="A1998" s="154" t="s">
        <v>95</v>
      </c>
      <c r="B1998" s="155" t="s">
        <v>13127</v>
      </c>
      <c r="C1998" s="132" t="s">
        <v>6047</v>
      </c>
      <c r="D1998" s="132" t="s">
        <v>13128</v>
      </c>
      <c r="E1998" s="132" t="s">
        <v>13129</v>
      </c>
      <c r="F1998" s="132" t="s">
        <v>40</v>
      </c>
      <c r="G1998" s="156">
        <v>45515.214583333334</v>
      </c>
      <c r="H1998" s="156">
        <v>45546.219444444447</v>
      </c>
      <c r="I1998" s="168" t="s">
        <v>7881</v>
      </c>
      <c r="J1998" s="169" t="s">
        <v>72</v>
      </c>
    </row>
    <row r="1999" spans="1:10" hidden="1">
      <c r="A1999" s="154" t="s">
        <v>95</v>
      </c>
      <c r="B1999" s="155" t="s">
        <v>13130</v>
      </c>
      <c r="C1999" s="132" t="s">
        <v>97</v>
      </c>
      <c r="D1999" s="132" t="s">
        <v>13131</v>
      </c>
      <c r="E1999" s="142" t="s">
        <v>13132</v>
      </c>
      <c r="F1999" s="132" t="s">
        <v>308</v>
      </c>
      <c r="G1999" s="156">
        <v>45514.750694444447</v>
      </c>
      <c r="I1999" s="168" t="s">
        <v>991</v>
      </c>
      <c r="J1999" s="169" t="s">
        <v>9367</v>
      </c>
    </row>
    <row r="2000" spans="1:10" hidden="1">
      <c r="A2000" s="154" t="s">
        <v>95</v>
      </c>
      <c r="B2000" s="155" t="s">
        <v>13133</v>
      </c>
      <c r="C2000" s="132" t="s">
        <v>97</v>
      </c>
      <c r="D2000" s="132" t="s">
        <v>13134</v>
      </c>
      <c r="E2000" s="143" t="s">
        <v>13135</v>
      </c>
      <c r="F2000" s="132" t="s">
        <v>308</v>
      </c>
      <c r="G2000" s="156">
        <v>45515.408333333333</v>
      </c>
      <c r="I2000" s="168" t="s">
        <v>991</v>
      </c>
      <c r="J2000" s="169" t="s">
        <v>9367</v>
      </c>
    </row>
    <row r="2001" spans="1:12" hidden="1">
      <c r="A2001" s="154" t="s">
        <v>95</v>
      </c>
      <c r="B2001" s="155" t="s">
        <v>13136</v>
      </c>
      <c r="C2001" s="132" t="s">
        <v>97</v>
      </c>
      <c r="D2001" s="132" t="s">
        <v>13137</v>
      </c>
      <c r="E2001" s="142" t="s">
        <v>13138</v>
      </c>
      <c r="F2001" s="132" t="s">
        <v>308</v>
      </c>
      <c r="G2001" s="156">
        <v>45515.408333333333</v>
      </c>
      <c r="I2001" s="168" t="s">
        <v>991</v>
      </c>
      <c r="J2001" s="169" t="s">
        <v>9367</v>
      </c>
    </row>
    <row r="2002" spans="1:12">
      <c r="A2002" s="154" t="s">
        <v>106</v>
      </c>
      <c r="B2002" s="155" t="s">
        <v>13139</v>
      </c>
      <c r="C2002" s="132" t="s">
        <v>37</v>
      </c>
      <c r="D2002" s="132" t="s">
        <v>13140</v>
      </c>
      <c r="E2002" s="142" t="s">
        <v>13141</v>
      </c>
      <c r="F2002" s="132" t="s">
        <v>40</v>
      </c>
      <c r="G2002" s="156">
        <v>45515.484027777777</v>
      </c>
      <c r="H2002" s="156">
        <v>45519.759722222225</v>
      </c>
      <c r="I2002" s="168" t="s">
        <v>13068</v>
      </c>
      <c r="J2002" s="169" t="s">
        <v>9367</v>
      </c>
    </row>
    <row r="2003" spans="1:12" hidden="1">
      <c r="A2003" s="154" t="s">
        <v>95</v>
      </c>
      <c r="B2003" s="155" t="s">
        <v>13142</v>
      </c>
      <c r="C2003" s="132" t="s">
        <v>97</v>
      </c>
      <c r="D2003" s="132" t="s">
        <v>13143</v>
      </c>
      <c r="E2003" s="142" t="s">
        <v>13144</v>
      </c>
      <c r="F2003" s="132" t="s">
        <v>308</v>
      </c>
      <c r="G2003" s="156">
        <v>45515.418749999997</v>
      </c>
      <c r="I2003" s="168" t="s">
        <v>8036</v>
      </c>
      <c r="J2003" s="169" t="s">
        <v>9367</v>
      </c>
    </row>
    <row r="2004" spans="1:12">
      <c r="A2004" s="154" t="s">
        <v>95</v>
      </c>
      <c r="B2004" s="155" t="s">
        <v>13145</v>
      </c>
      <c r="C2004" s="132" t="s">
        <v>97</v>
      </c>
      <c r="D2004" s="132" t="s">
        <v>13146</v>
      </c>
      <c r="E2004" s="142" t="s">
        <v>13147</v>
      </c>
      <c r="F2004" s="132" t="s">
        <v>40</v>
      </c>
      <c r="G2004" s="156">
        <v>45515.681250000001</v>
      </c>
      <c r="H2004" s="156">
        <v>45515.717361111114</v>
      </c>
      <c r="I2004" s="168" t="s">
        <v>991</v>
      </c>
      <c r="J2004" s="169" t="s">
        <v>9367</v>
      </c>
    </row>
    <row r="2005" spans="1:12" hidden="1">
      <c r="A2005" s="154" t="s">
        <v>95</v>
      </c>
      <c r="B2005" s="155" t="s">
        <v>13148</v>
      </c>
      <c r="C2005" s="132" t="s">
        <v>97</v>
      </c>
      <c r="D2005" s="132" t="s">
        <v>13149</v>
      </c>
      <c r="E2005" s="142" t="s">
        <v>13150</v>
      </c>
      <c r="F2005" s="132" t="s">
        <v>308</v>
      </c>
      <c r="G2005" s="156">
        <v>45515.663888888892</v>
      </c>
      <c r="I2005" s="168" t="s">
        <v>991</v>
      </c>
      <c r="J2005" s="169" t="s">
        <v>9367</v>
      </c>
    </row>
    <row r="2006" spans="1:12">
      <c r="A2006" s="154" t="s">
        <v>20</v>
      </c>
      <c r="B2006" s="155" t="s">
        <v>13151</v>
      </c>
      <c r="C2006" s="132" t="s">
        <v>49</v>
      </c>
      <c r="D2006" s="132" t="s">
        <v>13152</v>
      </c>
      <c r="E2006" s="143" t="s">
        <v>13153</v>
      </c>
      <c r="F2006" s="132" t="s">
        <v>40</v>
      </c>
      <c r="G2006" s="156">
        <v>45515.417361111111</v>
      </c>
      <c r="H2006" s="156">
        <v>45515.443055555559</v>
      </c>
      <c r="I2006" s="168" t="s">
        <v>2220</v>
      </c>
      <c r="J2006" s="169" t="s">
        <v>9367</v>
      </c>
    </row>
    <row r="2007" spans="1:12">
      <c r="A2007" s="154" t="s">
        <v>20</v>
      </c>
      <c r="B2007" s="155" t="s">
        <v>13154</v>
      </c>
      <c r="C2007" s="132" t="s">
        <v>49</v>
      </c>
      <c r="D2007" s="132" t="s">
        <v>13155</v>
      </c>
      <c r="E2007" s="143" t="s">
        <v>13156</v>
      </c>
      <c r="F2007" s="132" t="s">
        <v>40</v>
      </c>
      <c r="G2007" s="156">
        <v>45515.806944444441</v>
      </c>
      <c r="H2007" s="156">
        <v>45515.819444444445</v>
      </c>
      <c r="I2007" s="168" t="s">
        <v>2220</v>
      </c>
      <c r="J2007" s="169" t="s">
        <v>9367</v>
      </c>
    </row>
    <row r="2008" spans="1:12">
      <c r="A2008" s="154" t="s">
        <v>20</v>
      </c>
      <c r="B2008" s="155" t="s">
        <v>13157</v>
      </c>
      <c r="C2008" s="132" t="s">
        <v>49</v>
      </c>
      <c r="D2008" s="132" t="s">
        <v>13158</v>
      </c>
      <c r="E2008" s="132" t="s">
        <v>13159</v>
      </c>
      <c r="F2008" s="132" t="s">
        <v>40</v>
      </c>
      <c r="G2008" s="156">
        <v>45515.910416666666</v>
      </c>
      <c r="H2008" s="156">
        <v>45546.933333333334</v>
      </c>
      <c r="I2008" s="168" t="s">
        <v>7881</v>
      </c>
      <c r="J2008" s="169" t="s">
        <v>72</v>
      </c>
    </row>
    <row r="2009" spans="1:12">
      <c r="A2009" s="154" t="s">
        <v>95</v>
      </c>
      <c r="B2009" s="155" t="s">
        <v>13160</v>
      </c>
      <c r="C2009" s="132" t="s">
        <v>6047</v>
      </c>
      <c r="D2009" s="132" t="s">
        <v>13161</v>
      </c>
      <c r="E2009" s="132" t="s">
        <v>13162</v>
      </c>
      <c r="F2009" s="132" t="s">
        <v>40</v>
      </c>
      <c r="G2009" s="156">
        <v>45515.915972222225</v>
      </c>
      <c r="H2009" s="156">
        <v>45546.95416666667</v>
      </c>
      <c r="I2009" s="168" t="s">
        <v>7881</v>
      </c>
      <c r="J2009" s="169" t="s">
        <v>72</v>
      </c>
    </row>
    <row r="2010" spans="1:12">
      <c r="A2010" s="154" t="s">
        <v>106</v>
      </c>
      <c r="B2010" s="155" t="s">
        <v>13163</v>
      </c>
      <c r="C2010" s="132" t="s">
        <v>108</v>
      </c>
      <c r="D2010" s="132" t="s">
        <v>13164</v>
      </c>
      <c r="E2010" s="132" t="s">
        <v>13165</v>
      </c>
      <c r="F2010" s="132" t="s">
        <v>40</v>
      </c>
      <c r="G2010" s="156">
        <v>45515.977083333331</v>
      </c>
      <c r="H2010" s="156">
        <v>45546.998611111114</v>
      </c>
      <c r="I2010" s="168" t="s">
        <v>946</v>
      </c>
      <c r="J2010" s="169" t="s">
        <v>72</v>
      </c>
    </row>
    <row r="2011" spans="1:12">
      <c r="A2011" s="154" t="s">
        <v>20</v>
      </c>
      <c r="B2011" s="155" t="s">
        <v>13166</v>
      </c>
      <c r="C2011" s="132" t="s">
        <v>21</v>
      </c>
      <c r="D2011" s="132" t="s">
        <v>13167</v>
      </c>
      <c r="E2011" s="132" t="s">
        <v>13168</v>
      </c>
      <c r="F2011" s="132" t="s">
        <v>40</v>
      </c>
      <c r="G2011" s="156">
        <v>45516.086111111108</v>
      </c>
      <c r="H2011" s="156">
        <v>45547.333333333336</v>
      </c>
      <c r="I2011" s="168" t="s">
        <v>52</v>
      </c>
      <c r="J2011" s="169" t="s">
        <v>72</v>
      </c>
      <c r="K2011" s="169" t="s">
        <v>13169</v>
      </c>
      <c r="L2011" s="185">
        <v>45516</v>
      </c>
    </row>
    <row r="2012" spans="1:12">
      <c r="A2012" s="154" t="s">
        <v>95</v>
      </c>
      <c r="B2012" s="155" t="s">
        <v>13170</v>
      </c>
      <c r="C2012" s="132" t="s">
        <v>6047</v>
      </c>
      <c r="D2012" s="132" t="s">
        <v>13171</v>
      </c>
      <c r="E2012" s="132" t="s">
        <v>13172</v>
      </c>
      <c r="F2012" s="132" t="s">
        <v>40</v>
      </c>
      <c r="G2012" s="156">
        <v>45516.138194444444</v>
      </c>
      <c r="H2012" s="156">
        <v>45547.154166666667</v>
      </c>
      <c r="I2012" s="168" t="s">
        <v>13059</v>
      </c>
      <c r="J2012" s="169" t="s">
        <v>72</v>
      </c>
    </row>
    <row r="2013" spans="1:12">
      <c r="A2013" s="154" t="s">
        <v>20</v>
      </c>
      <c r="B2013" s="155" t="s">
        <v>13173</v>
      </c>
      <c r="C2013" s="132" t="s">
        <v>21</v>
      </c>
      <c r="D2013" s="132" t="s">
        <v>13174</v>
      </c>
      <c r="E2013" s="132" t="s">
        <v>13175</v>
      </c>
      <c r="F2013" s="132" t="s">
        <v>40</v>
      </c>
      <c r="G2013" s="156">
        <v>45516.287499999999</v>
      </c>
      <c r="H2013" s="156">
        <v>45547.306250000001</v>
      </c>
      <c r="I2013" s="168" t="s">
        <v>52</v>
      </c>
      <c r="J2013" s="169" t="s">
        <v>72</v>
      </c>
    </row>
    <row r="2014" spans="1:12">
      <c r="A2014" s="154" t="s">
        <v>106</v>
      </c>
      <c r="B2014" s="155" t="s">
        <v>13176</v>
      </c>
      <c r="C2014" s="132" t="s">
        <v>108</v>
      </c>
      <c r="D2014" s="132" t="s">
        <v>13177</v>
      </c>
      <c r="E2014" s="132" t="s">
        <v>13178</v>
      </c>
      <c r="F2014" s="132" t="s">
        <v>40</v>
      </c>
      <c r="G2014" s="156">
        <v>45516.354166666664</v>
      </c>
      <c r="H2014" s="156">
        <v>45516.362500000003</v>
      </c>
      <c r="I2014" s="168" t="s">
        <v>3320</v>
      </c>
      <c r="J2014" s="169" t="s">
        <v>9367</v>
      </c>
    </row>
    <row r="2015" spans="1:12">
      <c r="A2015" s="154" t="s">
        <v>20</v>
      </c>
      <c r="B2015" s="155" t="s">
        <v>13179</v>
      </c>
      <c r="C2015" s="132" t="s">
        <v>13</v>
      </c>
      <c r="D2015" s="132" t="s">
        <v>13180</v>
      </c>
      <c r="E2015" s="132" t="s">
        <v>13181</v>
      </c>
      <c r="F2015" s="132" t="s">
        <v>40</v>
      </c>
      <c r="G2015" s="156">
        <v>45516.53402777778</v>
      </c>
      <c r="H2015" s="156">
        <v>45516.769444444442</v>
      </c>
      <c r="I2015" s="168" t="s">
        <v>17</v>
      </c>
      <c r="J2015" s="169" t="s">
        <v>9367</v>
      </c>
    </row>
    <row r="2016" spans="1:12">
      <c r="A2016" s="154" t="s">
        <v>95</v>
      </c>
      <c r="B2016" s="155" t="s">
        <v>13182</v>
      </c>
      <c r="C2016" s="132" t="s">
        <v>28</v>
      </c>
      <c r="D2016" s="132" t="s">
        <v>13183</v>
      </c>
      <c r="E2016" s="132" t="s">
        <v>13184</v>
      </c>
      <c r="F2016" s="132" t="s">
        <v>40</v>
      </c>
      <c r="G2016" s="156">
        <v>45516.408333333333</v>
      </c>
      <c r="H2016" s="156">
        <v>45516.450694444444</v>
      </c>
      <c r="I2016" s="168" t="s">
        <v>13185</v>
      </c>
      <c r="J2016" s="169" t="s">
        <v>9367</v>
      </c>
    </row>
    <row r="2017" spans="1:10">
      <c r="A2017" s="154" t="s">
        <v>106</v>
      </c>
      <c r="B2017" s="155" t="s">
        <v>13186</v>
      </c>
      <c r="C2017" s="132" t="s">
        <v>37</v>
      </c>
      <c r="D2017" s="132" t="s">
        <v>13187</v>
      </c>
      <c r="E2017" s="132" t="s">
        <v>13188</v>
      </c>
      <c r="F2017" s="132" t="s">
        <v>40</v>
      </c>
      <c r="G2017" s="156">
        <v>45516.347916666666</v>
      </c>
      <c r="H2017" s="156">
        <v>45516.744444444441</v>
      </c>
      <c r="I2017" s="168" t="s">
        <v>13068</v>
      </c>
      <c r="J2017" s="169" t="s">
        <v>9367</v>
      </c>
    </row>
    <row r="2018" spans="1:10">
      <c r="A2018" s="154" t="s">
        <v>20</v>
      </c>
      <c r="B2018" s="155" t="s">
        <v>13189</v>
      </c>
      <c r="C2018" s="132" t="s">
        <v>13</v>
      </c>
      <c r="D2018" s="132" t="s">
        <v>13190</v>
      </c>
      <c r="E2018" s="132" t="s">
        <v>13191</v>
      </c>
      <c r="F2018" s="132" t="s">
        <v>40</v>
      </c>
      <c r="G2018" s="156">
        <v>45516.479861111111</v>
      </c>
      <c r="H2018" s="156">
        <v>45516.57708333333</v>
      </c>
      <c r="I2018" s="168" t="s">
        <v>17</v>
      </c>
      <c r="J2018" s="169" t="s">
        <v>9367</v>
      </c>
    </row>
    <row r="2019" spans="1:10">
      <c r="A2019" s="154" t="s">
        <v>20</v>
      </c>
      <c r="B2019" s="155" t="s">
        <v>13192</v>
      </c>
      <c r="C2019" s="132" t="s">
        <v>13</v>
      </c>
      <c r="D2019" s="132" t="s">
        <v>13193</v>
      </c>
      <c r="E2019" s="132" t="s">
        <v>13194</v>
      </c>
      <c r="F2019" s="132" t="s">
        <v>40</v>
      </c>
      <c r="G2019" s="156">
        <v>45516.539583333331</v>
      </c>
      <c r="H2019" s="156">
        <v>45517.904861111114</v>
      </c>
      <c r="I2019" s="168" t="s">
        <v>17</v>
      </c>
      <c r="J2019" s="169" t="s">
        <v>9367</v>
      </c>
    </row>
    <row r="2020" spans="1:10">
      <c r="A2020" s="154" t="s">
        <v>20</v>
      </c>
      <c r="B2020" s="155" t="s">
        <v>13195</v>
      </c>
      <c r="C2020" s="132" t="s">
        <v>21</v>
      </c>
      <c r="D2020" s="132" t="s">
        <v>13196</v>
      </c>
      <c r="E2020" s="132" t="s">
        <v>13197</v>
      </c>
      <c r="F2020" s="132" t="s">
        <v>40</v>
      </c>
      <c r="G2020" s="156">
        <v>45516.876388888886</v>
      </c>
      <c r="H2020" s="156">
        <v>45516.898611111108</v>
      </c>
      <c r="I2020" s="168" t="s">
        <v>52</v>
      </c>
      <c r="J2020" s="169" t="s">
        <v>72</v>
      </c>
    </row>
    <row r="2021" spans="1:10">
      <c r="A2021" s="154" t="s">
        <v>106</v>
      </c>
      <c r="B2021" s="155" t="s">
        <v>13198</v>
      </c>
      <c r="C2021" s="132" t="s">
        <v>108</v>
      </c>
      <c r="D2021" s="132" t="s">
        <v>8467</v>
      </c>
      <c r="E2021" s="132" t="s">
        <v>11253</v>
      </c>
      <c r="F2021" s="132" t="s">
        <v>40</v>
      </c>
      <c r="G2021" s="156">
        <v>45516.905555555553</v>
      </c>
      <c r="H2021" s="156">
        <v>45516.995833333334</v>
      </c>
      <c r="I2021" s="168" t="s">
        <v>32</v>
      </c>
      <c r="J2021" s="169" t="s">
        <v>72</v>
      </c>
    </row>
    <row r="2022" spans="1:10">
      <c r="A2022" s="154" t="s">
        <v>20</v>
      </c>
      <c r="B2022" s="155" t="s">
        <v>13199</v>
      </c>
      <c r="C2022" s="132" t="s">
        <v>21</v>
      </c>
      <c r="D2022" s="132" t="s">
        <v>13200</v>
      </c>
      <c r="E2022" s="132" t="s">
        <v>13201</v>
      </c>
      <c r="F2022" s="132" t="s">
        <v>40</v>
      </c>
      <c r="G2022" s="156">
        <v>45517.123611111114</v>
      </c>
      <c r="H2022" s="156">
        <v>45517.161111111112</v>
      </c>
      <c r="I2022" s="168" t="s">
        <v>52</v>
      </c>
      <c r="J2022" s="169" t="s">
        <v>72</v>
      </c>
    </row>
    <row r="2023" spans="1:10">
      <c r="A2023" s="154" t="s">
        <v>95</v>
      </c>
      <c r="B2023" s="155" t="s">
        <v>13202</v>
      </c>
      <c r="C2023" s="132" t="s">
        <v>28</v>
      </c>
      <c r="D2023" s="132" t="s">
        <v>13203</v>
      </c>
      <c r="E2023" s="132" t="s">
        <v>13204</v>
      </c>
      <c r="F2023" s="132" t="s">
        <v>40</v>
      </c>
      <c r="G2023" s="156">
        <v>45517.381944444445</v>
      </c>
      <c r="H2023" s="156">
        <v>45517.415277777778</v>
      </c>
      <c r="I2023" s="168" t="s">
        <v>13205</v>
      </c>
      <c r="J2023" s="169" t="s">
        <v>9367</v>
      </c>
    </row>
    <row r="2024" spans="1:10">
      <c r="A2024" s="154" t="s">
        <v>95</v>
      </c>
      <c r="B2024" s="155" t="s">
        <v>13206</v>
      </c>
      <c r="C2024" s="132" t="s">
        <v>28</v>
      </c>
      <c r="D2024" s="132" t="s">
        <v>13207</v>
      </c>
      <c r="E2024" s="132" t="s">
        <v>13208</v>
      </c>
      <c r="F2024" s="132" t="s">
        <v>40</v>
      </c>
      <c r="G2024" s="156">
        <v>45517.415277777778</v>
      </c>
      <c r="H2024" s="156">
        <v>45517.448611111111</v>
      </c>
      <c r="I2024" s="168" t="s">
        <v>13205</v>
      </c>
      <c r="J2024" s="169" t="s">
        <v>9367</v>
      </c>
    </row>
    <row r="2025" spans="1:10">
      <c r="A2025" s="154" t="s">
        <v>95</v>
      </c>
      <c r="B2025" s="155" t="s">
        <v>13209</v>
      </c>
      <c r="C2025" s="132" t="s">
        <v>28</v>
      </c>
      <c r="D2025" s="132" t="s">
        <v>13210</v>
      </c>
      <c r="E2025" s="132" t="s">
        <v>13211</v>
      </c>
      <c r="F2025" s="132" t="s">
        <v>40</v>
      </c>
      <c r="G2025" s="156">
        <v>45517.448611111111</v>
      </c>
      <c r="H2025" s="156">
        <v>45517.480555555558</v>
      </c>
      <c r="I2025" s="168" t="s">
        <v>13205</v>
      </c>
      <c r="J2025" s="169" t="s">
        <v>9367</v>
      </c>
    </row>
    <row r="2026" spans="1:10">
      <c r="A2026" s="154" t="s">
        <v>95</v>
      </c>
      <c r="B2026" s="155" t="s">
        <v>13212</v>
      </c>
      <c r="C2026" s="132" t="s">
        <v>28</v>
      </c>
      <c r="D2026" s="132" t="s">
        <v>13213</v>
      </c>
      <c r="E2026" s="132" t="s">
        <v>13214</v>
      </c>
      <c r="F2026" s="132" t="s">
        <v>40</v>
      </c>
      <c r="G2026" s="156">
        <v>45517.565972222219</v>
      </c>
      <c r="H2026" s="156">
        <v>45517.591666666667</v>
      </c>
      <c r="I2026" s="168" t="s">
        <v>13205</v>
      </c>
      <c r="J2026" s="169" t="s">
        <v>9367</v>
      </c>
    </row>
    <row r="2027" spans="1:10">
      <c r="A2027" s="154" t="s">
        <v>106</v>
      </c>
      <c r="B2027" s="155" t="s">
        <v>13215</v>
      </c>
      <c r="C2027" s="132" t="s">
        <v>37</v>
      </c>
      <c r="D2027" s="132" t="s">
        <v>13216</v>
      </c>
      <c r="E2027" s="132" t="s">
        <v>13141</v>
      </c>
      <c r="F2027" s="132" t="s">
        <v>40</v>
      </c>
      <c r="G2027" s="156">
        <v>45517.719444444447</v>
      </c>
      <c r="H2027" s="156">
        <v>45519.760416666664</v>
      </c>
      <c r="I2027" s="168" t="s">
        <v>13068</v>
      </c>
      <c r="J2027" s="169" t="s">
        <v>9367</v>
      </c>
    </row>
    <row r="2028" spans="1:10">
      <c r="A2028" s="154" t="s">
        <v>95</v>
      </c>
      <c r="B2028" s="155" t="s">
        <v>13217</v>
      </c>
      <c r="C2028" s="132" t="s">
        <v>118</v>
      </c>
      <c r="D2028" s="132" t="s">
        <v>13218</v>
      </c>
      <c r="E2028" s="132" t="s">
        <v>13219</v>
      </c>
      <c r="F2028" s="132" t="s">
        <v>40</v>
      </c>
      <c r="G2028" s="156">
        <v>45518.1</v>
      </c>
      <c r="H2028" s="156">
        <v>45518.112500000003</v>
      </c>
      <c r="I2028" s="168" t="s">
        <v>13220</v>
      </c>
      <c r="J2028" s="169" t="s">
        <v>72</v>
      </c>
    </row>
    <row r="2029" spans="1:10">
      <c r="A2029" s="154" t="s">
        <v>20</v>
      </c>
      <c r="B2029" s="155" t="s">
        <v>13221</v>
      </c>
      <c r="C2029" s="132" t="s">
        <v>13</v>
      </c>
      <c r="D2029" s="132" t="s">
        <v>13222</v>
      </c>
      <c r="E2029" s="132" t="s">
        <v>13223</v>
      </c>
      <c r="F2029" s="132" t="s">
        <v>40</v>
      </c>
      <c r="G2029" s="156">
        <v>45518.142361111109</v>
      </c>
      <c r="H2029" s="156">
        <v>45518.152777777781</v>
      </c>
      <c r="I2029" s="168" t="s">
        <v>1349</v>
      </c>
      <c r="J2029" s="169" t="s">
        <v>72</v>
      </c>
    </row>
    <row r="2030" spans="1:10">
      <c r="A2030" s="154" t="s">
        <v>20</v>
      </c>
      <c r="B2030" s="155" t="s">
        <v>13224</v>
      </c>
      <c r="C2030" s="132" t="s">
        <v>21</v>
      </c>
      <c r="D2030" s="132" t="s">
        <v>13225</v>
      </c>
      <c r="E2030" s="132" t="s">
        <v>13226</v>
      </c>
      <c r="F2030" s="132" t="s">
        <v>40</v>
      </c>
      <c r="G2030" s="156">
        <v>45518.225694444445</v>
      </c>
      <c r="H2030" s="156">
        <v>45518.276388888888</v>
      </c>
      <c r="I2030" s="168" t="s">
        <v>52</v>
      </c>
      <c r="J2030" s="169" t="s">
        <v>72</v>
      </c>
    </row>
    <row r="2031" spans="1:10">
      <c r="A2031" s="154" t="s">
        <v>20</v>
      </c>
      <c r="B2031" s="155" t="s">
        <v>13227</v>
      </c>
      <c r="C2031" s="132" t="s">
        <v>13</v>
      </c>
      <c r="D2031" s="132" t="s">
        <v>13228</v>
      </c>
      <c r="E2031" s="132" t="s">
        <v>13229</v>
      </c>
      <c r="F2031" s="132" t="s">
        <v>40</v>
      </c>
      <c r="G2031" s="156" t="s">
        <v>13230</v>
      </c>
      <c r="H2031" s="156" t="s">
        <v>13231</v>
      </c>
      <c r="I2031" s="168" t="s">
        <v>17</v>
      </c>
      <c r="J2031" s="169" t="s">
        <v>514</v>
      </c>
    </row>
    <row r="2032" spans="1:10" hidden="1">
      <c r="A2032" s="154" t="s">
        <v>106</v>
      </c>
      <c r="B2032" s="155" t="s">
        <v>13232</v>
      </c>
      <c r="C2032" s="132" t="s">
        <v>333</v>
      </c>
      <c r="D2032" s="132" t="s">
        <v>13233</v>
      </c>
      <c r="F2032" s="132" t="s">
        <v>308</v>
      </c>
      <c r="G2032" s="156" t="s">
        <v>13234</v>
      </c>
      <c r="I2032" s="168" t="s">
        <v>346</v>
      </c>
      <c r="J2032" s="169" t="s">
        <v>514</v>
      </c>
    </row>
    <row r="2033" spans="1:11">
      <c r="A2033" s="154" t="s">
        <v>106</v>
      </c>
      <c r="B2033" s="155" t="s">
        <v>13235</v>
      </c>
      <c r="C2033" s="132" t="s">
        <v>37</v>
      </c>
      <c r="D2033" s="132" t="s">
        <v>13236</v>
      </c>
      <c r="E2033" s="132" t="s">
        <v>13237</v>
      </c>
      <c r="F2033" s="132" t="s">
        <v>40</v>
      </c>
      <c r="G2033" s="156" t="s">
        <v>13238</v>
      </c>
      <c r="H2033" s="156" t="s">
        <v>13239</v>
      </c>
      <c r="I2033" s="168" t="s">
        <v>984</v>
      </c>
      <c r="J2033" s="169" t="s">
        <v>514</v>
      </c>
    </row>
    <row r="2034" spans="1:11">
      <c r="A2034" s="154" t="s">
        <v>95</v>
      </c>
      <c r="B2034" s="155" t="s">
        <v>13240</v>
      </c>
      <c r="C2034" s="132" t="s">
        <v>97</v>
      </c>
      <c r="D2034" s="132" t="s">
        <v>13241</v>
      </c>
      <c r="E2034" s="132" t="s">
        <v>13242</v>
      </c>
      <c r="F2034" s="132" t="s">
        <v>40</v>
      </c>
      <c r="G2034" s="156" t="s">
        <v>13243</v>
      </c>
      <c r="H2034" s="156" t="s">
        <v>13244</v>
      </c>
      <c r="I2034" s="168" t="s">
        <v>2544</v>
      </c>
      <c r="J2034" s="169" t="s">
        <v>88</v>
      </c>
      <c r="K2034" s="169" t="s">
        <v>514</v>
      </c>
    </row>
    <row r="2035" spans="1:11">
      <c r="A2035" s="154" t="s">
        <v>20</v>
      </c>
      <c r="B2035" s="155" t="s">
        <v>13245</v>
      </c>
      <c r="C2035" s="132" t="s">
        <v>21</v>
      </c>
      <c r="D2035" s="132" t="s">
        <v>13246</v>
      </c>
      <c r="E2035" s="132" t="s">
        <v>13247</v>
      </c>
      <c r="F2035" s="132" t="s">
        <v>40</v>
      </c>
      <c r="G2035" s="156" t="s">
        <v>13248</v>
      </c>
      <c r="H2035" s="156" t="s">
        <v>13249</v>
      </c>
      <c r="I2035" s="168" t="s">
        <v>1628</v>
      </c>
      <c r="J2035" s="169" t="s">
        <v>88</v>
      </c>
    </row>
    <row r="2036" spans="1:11">
      <c r="A2036" s="154" t="s">
        <v>20</v>
      </c>
      <c r="B2036" s="155" t="s">
        <v>13250</v>
      </c>
      <c r="C2036" s="132" t="s">
        <v>21</v>
      </c>
      <c r="D2036" s="132" t="s">
        <v>13251</v>
      </c>
      <c r="E2036" s="132" t="s">
        <v>13252</v>
      </c>
      <c r="F2036" s="132" t="s">
        <v>40</v>
      </c>
      <c r="G2036" s="156" t="s">
        <v>13253</v>
      </c>
      <c r="H2036" s="156" t="s">
        <v>13254</v>
      </c>
      <c r="I2036" s="168" t="s">
        <v>1628</v>
      </c>
      <c r="J2036" s="169" t="s">
        <v>88</v>
      </c>
    </row>
    <row r="2037" spans="1:11" ht="29">
      <c r="A2037" s="154" t="s">
        <v>95</v>
      </c>
      <c r="B2037" s="155" t="s">
        <v>13255</v>
      </c>
      <c r="C2037" s="132" t="s">
        <v>6047</v>
      </c>
      <c r="D2037" s="132" t="s">
        <v>13256</v>
      </c>
      <c r="E2037" s="132" t="s">
        <v>13257</v>
      </c>
      <c r="F2037" s="132" t="s">
        <v>40</v>
      </c>
      <c r="G2037" s="156" t="s">
        <v>13258</v>
      </c>
      <c r="H2037" s="178" t="s">
        <v>13259</v>
      </c>
      <c r="I2037" s="168" t="s">
        <v>13260</v>
      </c>
      <c r="J2037" s="169" t="s">
        <v>88</v>
      </c>
      <c r="K2037" s="169" t="s">
        <v>514</v>
      </c>
    </row>
    <row r="2038" spans="1:11">
      <c r="A2038" s="154" t="s">
        <v>20</v>
      </c>
      <c r="B2038" s="155" t="s">
        <v>13261</v>
      </c>
      <c r="C2038" s="132" t="s">
        <v>21</v>
      </c>
      <c r="D2038" s="132" t="s">
        <v>13262</v>
      </c>
      <c r="E2038" s="132" t="s">
        <v>13263</v>
      </c>
      <c r="F2038" s="132" t="s">
        <v>40</v>
      </c>
      <c r="G2038" s="156" t="s">
        <v>13264</v>
      </c>
      <c r="H2038" s="156" t="s">
        <v>13265</v>
      </c>
      <c r="I2038" s="168" t="s">
        <v>1628</v>
      </c>
      <c r="J2038" s="169" t="s">
        <v>88</v>
      </c>
    </row>
    <row r="2039" spans="1:11">
      <c r="A2039" s="154" t="s">
        <v>106</v>
      </c>
      <c r="B2039" s="155" t="s">
        <v>13266</v>
      </c>
      <c r="C2039" s="132" t="s">
        <v>37</v>
      </c>
      <c r="D2039" s="132" t="s">
        <v>13267</v>
      </c>
      <c r="E2039" s="132" t="s">
        <v>13268</v>
      </c>
      <c r="F2039" s="132" t="s">
        <v>40</v>
      </c>
      <c r="G2039" s="156" t="s">
        <v>13269</v>
      </c>
      <c r="H2039" s="156" t="s">
        <v>13270</v>
      </c>
      <c r="I2039" s="168" t="s">
        <v>13068</v>
      </c>
      <c r="J2039" s="169" t="s">
        <v>514</v>
      </c>
    </row>
    <row r="2040" spans="1:11">
      <c r="A2040" s="154" t="s">
        <v>106</v>
      </c>
      <c r="B2040" s="155" t="s">
        <v>13271</v>
      </c>
      <c r="C2040" s="132" t="s">
        <v>333</v>
      </c>
      <c r="D2040" s="132" t="s">
        <v>13272</v>
      </c>
      <c r="E2040" s="132" t="s">
        <v>13273</v>
      </c>
      <c r="F2040" s="132" t="s">
        <v>40</v>
      </c>
      <c r="G2040" s="156" t="s">
        <v>13274</v>
      </c>
      <c r="H2040" s="156" t="s">
        <v>13275</v>
      </c>
      <c r="I2040" s="168" t="s">
        <v>346</v>
      </c>
      <c r="J2040" s="169" t="s">
        <v>514</v>
      </c>
    </row>
    <row r="2041" spans="1:11">
      <c r="A2041" s="154" t="s">
        <v>106</v>
      </c>
      <c r="B2041" s="155" t="s">
        <v>13276</v>
      </c>
      <c r="C2041" s="132" t="s">
        <v>108</v>
      </c>
      <c r="D2041" s="132" t="s">
        <v>13277</v>
      </c>
      <c r="E2041" s="132" t="s">
        <v>13278</v>
      </c>
      <c r="F2041" s="132" t="s">
        <v>40</v>
      </c>
      <c r="G2041" s="156" t="s">
        <v>13279</v>
      </c>
      <c r="H2041" s="156" t="s">
        <v>13280</v>
      </c>
      <c r="I2041" s="168" t="s">
        <v>6006</v>
      </c>
      <c r="J2041" s="169" t="s">
        <v>514</v>
      </c>
    </row>
    <row r="2042" spans="1:11">
      <c r="A2042" s="154" t="s">
        <v>95</v>
      </c>
      <c r="B2042" s="191" t="s">
        <v>13281</v>
      </c>
      <c r="C2042" s="132" t="s">
        <v>97</v>
      </c>
      <c r="D2042" s="132" t="s">
        <v>13282</v>
      </c>
      <c r="E2042" s="132" t="s">
        <v>13283</v>
      </c>
      <c r="F2042" s="132" t="s">
        <v>40</v>
      </c>
      <c r="G2042" s="156" t="s">
        <v>13284</v>
      </c>
      <c r="H2042" s="156" t="s">
        <v>13285</v>
      </c>
      <c r="I2042" s="168" t="s">
        <v>4635</v>
      </c>
      <c r="J2042" s="169" t="s">
        <v>514</v>
      </c>
    </row>
    <row r="2043" spans="1:11">
      <c r="A2043" s="154" t="s">
        <v>95</v>
      </c>
      <c r="B2043" s="155" t="s">
        <v>13286</v>
      </c>
      <c r="C2043" s="132" t="s">
        <v>97</v>
      </c>
      <c r="D2043" s="132" t="s">
        <v>13287</v>
      </c>
      <c r="E2043" s="132" t="s">
        <v>13288</v>
      </c>
      <c r="F2043" s="132" t="s">
        <v>40</v>
      </c>
      <c r="G2043" s="156" t="s">
        <v>13289</v>
      </c>
      <c r="H2043" s="156" t="s">
        <v>13290</v>
      </c>
      <c r="I2043" s="168" t="s">
        <v>2544</v>
      </c>
      <c r="J2043" s="169" t="s">
        <v>88</v>
      </c>
    </row>
    <row r="2044" spans="1:11">
      <c r="A2044" s="154" t="s">
        <v>20</v>
      </c>
      <c r="B2044" s="155" t="s">
        <v>13291</v>
      </c>
      <c r="C2044" s="132" t="s">
        <v>21</v>
      </c>
      <c r="D2044" s="132" t="s">
        <v>13292</v>
      </c>
      <c r="E2044" s="132" t="s">
        <v>13293</v>
      </c>
      <c r="F2044" s="132" t="s">
        <v>40</v>
      </c>
      <c r="G2044" s="156" t="s">
        <v>13294</v>
      </c>
      <c r="H2044" s="156" t="s">
        <v>13295</v>
      </c>
      <c r="I2044" s="168" t="s">
        <v>1628</v>
      </c>
      <c r="J2044" s="169" t="s">
        <v>88</v>
      </c>
    </row>
    <row r="2045" spans="1:11">
      <c r="A2045" s="154" t="s">
        <v>20</v>
      </c>
      <c r="B2045" s="155" t="s">
        <v>13296</v>
      </c>
      <c r="C2045" s="132" t="s">
        <v>21</v>
      </c>
      <c r="D2045" s="132" t="s">
        <v>13297</v>
      </c>
      <c r="E2045" s="132" t="s">
        <v>13298</v>
      </c>
      <c r="F2045" s="132" t="s">
        <v>40</v>
      </c>
      <c r="G2045" s="156" t="s">
        <v>13299</v>
      </c>
      <c r="H2045" s="156" t="s">
        <v>13300</v>
      </c>
      <c r="I2045" s="168" t="s">
        <v>1628</v>
      </c>
      <c r="J2045" s="169" t="s">
        <v>88</v>
      </c>
    </row>
    <row r="2046" spans="1:11">
      <c r="A2046" s="154" t="s">
        <v>106</v>
      </c>
      <c r="B2046" s="155" t="s">
        <v>13301</v>
      </c>
      <c r="C2046" s="132" t="s">
        <v>37</v>
      </c>
      <c r="D2046" s="132" t="s">
        <v>13302</v>
      </c>
      <c r="E2046" s="132" t="s">
        <v>13303</v>
      </c>
      <c r="F2046" s="132" t="s">
        <v>40</v>
      </c>
      <c r="G2046" s="156" t="s">
        <v>13304</v>
      </c>
      <c r="H2046" s="156" t="s">
        <v>13305</v>
      </c>
      <c r="I2046" s="168" t="s">
        <v>13068</v>
      </c>
      <c r="J2046" s="169" t="s">
        <v>514</v>
      </c>
    </row>
    <row r="2047" spans="1:11">
      <c r="A2047" s="154" t="s">
        <v>95</v>
      </c>
      <c r="B2047" s="155" t="s">
        <v>13306</v>
      </c>
      <c r="C2047" s="132" t="s">
        <v>6047</v>
      </c>
      <c r="D2047" s="132" t="s">
        <v>13307</v>
      </c>
      <c r="E2047" s="132" t="s">
        <v>13308</v>
      </c>
      <c r="F2047" s="132" t="s">
        <v>40</v>
      </c>
      <c r="G2047" s="156" t="s">
        <v>13309</v>
      </c>
      <c r="H2047" s="156" t="s">
        <v>13310</v>
      </c>
      <c r="I2047" s="168" t="s">
        <v>378</v>
      </c>
      <c r="J2047" s="169" t="s">
        <v>514</v>
      </c>
    </row>
    <row r="2048" spans="1:11">
      <c r="A2048" s="154" t="s">
        <v>95</v>
      </c>
      <c r="B2048" s="155" t="s">
        <v>13311</v>
      </c>
      <c r="C2048" s="132" t="s">
        <v>28</v>
      </c>
      <c r="D2048" s="132" t="s">
        <v>13312</v>
      </c>
      <c r="E2048" s="132" t="s">
        <v>13313</v>
      </c>
      <c r="F2048" s="132" t="s">
        <v>40</v>
      </c>
      <c r="G2048" s="156" t="s">
        <v>13314</v>
      </c>
      <c r="H2048" s="156" t="s">
        <v>13315</v>
      </c>
      <c r="I2048" s="168" t="s">
        <v>980</v>
      </c>
      <c r="J2048" s="169" t="s">
        <v>514</v>
      </c>
    </row>
    <row r="2049" spans="1:11">
      <c r="A2049" s="154" t="s">
        <v>20</v>
      </c>
      <c r="B2049" s="155" t="s">
        <v>13316</v>
      </c>
      <c r="C2049" s="132" t="s">
        <v>13</v>
      </c>
      <c r="D2049" s="132" t="s">
        <v>13317</v>
      </c>
      <c r="E2049" s="132" t="s">
        <v>13318</v>
      </c>
      <c r="F2049" s="132" t="s">
        <v>40</v>
      </c>
      <c r="G2049" s="156" t="s">
        <v>13319</v>
      </c>
      <c r="H2049" s="156" t="s">
        <v>13320</v>
      </c>
      <c r="I2049" s="168" t="s">
        <v>8015</v>
      </c>
      <c r="J2049" s="169" t="s">
        <v>88</v>
      </c>
    </row>
    <row r="2050" spans="1:11">
      <c r="A2050" s="154" t="s">
        <v>20</v>
      </c>
      <c r="B2050" s="155" t="s">
        <v>13321</v>
      </c>
      <c r="C2050" s="132" t="s">
        <v>21</v>
      </c>
      <c r="D2050" s="132" t="s">
        <v>13322</v>
      </c>
      <c r="E2050" s="132" t="s">
        <v>13323</v>
      </c>
      <c r="F2050" s="132" t="s">
        <v>40</v>
      </c>
      <c r="G2050" s="156" t="s">
        <v>13324</v>
      </c>
      <c r="H2050" s="156" t="s">
        <v>13325</v>
      </c>
      <c r="I2050" s="168" t="s">
        <v>1628</v>
      </c>
      <c r="J2050" s="169" t="s">
        <v>88</v>
      </c>
    </row>
    <row r="2051" spans="1:11">
      <c r="A2051" s="154" t="s">
        <v>20</v>
      </c>
      <c r="B2051" s="155" t="s">
        <v>13326</v>
      </c>
      <c r="C2051" s="132" t="s">
        <v>21</v>
      </c>
      <c r="D2051" s="132" t="s">
        <v>13327</v>
      </c>
      <c r="E2051" s="132" t="s">
        <v>13328</v>
      </c>
      <c r="F2051" s="132" t="s">
        <v>40</v>
      </c>
      <c r="G2051" s="156" t="s">
        <v>13329</v>
      </c>
      <c r="H2051" s="156" t="s">
        <v>13330</v>
      </c>
      <c r="I2051" s="168" t="s">
        <v>1628</v>
      </c>
      <c r="J2051" s="169" t="s">
        <v>88</v>
      </c>
    </row>
    <row r="2052" spans="1:11">
      <c r="A2052" s="154" t="s">
        <v>20</v>
      </c>
      <c r="B2052" s="155" t="s">
        <v>13331</v>
      </c>
      <c r="C2052" s="132" t="s">
        <v>21</v>
      </c>
      <c r="D2052" s="132" t="s">
        <v>13332</v>
      </c>
      <c r="E2052" s="132" t="s">
        <v>13333</v>
      </c>
      <c r="F2052" s="132" t="s">
        <v>40</v>
      </c>
      <c r="G2052" s="156" t="s">
        <v>13334</v>
      </c>
      <c r="H2052" s="156" t="s">
        <v>13335</v>
      </c>
      <c r="I2052" s="168" t="s">
        <v>1628</v>
      </c>
      <c r="J2052" s="169" t="s">
        <v>88</v>
      </c>
    </row>
    <row r="2053" spans="1:11">
      <c r="A2053" s="154" t="s">
        <v>106</v>
      </c>
      <c r="B2053" s="155" t="s">
        <v>13336</v>
      </c>
      <c r="C2053" s="132" t="s">
        <v>108</v>
      </c>
      <c r="D2053" s="132" t="s">
        <v>11784</v>
      </c>
      <c r="E2053" s="132" t="s">
        <v>13337</v>
      </c>
      <c r="F2053" s="132" t="s">
        <v>40</v>
      </c>
      <c r="G2053" s="156" t="s">
        <v>13338</v>
      </c>
      <c r="H2053" s="156" t="s">
        <v>13339</v>
      </c>
      <c r="I2053" s="168" t="s">
        <v>1628</v>
      </c>
      <c r="J2053" s="169" t="s">
        <v>88</v>
      </c>
    </row>
    <row r="2054" spans="1:11" ht="29">
      <c r="A2054" s="154" t="s">
        <v>20</v>
      </c>
      <c r="B2054" s="155" t="s">
        <v>13340</v>
      </c>
      <c r="C2054" s="132" t="s">
        <v>21</v>
      </c>
      <c r="D2054" s="132" t="s">
        <v>13341</v>
      </c>
      <c r="E2054" s="132" t="s">
        <v>13342</v>
      </c>
      <c r="F2054" s="132" t="s">
        <v>40</v>
      </c>
      <c r="G2054" s="178" t="s">
        <v>13343</v>
      </c>
      <c r="H2054" s="156" t="s">
        <v>13344</v>
      </c>
      <c r="I2054" s="168" t="s">
        <v>1628</v>
      </c>
      <c r="J2054" s="169" t="s">
        <v>88</v>
      </c>
    </row>
    <row r="2055" spans="1:11">
      <c r="A2055" s="154" t="s">
        <v>20</v>
      </c>
      <c r="B2055" s="155" t="s">
        <v>13345</v>
      </c>
      <c r="C2055" s="132" t="s">
        <v>21</v>
      </c>
      <c r="D2055" s="132" t="s">
        <v>13346</v>
      </c>
      <c r="E2055" s="132" t="s">
        <v>13347</v>
      </c>
      <c r="F2055" s="132" t="s">
        <v>40</v>
      </c>
      <c r="G2055" s="156" t="s">
        <v>13348</v>
      </c>
      <c r="H2055" s="156" t="s">
        <v>13349</v>
      </c>
      <c r="I2055" s="168" t="s">
        <v>1628</v>
      </c>
      <c r="J2055" s="169" t="s">
        <v>88</v>
      </c>
    </row>
    <row r="2056" spans="1:11">
      <c r="A2056" s="154" t="s">
        <v>20</v>
      </c>
      <c r="B2056" s="155" t="s">
        <v>13350</v>
      </c>
      <c r="C2056" s="132" t="s">
        <v>21</v>
      </c>
      <c r="D2056" s="132" t="s">
        <v>13351</v>
      </c>
      <c r="E2056" s="132" t="s">
        <v>13352</v>
      </c>
      <c r="F2056" s="132" t="s">
        <v>40</v>
      </c>
      <c r="G2056" s="156" t="s">
        <v>13353</v>
      </c>
      <c r="H2056" s="156" t="s">
        <v>13354</v>
      </c>
      <c r="I2056" s="168" t="s">
        <v>1628</v>
      </c>
      <c r="J2056" s="169" t="s">
        <v>88</v>
      </c>
    </row>
    <row r="2057" spans="1:11">
      <c r="A2057" s="154" t="s">
        <v>20</v>
      </c>
      <c r="B2057" s="155" t="s">
        <v>13355</v>
      </c>
      <c r="C2057" s="132" t="s">
        <v>21</v>
      </c>
      <c r="D2057" s="132" t="s">
        <v>13356</v>
      </c>
      <c r="E2057" s="132" t="s">
        <v>13357</v>
      </c>
      <c r="F2057" s="132" t="s">
        <v>40</v>
      </c>
      <c r="G2057" s="156" t="s">
        <v>13353</v>
      </c>
      <c r="H2057" s="156" t="s">
        <v>13358</v>
      </c>
      <c r="I2057" s="168" t="s">
        <v>1628</v>
      </c>
      <c r="J2057" s="169" t="s">
        <v>88</v>
      </c>
    </row>
    <row r="2058" spans="1:11">
      <c r="A2058" s="154" t="s">
        <v>20</v>
      </c>
      <c r="B2058" s="155" t="s">
        <v>13359</v>
      </c>
      <c r="C2058" s="132" t="s">
        <v>21</v>
      </c>
      <c r="D2058" s="132" t="s">
        <v>13360</v>
      </c>
      <c r="E2058" s="132" t="s">
        <v>13361</v>
      </c>
      <c r="F2058" s="132" t="s">
        <v>40</v>
      </c>
      <c r="G2058" s="156" t="s">
        <v>13362</v>
      </c>
      <c r="H2058" s="156" t="s">
        <v>13358</v>
      </c>
      <c r="I2058" s="168" t="s">
        <v>1628</v>
      </c>
      <c r="J2058" s="169" t="s">
        <v>88</v>
      </c>
    </row>
    <row r="2059" spans="1:11">
      <c r="A2059" s="154" t="s">
        <v>20</v>
      </c>
      <c r="B2059" s="155" t="s">
        <v>13363</v>
      </c>
      <c r="C2059" s="132" t="s">
        <v>21</v>
      </c>
      <c r="D2059" s="132" t="s">
        <v>13364</v>
      </c>
      <c r="E2059" s="132" t="s">
        <v>13365</v>
      </c>
      <c r="F2059" s="132" t="s">
        <v>40</v>
      </c>
      <c r="G2059" s="156" t="s">
        <v>13366</v>
      </c>
      <c r="H2059" s="156" t="s">
        <v>13367</v>
      </c>
      <c r="I2059" s="168" t="s">
        <v>1628</v>
      </c>
      <c r="J2059" s="169" t="s">
        <v>88</v>
      </c>
    </row>
    <row r="2060" spans="1:11">
      <c r="A2060" s="154" t="s">
        <v>20</v>
      </c>
      <c r="B2060" s="155" t="s">
        <v>13368</v>
      </c>
      <c r="C2060" s="132" t="s">
        <v>21</v>
      </c>
      <c r="D2060" s="132" t="s">
        <v>13369</v>
      </c>
      <c r="E2060" s="132" t="s">
        <v>13370</v>
      </c>
      <c r="F2060" s="132" t="s">
        <v>40</v>
      </c>
      <c r="G2060" s="156" t="s">
        <v>13366</v>
      </c>
      <c r="H2060" s="156" t="s">
        <v>13371</v>
      </c>
      <c r="I2060" s="168" t="s">
        <v>1628</v>
      </c>
      <c r="J2060" s="169" t="s">
        <v>88</v>
      </c>
    </row>
    <row r="2061" spans="1:11">
      <c r="A2061" s="154" t="s">
        <v>20</v>
      </c>
      <c r="B2061" s="155" t="s">
        <v>13372</v>
      </c>
      <c r="C2061" s="132" t="s">
        <v>21</v>
      </c>
      <c r="D2061" s="132" t="s">
        <v>13373</v>
      </c>
      <c r="E2061" s="132" t="s">
        <v>13374</v>
      </c>
      <c r="F2061" s="132" t="s">
        <v>40</v>
      </c>
      <c r="G2061" s="156" t="s">
        <v>13375</v>
      </c>
      <c r="H2061" s="156" t="s">
        <v>13371</v>
      </c>
      <c r="I2061" s="168" t="s">
        <v>1628</v>
      </c>
      <c r="J2061" s="169" t="s">
        <v>88</v>
      </c>
    </row>
    <row r="2062" spans="1:11">
      <c r="A2062" s="154" t="s">
        <v>106</v>
      </c>
      <c r="B2062" s="155" t="s">
        <v>13376</v>
      </c>
      <c r="C2062" s="132" t="s">
        <v>78</v>
      </c>
      <c r="D2062" s="132" t="s">
        <v>13377</v>
      </c>
      <c r="E2062" s="132" t="s">
        <v>13378</v>
      </c>
      <c r="F2062" s="132" t="s">
        <v>40</v>
      </c>
      <c r="G2062" s="156" t="s">
        <v>13379</v>
      </c>
      <c r="H2062" s="156" t="s">
        <v>13380</v>
      </c>
      <c r="I2062" s="168" t="s">
        <v>13381</v>
      </c>
      <c r="J2062" s="169" t="s">
        <v>88</v>
      </c>
      <c r="K2062" s="169" t="s">
        <v>514</v>
      </c>
    </row>
    <row r="2063" spans="1:11">
      <c r="A2063" s="154" t="s">
        <v>95</v>
      </c>
      <c r="B2063" s="155" t="s">
        <v>13382</v>
      </c>
      <c r="C2063" s="132" t="s">
        <v>1763</v>
      </c>
      <c r="D2063" s="132" t="s">
        <v>12218</v>
      </c>
      <c r="E2063" s="132" t="s">
        <v>13383</v>
      </c>
      <c r="F2063" s="132" t="s">
        <v>40</v>
      </c>
      <c r="G2063" s="156" t="s">
        <v>13384</v>
      </c>
      <c r="H2063" s="156" t="s">
        <v>13385</v>
      </c>
      <c r="I2063" s="168" t="s">
        <v>11771</v>
      </c>
      <c r="J2063" s="169" t="s">
        <v>514</v>
      </c>
    </row>
    <row r="2064" spans="1:11">
      <c r="A2064" s="154" t="s">
        <v>95</v>
      </c>
      <c r="B2064" s="155" t="s">
        <v>13386</v>
      </c>
      <c r="C2064" s="132" t="s">
        <v>97</v>
      </c>
      <c r="D2064" s="132" t="s">
        <v>13387</v>
      </c>
      <c r="E2064" s="132" t="s">
        <v>13388</v>
      </c>
      <c r="F2064" s="132" t="s">
        <v>40</v>
      </c>
      <c r="G2064" s="156" t="s">
        <v>13389</v>
      </c>
      <c r="H2064" s="156" t="s">
        <v>13390</v>
      </c>
      <c r="I2064" s="168" t="s">
        <v>4635</v>
      </c>
      <c r="J2064" s="169" t="s">
        <v>514</v>
      </c>
    </row>
    <row r="2065" spans="1:11">
      <c r="A2065" s="154" t="s">
        <v>106</v>
      </c>
      <c r="B2065" s="155" t="s">
        <v>13391</v>
      </c>
      <c r="C2065" s="132" t="s">
        <v>37</v>
      </c>
      <c r="D2065" s="132" t="s">
        <v>13392</v>
      </c>
      <c r="E2065" s="132" t="s">
        <v>13393</v>
      </c>
      <c r="F2065" s="132" t="s">
        <v>40</v>
      </c>
      <c r="G2065" s="156" t="s">
        <v>13394</v>
      </c>
      <c r="H2065" s="156" t="s">
        <v>13395</v>
      </c>
      <c r="I2065" s="168" t="s">
        <v>13068</v>
      </c>
      <c r="J2065" s="169" t="s">
        <v>514</v>
      </c>
    </row>
    <row r="2066" spans="1:11">
      <c r="A2066" s="154" t="s">
        <v>20</v>
      </c>
      <c r="B2066" s="155" t="s">
        <v>13396</v>
      </c>
      <c r="C2066" s="132" t="s">
        <v>13</v>
      </c>
      <c r="D2066" s="132" t="s">
        <v>13397</v>
      </c>
      <c r="E2066" s="132" t="s">
        <v>13398</v>
      </c>
      <c r="F2066" s="132" t="s">
        <v>40</v>
      </c>
      <c r="G2066" s="156" t="s">
        <v>13399</v>
      </c>
      <c r="H2066" s="156" t="s">
        <v>13400</v>
      </c>
      <c r="I2066" s="168" t="s">
        <v>8015</v>
      </c>
      <c r="J2066" s="169" t="s">
        <v>88</v>
      </c>
    </row>
    <row r="2067" spans="1:11">
      <c r="A2067" s="154" t="s">
        <v>20</v>
      </c>
      <c r="B2067" s="155" t="s">
        <v>13401</v>
      </c>
      <c r="C2067" s="132" t="s">
        <v>21</v>
      </c>
      <c r="D2067" s="132" t="s">
        <v>13402</v>
      </c>
      <c r="E2067" s="132" t="s">
        <v>13403</v>
      </c>
      <c r="F2067" s="132" t="s">
        <v>40</v>
      </c>
      <c r="G2067" s="156" t="s">
        <v>13404</v>
      </c>
      <c r="H2067" s="156" t="s">
        <v>13405</v>
      </c>
      <c r="I2067" s="168" t="s">
        <v>1628</v>
      </c>
      <c r="J2067" s="169" t="s">
        <v>88</v>
      </c>
    </row>
    <row r="2068" spans="1:11">
      <c r="A2068" s="154" t="s">
        <v>20</v>
      </c>
      <c r="B2068" s="155" t="s">
        <v>13406</v>
      </c>
      <c r="C2068" s="132" t="s">
        <v>21</v>
      </c>
      <c r="D2068" s="132" t="s">
        <v>13407</v>
      </c>
      <c r="E2068" s="132" t="s">
        <v>13408</v>
      </c>
      <c r="F2068" s="132" t="s">
        <v>40</v>
      </c>
      <c r="G2068" s="156" t="s">
        <v>13409</v>
      </c>
      <c r="H2068" s="156" t="s">
        <v>13410</v>
      </c>
      <c r="I2068" s="168" t="s">
        <v>1628</v>
      </c>
      <c r="J2068" s="169" t="s">
        <v>88</v>
      </c>
    </row>
    <row r="2069" spans="1:11">
      <c r="A2069" s="154" t="s">
        <v>95</v>
      </c>
      <c r="B2069" s="155" t="s">
        <v>13411</v>
      </c>
      <c r="C2069" s="132" t="s">
        <v>97</v>
      </c>
      <c r="D2069" s="132" t="s">
        <v>13412</v>
      </c>
      <c r="E2069" s="132" t="s">
        <v>13413</v>
      </c>
      <c r="F2069" s="132" t="s">
        <v>40</v>
      </c>
      <c r="G2069" s="156" t="s">
        <v>13414</v>
      </c>
      <c r="H2069" s="156" t="s">
        <v>13415</v>
      </c>
      <c r="I2069" s="168" t="s">
        <v>4635</v>
      </c>
      <c r="J2069" s="169" t="s">
        <v>514</v>
      </c>
    </row>
    <row r="2070" spans="1:11">
      <c r="A2070" s="154" t="s">
        <v>95</v>
      </c>
      <c r="B2070" s="155" t="s">
        <v>13416</v>
      </c>
      <c r="C2070" s="132" t="s">
        <v>1763</v>
      </c>
      <c r="D2070" s="132" t="s">
        <v>13417</v>
      </c>
      <c r="E2070" s="132" t="s">
        <v>13418</v>
      </c>
      <c r="F2070" s="132" t="s">
        <v>40</v>
      </c>
      <c r="G2070" s="156" t="s">
        <v>13419</v>
      </c>
      <c r="H2070" s="156" t="s">
        <v>13420</v>
      </c>
      <c r="I2070" s="168" t="s">
        <v>4635</v>
      </c>
      <c r="J2070" s="169" t="s">
        <v>514</v>
      </c>
    </row>
    <row r="2071" spans="1:11">
      <c r="A2071" s="154" t="s">
        <v>95</v>
      </c>
      <c r="B2071" s="155" t="s">
        <v>13421</v>
      </c>
      <c r="C2071" s="132" t="s">
        <v>28</v>
      </c>
      <c r="D2071" s="132" t="s">
        <v>13422</v>
      </c>
      <c r="E2071" s="132" t="s">
        <v>13423</v>
      </c>
      <c r="F2071" s="132" t="s">
        <v>40</v>
      </c>
      <c r="G2071" s="156" t="s">
        <v>13424</v>
      </c>
      <c r="H2071" s="156" t="s">
        <v>13425</v>
      </c>
      <c r="I2071" s="168" t="s">
        <v>980</v>
      </c>
      <c r="J2071" s="169" t="s">
        <v>514</v>
      </c>
    </row>
    <row r="2072" spans="1:11">
      <c r="A2072" s="154" t="s">
        <v>20</v>
      </c>
      <c r="B2072" s="155" t="s">
        <v>13426</v>
      </c>
      <c r="C2072" s="132" t="s">
        <v>21</v>
      </c>
      <c r="D2072" s="132" t="s">
        <v>13427</v>
      </c>
      <c r="E2072" s="132" t="s">
        <v>13428</v>
      </c>
      <c r="F2072" s="132" t="s">
        <v>40</v>
      </c>
      <c r="G2072" s="156" t="s">
        <v>13429</v>
      </c>
      <c r="H2072" s="156" t="s">
        <v>13430</v>
      </c>
      <c r="I2072" s="168" t="s">
        <v>1628</v>
      </c>
      <c r="J2072" s="169" t="s">
        <v>88</v>
      </c>
    </row>
    <row r="2073" spans="1:11">
      <c r="A2073" s="154" t="s">
        <v>106</v>
      </c>
      <c r="B2073" s="155" t="s">
        <v>13431</v>
      </c>
      <c r="C2073" s="132" t="s">
        <v>333</v>
      </c>
      <c r="D2073" s="132" t="s">
        <v>13432</v>
      </c>
      <c r="E2073" s="132" t="s">
        <v>13433</v>
      </c>
      <c r="F2073" s="132" t="s">
        <v>40</v>
      </c>
      <c r="G2073" s="156" t="s">
        <v>13434</v>
      </c>
      <c r="H2073" s="156" t="s">
        <v>13435</v>
      </c>
      <c r="I2073" s="168" t="s">
        <v>6640</v>
      </c>
      <c r="J2073" s="169" t="s">
        <v>88</v>
      </c>
      <c r="K2073" s="169" t="s">
        <v>514</v>
      </c>
    </row>
    <row r="2074" spans="1:11">
      <c r="A2074" s="154" t="s">
        <v>20</v>
      </c>
      <c r="B2074" s="155" t="s">
        <v>13436</v>
      </c>
      <c r="C2074" s="132" t="s">
        <v>21</v>
      </c>
      <c r="D2074" s="132" t="s">
        <v>13437</v>
      </c>
      <c r="E2074" s="132" t="s">
        <v>13438</v>
      </c>
      <c r="F2074" s="132" t="s">
        <v>40</v>
      </c>
      <c r="G2074" s="156" t="s">
        <v>13439</v>
      </c>
      <c r="H2074" s="156" t="s">
        <v>13440</v>
      </c>
      <c r="I2074" s="168" t="s">
        <v>1628</v>
      </c>
      <c r="J2074" s="169" t="s">
        <v>88</v>
      </c>
    </row>
    <row r="2075" spans="1:11">
      <c r="A2075" s="154" t="s">
        <v>20</v>
      </c>
      <c r="B2075" s="155" t="s">
        <v>13441</v>
      </c>
      <c r="C2075" s="132" t="s">
        <v>21</v>
      </c>
      <c r="D2075" s="132" t="s">
        <v>13442</v>
      </c>
      <c r="E2075" s="132" t="s">
        <v>13443</v>
      </c>
      <c r="F2075" s="132" t="s">
        <v>40</v>
      </c>
      <c r="G2075" s="156" t="s">
        <v>13444</v>
      </c>
      <c r="H2075" s="156" t="s">
        <v>13445</v>
      </c>
      <c r="I2075" s="168" t="s">
        <v>1628</v>
      </c>
      <c r="J2075" s="169" t="s">
        <v>88</v>
      </c>
    </row>
    <row r="2076" spans="1:11">
      <c r="A2076" s="154" t="s">
        <v>20</v>
      </c>
      <c r="B2076" s="155" t="s">
        <v>13446</v>
      </c>
      <c r="C2076" s="132" t="s">
        <v>21</v>
      </c>
      <c r="D2076" s="132" t="s">
        <v>13447</v>
      </c>
      <c r="E2076" s="132" t="s">
        <v>13448</v>
      </c>
      <c r="F2076" s="132" t="s">
        <v>40</v>
      </c>
      <c r="G2076" s="156" t="s">
        <v>13449</v>
      </c>
      <c r="H2076" s="156" t="s">
        <v>13450</v>
      </c>
      <c r="I2076" s="168" t="s">
        <v>1628</v>
      </c>
      <c r="J2076" s="169" t="s">
        <v>88</v>
      </c>
    </row>
    <row r="2077" spans="1:11">
      <c r="A2077" s="154" t="s">
        <v>106</v>
      </c>
      <c r="B2077" s="155" t="s">
        <v>13451</v>
      </c>
      <c r="C2077" s="132" t="s">
        <v>333</v>
      </c>
      <c r="D2077" s="132" t="s">
        <v>13452</v>
      </c>
      <c r="E2077" s="132" t="s">
        <v>13453</v>
      </c>
      <c r="F2077" s="132" t="s">
        <v>40</v>
      </c>
      <c r="G2077" s="156" t="s">
        <v>13454</v>
      </c>
      <c r="H2077" s="156" t="s">
        <v>13455</v>
      </c>
      <c r="I2077" s="168" t="s">
        <v>346</v>
      </c>
      <c r="J2077" s="169" t="s">
        <v>514</v>
      </c>
      <c r="K2077" s="169" t="s">
        <v>88</v>
      </c>
    </row>
    <row r="2078" spans="1:11">
      <c r="A2078" s="154" t="s">
        <v>95</v>
      </c>
      <c r="B2078" s="155" t="s">
        <v>13456</v>
      </c>
      <c r="C2078" s="132" t="s">
        <v>97</v>
      </c>
      <c r="D2078" s="132" t="s">
        <v>12887</v>
      </c>
      <c r="E2078" s="132" t="s">
        <v>13457</v>
      </c>
      <c r="F2078" s="132" t="s">
        <v>40</v>
      </c>
      <c r="G2078" s="156" t="s">
        <v>13458</v>
      </c>
      <c r="H2078" s="156" t="s">
        <v>13459</v>
      </c>
      <c r="I2078" s="168" t="s">
        <v>4635</v>
      </c>
      <c r="J2078" s="169" t="s">
        <v>514</v>
      </c>
      <c r="K2078" s="169" t="s">
        <v>88</v>
      </c>
    </row>
    <row r="2079" spans="1:11">
      <c r="A2079" s="154" t="s">
        <v>106</v>
      </c>
      <c r="B2079" s="155" t="s">
        <v>13460</v>
      </c>
      <c r="C2079" s="132" t="s">
        <v>333</v>
      </c>
      <c r="D2079" s="132" t="s">
        <v>13461</v>
      </c>
      <c r="E2079" s="132" t="s">
        <v>13462</v>
      </c>
      <c r="F2079" s="132" t="s">
        <v>40</v>
      </c>
      <c r="G2079" s="156" t="s">
        <v>13463</v>
      </c>
      <c r="H2079" s="156" t="s">
        <v>13464</v>
      </c>
      <c r="I2079" s="168" t="s">
        <v>346</v>
      </c>
      <c r="J2079" s="169" t="s">
        <v>88</v>
      </c>
    </row>
    <row r="2080" spans="1:11">
      <c r="A2080" s="154" t="s">
        <v>20</v>
      </c>
      <c r="B2080" s="155" t="s">
        <v>13465</v>
      </c>
      <c r="C2080" s="132" t="s">
        <v>21</v>
      </c>
      <c r="D2080" s="132" t="s">
        <v>13466</v>
      </c>
      <c r="E2080" s="132" t="s">
        <v>13467</v>
      </c>
      <c r="F2080" s="132" t="s">
        <v>40</v>
      </c>
      <c r="G2080" s="156" t="s">
        <v>13468</v>
      </c>
      <c r="H2080" s="156" t="s">
        <v>13469</v>
      </c>
      <c r="I2080" s="168" t="s">
        <v>1628</v>
      </c>
      <c r="J2080" s="169" t="s">
        <v>88</v>
      </c>
    </row>
    <row r="2081" spans="1:11">
      <c r="A2081" s="154" t="s">
        <v>20</v>
      </c>
      <c r="B2081" s="155" t="s">
        <v>13470</v>
      </c>
      <c r="C2081" s="132" t="s">
        <v>21</v>
      </c>
      <c r="D2081" s="132" t="s">
        <v>13471</v>
      </c>
      <c r="E2081" s="132" t="s">
        <v>13472</v>
      </c>
      <c r="F2081" s="132" t="s">
        <v>40</v>
      </c>
      <c r="G2081" s="156" t="s">
        <v>13473</v>
      </c>
      <c r="H2081" s="156" t="s">
        <v>13474</v>
      </c>
      <c r="I2081" s="168" t="s">
        <v>1628</v>
      </c>
      <c r="J2081" s="169" t="s">
        <v>88</v>
      </c>
    </row>
    <row r="2082" spans="1:11">
      <c r="A2082" s="154" t="s">
        <v>20</v>
      </c>
      <c r="B2082" s="155" t="s">
        <v>13475</v>
      </c>
      <c r="C2082" s="132" t="s">
        <v>21</v>
      </c>
      <c r="D2082" s="132" t="s">
        <v>13476</v>
      </c>
      <c r="E2082" s="132" t="s">
        <v>13477</v>
      </c>
      <c r="F2082" s="132" t="s">
        <v>40</v>
      </c>
      <c r="G2082" s="156" t="s">
        <v>13478</v>
      </c>
      <c r="H2082" s="156" t="s">
        <v>13479</v>
      </c>
      <c r="I2082" s="168" t="s">
        <v>1628</v>
      </c>
      <c r="J2082" s="169" t="s">
        <v>88</v>
      </c>
    </row>
    <row r="2083" spans="1:11">
      <c r="A2083" s="154" t="s">
        <v>20</v>
      </c>
      <c r="B2083" s="155" t="s">
        <v>13480</v>
      </c>
      <c r="C2083" s="132" t="s">
        <v>21</v>
      </c>
      <c r="D2083" s="132" t="s">
        <v>13481</v>
      </c>
      <c r="E2083" s="132" t="s">
        <v>13482</v>
      </c>
      <c r="F2083" s="132" t="s">
        <v>40</v>
      </c>
      <c r="G2083" s="178" t="s">
        <v>13483</v>
      </c>
      <c r="H2083" s="156" t="s">
        <v>13484</v>
      </c>
      <c r="I2083" s="168" t="s">
        <v>1628</v>
      </c>
      <c r="J2083" s="169" t="s">
        <v>88</v>
      </c>
    </row>
    <row r="2084" spans="1:11">
      <c r="A2084" s="154" t="s">
        <v>20</v>
      </c>
      <c r="B2084" s="155" t="s">
        <v>13485</v>
      </c>
      <c r="C2084" s="132" t="s">
        <v>21</v>
      </c>
      <c r="D2084" s="132" t="s">
        <v>13486</v>
      </c>
      <c r="E2084" s="132" t="s">
        <v>13487</v>
      </c>
      <c r="F2084" s="132" t="s">
        <v>40</v>
      </c>
      <c r="G2084" s="156" t="s">
        <v>13483</v>
      </c>
      <c r="H2084" s="156" t="s">
        <v>13488</v>
      </c>
      <c r="I2084" s="168" t="s">
        <v>1628</v>
      </c>
      <c r="J2084" s="169" t="s">
        <v>88</v>
      </c>
    </row>
    <row r="2085" spans="1:11">
      <c r="A2085" s="154" t="s">
        <v>20</v>
      </c>
      <c r="B2085" s="155" t="s">
        <v>13489</v>
      </c>
      <c r="C2085" s="132" t="s">
        <v>21</v>
      </c>
      <c r="D2085" s="132" t="s">
        <v>13490</v>
      </c>
      <c r="E2085" s="132" t="s">
        <v>13491</v>
      </c>
      <c r="F2085" s="132" t="s">
        <v>40</v>
      </c>
      <c r="G2085" s="156" t="s">
        <v>13492</v>
      </c>
      <c r="H2085" s="156" t="s">
        <v>13493</v>
      </c>
      <c r="I2085" s="168" t="s">
        <v>1628</v>
      </c>
      <c r="J2085" s="169" t="s">
        <v>88</v>
      </c>
    </row>
    <row r="2086" spans="1:11">
      <c r="A2086" s="154" t="s">
        <v>106</v>
      </c>
      <c r="B2086" s="155" t="s">
        <v>13494</v>
      </c>
      <c r="C2086" s="132" t="s">
        <v>37</v>
      </c>
      <c r="D2086" s="132" t="s">
        <v>13495</v>
      </c>
      <c r="E2086" s="132" t="s">
        <v>13496</v>
      </c>
      <c r="F2086" s="132" t="s">
        <v>40</v>
      </c>
      <c r="G2086" s="156" t="s">
        <v>13497</v>
      </c>
      <c r="H2086" s="156" t="s">
        <v>13498</v>
      </c>
      <c r="I2086" s="168" t="s">
        <v>13068</v>
      </c>
      <c r="J2086" s="169" t="s">
        <v>514</v>
      </c>
    </row>
    <row r="2087" spans="1:11">
      <c r="A2087" s="154" t="s">
        <v>106</v>
      </c>
      <c r="B2087" s="155" t="s">
        <v>13499</v>
      </c>
      <c r="C2087" s="132" t="s">
        <v>333</v>
      </c>
      <c r="D2087" s="132" t="s">
        <v>13500</v>
      </c>
      <c r="E2087" s="132" t="s">
        <v>13501</v>
      </c>
      <c r="F2087" s="132" t="s">
        <v>40</v>
      </c>
      <c r="G2087" s="156" t="s">
        <v>13502</v>
      </c>
      <c r="H2087" s="156" t="s">
        <v>13503</v>
      </c>
      <c r="I2087" s="168" t="s">
        <v>346</v>
      </c>
      <c r="J2087" s="169" t="s">
        <v>514</v>
      </c>
    </row>
    <row r="2088" spans="1:11">
      <c r="A2088" s="154" t="s">
        <v>106</v>
      </c>
      <c r="B2088" s="155" t="s">
        <v>13504</v>
      </c>
      <c r="C2088" s="132" t="s">
        <v>333</v>
      </c>
      <c r="D2088" s="132" t="s">
        <v>13505</v>
      </c>
      <c r="E2088" s="132" t="s">
        <v>13506</v>
      </c>
      <c r="F2088" s="132" t="s">
        <v>40</v>
      </c>
      <c r="G2088" s="156" t="s">
        <v>13507</v>
      </c>
      <c r="H2088" s="156" t="s">
        <v>13508</v>
      </c>
      <c r="I2088" s="168" t="s">
        <v>6640</v>
      </c>
      <c r="J2088" s="169" t="s">
        <v>88</v>
      </c>
      <c r="K2088" s="169" t="s">
        <v>72</v>
      </c>
    </row>
    <row r="2089" spans="1:11">
      <c r="A2089" s="154" t="s">
        <v>20</v>
      </c>
      <c r="B2089" s="155" t="s">
        <v>13509</v>
      </c>
      <c r="C2089" s="132" t="s">
        <v>21</v>
      </c>
      <c r="D2089" s="132" t="s">
        <v>13510</v>
      </c>
      <c r="E2089" s="132" t="s">
        <v>13511</v>
      </c>
      <c r="F2089" s="132" t="s">
        <v>40</v>
      </c>
      <c r="G2089" s="156" t="s">
        <v>13512</v>
      </c>
      <c r="H2089" s="156" t="s">
        <v>13513</v>
      </c>
      <c r="I2089" s="168" t="s">
        <v>1628</v>
      </c>
      <c r="J2089" s="169" t="s">
        <v>88</v>
      </c>
    </row>
    <row r="2090" spans="1:11">
      <c r="A2090" s="154" t="s">
        <v>95</v>
      </c>
      <c r="B2090" s="155" t="s">
        <v>13514</v>
      </c>
      <c r="C2090" s="132" t="s">
        <v>6047</v>
      </c>
      <c r="D2090" s="132" t="s">
        <v>13515</v>
      </c>
      <c r="E2090" s="132" t="s">
        <v>13516</v>
      </c>
      <c r="F2090" s="132" t="s">
        <v>40</v>
      </c>
      <c r="G2090" s="156" t="s">
        <v>13517</v>
      </c>
      <c r="H2090" s="143" t="s">
        <v>13518</v>
      </c>
      <c r="I2090" s="168" t="s">
        <v>13519</v>
      </c>
      <c r="J2090" s="169" t="s">
        <v>88</v>
      </c>
    </row>
    <row r="2091" spans="1:11">
      <c r="A2091" s="154" t="s">
        <v>106</v>
      </c>
      <c r="B2091" s="155" t="s">
        <v>13520</v>
      </c>
      <c r="C2091" s="132" t="s">
        <v>37</v>
      </c>
      <c r="D2091" s="132" t="s">
        <v>13521</v>
      </c>
      <c r="E2091" s="132" t="s">
        <v>13522</v>
      </c>
      <c r="F2091" s="132" t="s">
        <v>40</v>
      </c>
      <c r="G2091" s="156">
        <v>45525.490277777775</v>
      </c>
      <c r="H2091" s="156">
        <v>45526.694444444445</v>
      </c>
      <c r="I2091" s="168" t="s">
        <v>13068</v>
      </c>
      <c r="J2091" s="169" t="s">
        <v>72</v>
      </c>
    </row>
    <row r="2092" spans="1:11">
      <c r="A2092" s="154" t="s">
        <v>20</v>
      </c>
      <c r="B2092" s="155" t="s">
        <v>13523</v>
      </c>
      <c r="C2092" s="132" t="s">
        <v>13</v>
      </c>
      <c r="D2092" s="132" t="s">
        <v>13524</v>
      </c>
      <c r="E2092" s="132" t="s">
        <v>13525</v>
      </c>
      <c r="F2092" s="132" t="s">
        <v>40</v>
      </c>
      <c r="G2092" s="156">
        <v>45525.538194444445</v>
      </c>
      <c r="H2092" s="156">
        <v>45525.552777777775</v>
      </c>
      <c r="I2092" s="168" t="s">
        <v>17</v>
      </c>
      <c r="J2092" s="169" t="s">
        <v>72</v>
      </c>
    </row>
    <row r="2093" spans="1:11">
      <c r="A2093" s="154" t="s">
        <v>20</v>
      </c>
      <c r="B2093" s="155" t="s">
        <v>13526</v>
      </c>
      <c r="C2093" s="132" t="s">
        <v>13</v>
      </c>
      <c r="D2093" s="132" t="s">
        <v>13527</v>
      </c>
      <c r="E2093" s="132" t="s">
        <v>13528</v>
      </c>
      <c r="F2093" s="132" t="s">
        <v>40</v>
      </c>
      <c r="G2093" s="156">
        <v>45525.538888888892</v>
      </c>
      <c r="H2093" s="156">
        <v>45525.796527777777</v>
      </c>
      <c r="I2093" s="168" t="s">
        <v>17</v>
      </c>
      <c r="J2093" s="169" t="s">
        <v>72</v>
      </c>
    </row>
    <row r="2094" spans="1:11">
      <c r="A2094" s="154" t="s">
        <v>20</v>
      </c>
      <c r="B2094" s="155" t="s">
        <v>13529</v>
      </c>
      <c r="C2094" s="132" t="s">
        <v>13</v>
      </c>
      <c r="D2094" s="132" t="s">
        <v>13530</v>
      </c>
      <c r="E2094" s="132" t="s">
        <v>13531</v>
      </c>
      <c r="F2094" s="132" t="s">
        <v>40</v>
      </c>
      <c r="G2094" s="156">
        <v>45526.043055555558</v>
      </c>
      <c r="H2094" s="156">
        <v>45526.12777777778</v>
      </c>
      <c r="I2094" s="168" t="s">
        <v>11612</v>
      </c>
      <c r="J2094" s="169" t="s">
        <v>9367</v>
      </c>
    </row>
    <row r="2095" spans="1:11">
      <c r="A2095" s="154" t="s">
        <v>20</v>
      </c>
      <c r="B2095" s="155" t="s">
        <v>13532</v>
      </c>
      <c r="C2095" s="132" t="s">
        <v>49</v>
      </c>
      <c r="D2095" s="132" t="s">
        <v>13533</v>
      </c>
      <c r="E2095" s="132" t="s">
        <v>13534</v>
      </c>
      <c r="F2095" s="132" t="s">
        <v>40</v>
      </c>
      <c r="G2095" s="156">
        <v>45526.411805555559</v>
      </c>
      <c r="H2095" s="156">
        <v>45526.972222222219</v>
      </c>
      <c r="I2095" s="168" t="s">
        <v>1757</v>
      </c>
      <c r="J2095" s="169" t="s">
        <v>72</v>
      </c>
    </row>
    <row r="2096" spans="1:11">
      <c r="A2096" s="154" t="s">
        <v>106</v>
      </c>
      <c r="B2096" s="155" t="s">
        <v>13535</v>
      </c>
      <c r="C2096" s="132" t="s">
        <v>37</v>
      </c>
      <c r="D2096" s="132" t="s">
        <v>13536</v>
      </c>
      <c r="E2096" s="132" t="s">
        <v>13537</v>
      </c>
      <c r="F2096" s="132" t="s">
        <v>40</v>
      </c>
      <c r="G2096" s="156">
        <v>45526.411805555559</v>
      </c>
      <c r="H2096" s="156">
        <v>45526.76458333333</v>
      </c>
      <c r="I2096" s="168" t="s">
        <v>13538</v>
      </c>
      <c r="J2096" s="169" t="s">
        <v>72</v>
      </c>
    </row>
    <row r="2097" spans="1:10">
      <c r="A2097" s="154" t="s">
        <v>20</v>
      </c>
      <c r="B2097" s="155" t="s">
        <v>13539</v>
      </c>
      <c r="C2097" s="132" t="s">
        <v>13</v>
      </c>
      <c r="D2097" s="132" t="s">
        <v>13540</v>
      </c>
      <c r="E2097" s="132" t="s">
        <v>13541</v>
      </c>
      <c r="F2097" s="132" t="s">
        <v>40</v>
      </c>
      <c r="G2097" s="156">
        <v>45526.527083333334</v>
      </c>
      <c r="H2097" s="156">
        <v>45526.544444444444</v>
      </c>
      <c r="I2097" s="168" t="s">
        <v>13542</v>
      </c>
      <c r="J2097" s="169" t="s">
        <v>72</v>
      </c>
    </row>
    <row r="2098" spans="1:10">
      <c r="A2098" s="154" t="s">
        <v>95</v>
      </c>
      <c r="B2098" s="155" t="s">
        <v>13543</v>
      </c>
      <c r="C2098" s="132" t="s">
        <v>28</v>
      </c>
      <c r="D2098" s="132" t="s">
        <v>13544</v>
      </c>
      <c r="E2098" s="132" t="s">
        <v>13545</v>
      </c>
      <c r="F2098" s="132" t="s">
        <v>40</v>
      </c>
      <c r="G2098" s="156">
        <v>45526.557638888888</v>
      </c>
      <c r="H2098" s="156">
        <v>45526.618055555555</v>
      </c>
      <c r="I2098" s="168" t="s">
        <v>13546</v>
      </c>
      <c r="J2098" s="169" t="s">
        <v>72</v>
      </c>
    </row>
    <row r="2099" spans="1:10">
      <c r="A2099" s="154" t="s">
        <v>95</v>
      </c>
      <c r="B2099" s="155" t="s">
        <v>13547</v>
      </c>
      <c r="C2099" s="132" t="s">
        <v>97</v>
      </c>
      <c r="D2099" s="132" t="s">
        <v>13548</v>
      </c>
      <c r="E2099" s="194" t="s">
        <v>13549</v>
      </c>
      <c r="F2099" s="132" t="s">
        <v>40</v>
      </c>
      <c r="G2099" s="156">
        <v>45526.87222222222</v>
      </c>
      <c r="H2099" s="156">
        <v>45526.884027777778</v>
      </c>
      <c r="I2099" s="168" t="s">
        <v>13550</v>
      </c>
      <c r="J2099" s="169" t="s">
        <v>9367</v>
      </c>
    </row>
    <row r="2100" spans="1:10">
      <c r="A2100" s="154" t="s">
        <v>95</v>
      </c>
      <c r="B2100" s="155" t="s">
        <v>13551</v>
      </c>
      <c r="C2100" s="132" t="s">
        <v>6047</v>
      </c>
      <c r="D2100" s="132" t="s">
        <v>13552</v>
      </c>
      <c r="E2100" s="195" t="s">
        <v>13553</v>
      </c>
      <c r="F2100" s="132" t="s">
        <v>40</v>
      </c>
      <c r="G2100" s="156">
        <v>45526.948611111111</v>
      </c>
      <c r="H2100" s="156">
        <v>45526.964583333334</v>
      </c>
      <c r="I2100" s="168" t="s">
        <v>13554</v>
      </c>
      <c r="J2100" s="169" t="s">
        <v>9367</v>
      </c>
    </row>
    <row r="2101" spans="1:10">
      <c r="A2101" s="154" t="s">
        <v>95</v>
      </c>
      <c r="B2101" s="155" t="s">
        <v>13555</v>
      </c>
      <c r="C2101" s="132" t="s">
        <v>1763</v>
      </c>
      <c r="D2101" s="132" t="s">
        <v>13556</v>
      </c>
      <c r="E2101" s="194" t="s">
        <v>13557</v>
      </c>
      <c r="F2101" s="132" t="s">
        <v>40</v>
      </c>
      <c r="G2101" s="156">
        <v>45527.001388888886</v>
      </c>
      <c r="H2101" s="156">
        <v>45528.85833333333</v>
      </c>
      <c r="I2101" s="168" t="s">
        <v>866</v>
      </c>
      <c r="J2101" s="169" t="s">
        <v>9367</v>
      </c>
    </row>
    <row r="2102" spans="1:10">
      <c r="A2102" s="154" t="s">
        <v>20</v>
      </c>
      <c r="B2102" s="155" t="s">
        <v>13558</v>
      </c>
      <c r="C2102" s="132" t="s">
        <v>21</v>
      </c>
      <c r="D2102" s="132" t="s">
        <v>13559</v>
      </c>
      <c r="E2102" s="195" t="s">
        <v>13560</v>
      </c>
      <c r="F2102" s="132" t="s">
        <v>40</v>
      </c>
      <c r="G2102" s="156">
        <v>45527.181250000001</v>
      </c>
      <c r="H2102" s="156">
        <v>45527.231249999997</v>
      </c>
      <c r="I2102" s="168" t="s">
        <v>64</v>
      </c>
      <c r="J2102" s="169" t="s">
        <v>9367</v>
      </c>
    </row>
    <row r="2103" spans="1:10">
      <c r="A2103" s="154" t="s">
        <v>95</v>
      </c>
      <c r="B2103" s="155" t="s">
        <v>13561</v>
      </c>
      <c r="C2103" s="132" t="s">
        <v>97</v>
      </c>
      <c r="D2103" s="132" t="s">
        <v>13562</v>
      </c>
      <c r="E2103" s="132" t="s">
        <v>13563</v>
      </c>
      <c r="F2103" s="132" t="s">
        <v>40</v>
      </c>
      <c r="G2103" s="156">
        <v>45527.396527777775</v>
      </c>
      <c r="H2103" s="156">
        <v>45527.459722222222</v>
      </c>
      <c r="I2103" s="168" t="s">
        <v>8036</v>
      </c>
      <c r="J2103" s="169" t="s">
        <v>72</v>
      </c>
    </row>
    <row r="2104" spans="1:10">
      <c r="A2104" s="154" t="s">
        <v>20</v>
      </c>
      <c r="B2104" s="155" t="s">
        <v>13564</v>
      </c>
      <c r="C2104" s="132" t="s">
        <v>49</v>
      </c>
      <c r="D2104" s="132" t="s">
        <v>13565</v>
      </c>
      <c r="E2104" s="132" t="s">
        <v>13566</v>
      </c>
      <c r="F2104" s="132" t="s">
        <v>40</v>
      </c>
      <c r="G2104" s="156">
        <v>45527.421527777777</v>
      </c>
      <c r="H2104" s="156">
        <v>45527.430555555555</v>
      </c>
      <c r="I2104" s="168" t="s">
        <v>2912</v>
      </c>
      <c r="J2104" s="169" t="s">
        <v>72</v>
      </c>
    </row>
    <row r="2105" spans="1:10">
      <c r="A2105" s="154" t="s">
        <v>106</v>
      </c>
      <c r="B2105" s="155" t="s">
        <v>13567</v>
      </c>
      <c r="C2105" s="132" t="s">
        <v>37</v>
      </c>
      <c r="D2105" s="132" t="s">
        <v>13568</v>
      </c>
      <c r="E2105" s="132" t="s">
        <v>13569</v>
      </c>
      <c r="F2105" s="132" t="s">
        <v>40</v>
      </c>
      <c r="G2105" s="156">
        <v>45527.52847222222</v>
      </c>
      <c r="H2105" s="156">
        <v>45527.722916666666</v>
      </c>
      <c r="I2105" s="168" t="s">
        <v>13570</v>
      </c>
      <c r="J2105" s="169" t="s">
        <v>72</v>
      </c>
    </row>
    <row r="2106" spans="1:10">
      <c r="A2106" s="154" t="s">
        <v>95</v>
      </c>
      <c r="B2106" s="155" t="s">
        <v>13571</v>
      </c>
      <c r="C2106" s="132" t="s">
        <v>97</v>
      </c>
      <c r="D2106" s="132" t="s">
        <v>1933</v>
      </c>
      <c r="E2106" s="132" t="s">
        <v>13572</v>
      </c>
      <c r="F2106" s="132" t="s">
        <v>40</v>
      </c>
      <c r="G2106" s="156">
        <v>45527.633333333331</v>
      </c>
      <c r="H2106" s="156">
        <v>45527.65</v>
      </c>
      <c r="I2106" s="168" t="s">
        <v>32</v>
      </c>
      <c r="J2106" s="169" t="s">
        <v>72</v>
      </c>
    </row>
    <row r="2107" spans="1:10">
      <c r="A2107" s="154" t="s">
        <v>106</v>
      </c>
      <c r="B2107" s="155" t="s">
        <v>13573</v>
      </c>
      <c r="C2107" s="132" t="s">
        <v>108</v>
      </c>
      <c r="D2107" s="132" t="s">
        <v>13574</v>
      </c>
      <c r="E2107" s="132" t="s">
        <v>13575</v>
      </c>
      <c r="F2107" s="132" t="s">
        <v>40</v>
      </c>
      <c r="G2107" s="156">
        <v>45527.686111111114</v>
      </c>
      <c r="H2107" s="156">
        <v>45527.729861111111</v>
      </c>
      <c r="I2107" s="168" t="s">
        <v>3320</v>
      </c>
      <c r="J2107" s="169" t="s">
        <v>72</v>
      </c>
    </row>
    <row r="2108" spans="1:10">
      <c r="A2108" s="154" t="s">
        <v>95</v>
      </c>
      <c r="B2108" s="155" t="s">
        <v>13576</v>
      </c>
      <c r="C2108" s="132" t="s">
        <v>118</v>
      </c>
      <c r="D2108" s="132" t="s">
        <v>13577</v>
      </c>
      <c r="E2108" s="132" t="s">
        <v>13578</v>
      </c>
      <c r="F2108" s="132" t="s">
        <v>40</v>
      </c>
      <c r="G2108" s="156">
        <v>45527.856944444444</v>
      </c>
      <c r="H2108" s="156">
        <v>45527.856944444444</v>
      </c>
      <c r="I2108" s="168" t="s">
        <v>13579</v>
      </c>
      <c r="J2108" s="169" t="s">
        <v>9367</v>
      </c>
    </row>
    <row r="2109" spans="1:10">
      <c r="A2109" s="154" t="s">
        <v>20</v>
      </c>
      <c r="B2109" s="155" t="s">
        <v>13580</v>
      </c>
      <c r="C2109" s="132" t="s">
        <v>21</v>
      </c>
      <c r="D2109" s="132" t="s">
        <v>13581</v>
      </c>
      <c r="E2109" s="132" t="s">
        <v>13582</v>
      </c>
      <c r="F2109" s="132" t="s">
        <v>40</v>
      </c>
      <c r="G2109" s="156">
        <v>45527.865972222222</v>
      </c>
      <c r="H2109" s="156">
        <v>45527.880555555559</v>
      </c>
      <c r="I2109" s="168" t="s">
        <v>64</v>
      </c>
      <c r="J2109" s="169" t="s">
        <v>9367</v>
      </c>
    </row>
    <row r="2110" spans="1:10" hidden="1">
      <c r="A2110" s="154" t="s">
        <v>95</v>
      </c>
      <c r="B2110" s="155" t="s">
        <v>13583</v>
      </c>
      <c r="C2110" s="132" t="s">
        <v>6047</v>
      </c>
      <c r="D2110" s="132" t="s">
        <v>13584</v>
      </c>
      <c r="E2110" s="132" t="s">
        <v>13585</v>
      </c>
      <c r="F2110" s="132" t="s">
        <v>130</v>
      </c>
      <c r="G2110" s="156">
        <v>45527.893750000003</v>
      </c>
      <c r="I2110" s="168" t="s">
        <v>13554</v>
      </c>
      <c r="J2110" s="169" t="s">
        <v>9367</v>
      </c>
    </row>
    <row r="2111" spans="1:10">
      <c r="A2111" s="154" t="s">
        <v>95</v>
      </c>
      <c r="B2111" s="155" t="s">
        <v>13586</v>
      </c>
      <c r="C2111" s="132" t="s">
        <v>113</v>
      </c>
      <c r="D2111" s="132" t="s">
        <v>13587</v>
      </c>
      <c r="E2111" s="132" t="s">
        <v>13588</v>
      </c>
      <c r="F2111" s="132" t="s">
        <v>40</v>
      </c>
      <c r="G2111" s="156">
        <v>45527.99722222222</v>
      </c>
      <c r="H2111" s="156">
        <v>45529.23333333333</v>
      </c>
      <c r="I2111" s="168" t="s">
        <v>866</v>
      </c>
      <c r="J2111" s="169" t="s">
        <v>9367</v>
      </c>
    </row>
    <row r="2112" spans="1:10">
      <c r="A2112" s="154" t="s">
        <v>20</v>
      </c>
      <c r="B2112" s="155" t="s">
        <v>13589</v>
      </c>
      <c r="C2112" s="132" t="s">
        <v>13</v>
      </c>
      <c r="D2112" s="194" t="s">
        <v>13590</v>
      </c>
      <c r="E2112" s="132" t="s">
        <v>13591</v>
      </c>
      <c r="F2112" s="132" t="s">
        <v>40</v>
      </c>
      <c r="G2112" s="156">
        <v>45528.309027777781</v>
      </c>
      <c r="H2112" s="156">
        <v>45531.329861111109</v>
      </c>
      <c r="I2112" s="168" t="s">
        <v>2618</v>
      </c>
      <c r="J2112" s="169" t="s">
        <v>9367</v>
      </c>
    </row>
    <row r="2113" spans="1:11">
      <c r="A2113" s="154" t="s">
        <v>106</v>
      </c>
      <c r="B2113" s="155" t="s">
        <v>13592</v>
      </c>
      <c r="C2113" s="132" t="s">
        <v>37</v>
      </c>
      <c r="D2113" s="132" t="s">
        <v>13593</v>
      </c>
      <c r="E2113" s="132" t="s">
        <v>13594</v>
      </c>
      <c r="F2113" s="132" t="s">
        <v>40</v>
      </c>
      <c r="G2113" s="156">
        <v>45528.334027777775</v>
      </c>
      <c r="H2113" s="156">
        <v>45528.363888888889</v>
      </c>
      <c r="I2113" s="168" t="s">
        <v>13570</v>
      </c>
      <c r="J2113" s="169" t="s">
        <v>72</v>
      </c>
    </row>
    <row r="2114" spans="1:11">
      <c r="A2114" s="154" t="s">
        <v>95</v>
      </c>
      <c r="B2114" s="155" t="s">
        <v>13595</v>
      </c>
      <c r="C2114" s="132" t="s">
        <v>6047</v>
      </c>
      <c r="D2114" s="132" t="s">
        <v>13596</v>
      </c>
      <c r="E2114" s="132" t="s">
        <v>13597</v>
      </c>
      <c r="F2114" s="132" t="s">
        <v>40</v>
      </c>
      <c r="G2114" s="156">
        <v>45528.427083333336</v>
      </c>
      <c r="H2114" s="156">
        <v>45528.475694444445</v>
      </c>
      <c r="I2114" s="168" t="s">
        <v>6684</v>
      </c>
      <c r="J2114" s="169" t="s">
        <v>72</v>
      </c>
    </row>
    <row r="2115" spans="1:11">
      <c r="A2115" s="154" t="s">
        <v>20</v>
      </c>
      <c r="B2115" s="155" t="s">
        <v>13598</v>
      </c>
      <c r="C2115" s="132" t="s">
        <v>13</v>
      </c>
      <c r="D2115" s="132" t="s">
        <v>13599</v>
      </c>
      <c r="E2115" s="132" t="s">
        <v>13600</v>
      </c>
      <c r="F2115" s="132" t="s">
        <v>40</v>
      </c>
      <c r="G2115" s="156">
        <v>45528.426388888889</v>
      </c>
      <c r="H2115" s="156">
        <v>45528.48333333333</v>
      </c>
      <c r="I2115" s="168" t="s">
        <v>13601</v>
      </c>
      <c r="J2115" s="169" t="s">
        <v>72</v>
      </c>
    </row>
    <row r="2116" spans="1:11">
      <c r="A2116" s="154" t="s">
        <v>95</v>
      </c>
      <c r="B2116" s="155" t="s">
        <v>13602</v>
      </c>
      <c r="C2116" s="132" t="s">
        <v>97</v>
      </c>
      <c r="D2116" s="132" t="s">
        <v>13603</v>
      </c>
      <c r="E2116" s="132" t="s">
        <v>13604</v>
      </c>
      <c r="F2116" s="132" t="s">
        <v>40</v>
      </c>
      <c r="G2116" s="156">
        <v>45528.484027777777</v>
      </c>
      <c r="H2116" s="156">
        <v>45528.508333333331</v>
      </c>
      <c r="I2116" s="168" t="s">
        <v>1251</v>
      </c>
      <c r="J2116" s="169" t="s">
        <v>72</v>
      </c>
    </row>
    <row r="2117" spans="1:11">
      <c r="A2117" s="154" t="s">
        <v>95</v>
      </c>
      <c r="B2117" s="155" t="s">
        <v>13605</v>
      </c>
      <c r="C2117" s="132" t="s">
        <v>97</v>
      </c>
      <c r="D2117" s="132" t="s">
        <v>13606</v>
      </c>
      <c r="E2117" s="132" t="s">
        <v>13607</v>
      </c>
      <c r="F2117" s="132" t="s">
        <v>40</v>
      </c>
      <c r="G2117" s="156">
        <v>45528.506944444445</v>
      </c>
      <c r="H2117" s="156">
        <v>45528.743055555555</v>
      </c>
      <c r="I2117" s="168" t="s">
        <v>1251</v>
      </c>
      <c r="J2117" s="169" t="s">
        <v>72</v>
      </c>
    </row>
    <row r="2118" spans="1:11">
      <c r="A2118" s="154" t="s">
        <v>95</v>
      </c>
      <c r="B2118" s="155" t="s">
        <v>13608</v>
      </c>
      <c r="C2118" s="132" t="s">
        <v>113</v>
      </c>
      <c r="D2118" s="132" t="s">
        <v>13609</v>
      </c>
      <c r="E2118" s="132" t="s">
        <v>13610</v>
      </c>
      <c r="F2118" s="132" t="s">
        <v>40</v>
      </c>
      <c r="G2118" s="156">
        <v>45528.918749999997</v>
      </c>
      <c r="H2118" s="156">
        <v>45530.342361111114</v>
      </c>
      <c r="I2118" s="168" t="s">
        <v>866</v>
      </c>
      <c r="J2118" s="169" t="s">
        <v>9367</v>
      </c>
    </row>
    <row r="2119" spans="1:11">
      <c r="A2119" s="154" t="s">
        <v>20</v>
      </c>
      <c r="B2119" s="155" t="s">
        <v>13611</v>
      </c>
      <c r="C2119" s="132" t="s">
        <v>49</v>
      </c>
      <c r="D2119" s="132" t="s">
        <v>13612</v>
      </c>
      <c r="E2119" s="132" t="s">
        <v>13613</v>
      </c>
      <c r="F2119" s="132" t="s">
        <v>40</v>
      </c>
      <c r="G2119" s="156">
        <v>45528.854861111111</v>
      </c>
      <c r="H2119" s="156">
        <v>45529.052083333336</v>
      </c>
      <c r="I2119" s="168" t="s">
        <v>980</v>
      </c>
      <c r="J2119" s="169" t="s">
        <v>9367</v>
      </c>
    </row>
    <row r="2120" spans="1:11">
      <c r="A2120" s="154" t="s">
        <v>20</v>
      </c>
      <c r="B2120" s="155" t="s">
        <v>13614</v>
      </c>
      <c r="C2120" s="132" t="s">
        <v>37</v>
      </c>
      <c r="D2120" s="132" t="s">
        <v>13615</v>
      </c>
      <c r="E2120" s="132" t="s">
        <v>13616</v>
      </c>
      <c r="F2120" s="132" t="s">
        <v>40</v>
      </c>
      <c r="G2120" s="156">
        <v>45529.333333333336</v>
      </c>
      <c r="H2120" s="156">
        <v>45529.65</v>
      </c>
      <c r="I2120" s="168" t="s">
        <v>13570</v>
      </c>
      <c r="J2120" s="169" t="s">
        <v>72</v>
      </c>
    </row>
    <row r="2121" spans="1:11">
      <c r="A2121" s="154" t="s">
        <v>106</v>
      </c>
      <c r="B2121" s="155" t="s">
        <v>13617</v>
      </c>
      <c r="C2121" s="132" t="s">
        <v>21</v>
      </c>
      <c r="D2121" s="132" t="s">
        <v>13618</v>
      </c>
      <c r="E2121" s="132" t="s">
        <v>13619</v>
      </c>
      <c r="F2121" s="132" t="s">
        <v>40</v>
      </c>
      <c r="G2121" s="156">
        <v>45529.620833333334</v>
      </c>
      <c r="H2121" s="156">
        <v>45530.51458333333</v>
      </c>
      <c r="I2121" s="168" t="s">
        <v>6459</v>
      </c>
      <c r="J2121" s="169" t="s">
        <v>72</v>
      </c>
    </row>
    <row r="2122" spans="1:11">
      <c r="A2122" s="154" t="s">
        <v>95</v>
      </c>
      <c r="B2122" s="155" t="s">
        <v>13620</v>
      </c>
      <c r="C2122" s="132" t="s">
        <v>6047</v>
      </c>
      <c r="D2122" s="132" t="s">
        <v>13621</v>
      </c>
      <c r="E2122" s="132" t="s">
        <v>13622</v>
      </c>
      <c r="F2122" s="132" t="s">
        <v>40</v>
      </c>
      <c r="G2122" s="156">
        <v>45529.933333333334</v>
      </c>
      <c r="H2122" s="156">
        <v>45529.986111111109</v>
      </c>
      <c r="I2122" s="168" t="s">
        <v>8301</v>
      </c>
      <c r="J2122" s="169" t="s">
        <v>9367</v>
      </c>
    </row>
    <row r="2123" spans="1:11" hidden="1">
      <c r="A2123" s="154" t="s">
        <v>95</v>
      </c>
      <c r="B2123" s="155" t="s">
        <v>13623</v>
      </c>
      <c r="C2123" s="132" t="s">
        <v>97</v>
      </c>
      <c r="D2123" s="132" t="s">
        <v>13624</v>
      </c>
      <c r="E2123" s="132" t="s">
        <v>13625</v>
      </c>
      <c r="F2123" s="132" t="s">
        <v>308</v>
      </c>
      <c r="G2123" s="156">
        <v>45530.044444444444</v>
      </c>
      <c r="I2123" s="168" t="s">
        <v>2544</v>
      </c>
      <c r="J2123" s="169" t="s">
        <v>9367</v>
      </c>
      <c r="K2123" s="169" t="s">
        <v>88</v>
      </c>
    </row>
    <row r="2124" spans="1:11">
      <c r="A2124" s="154" t="s">
        <v>95</v>
      </c>
      <c r="B2124" s="155" t="s">
        <v>13626</v>
      </c>
      <c r="C2124" s="132" t="s">
        <v>118</v>
      </c>
      <c r="D2124" s="132" t="s">
        <v>13627</v>
      </c>
      <c r="E2124" s="132" t="s">
        <v>13628</v>
      </c>
      <c r="F2124" s="132" t="s">
        <v>40</v>
      </c>
      <c r="G2124" s="156">
        <v>45530.088888888888</v>
      </c>
      <c r="H2124" s="156">
        <v>45530.106944444444</v>
      </c>
      <c r="I2124" s="168" t="s">
        <v>8344</v>
      </c>
      <c r="J2124" s="169" t="s">
        <v>9367</v>
      </c>
    </row>
    <row r="2125" spans="1:11">
      <c r="A2125" s="154" t="s">
        <v>95</v>
      </c>
      <c r="B2125" s="155" t="s">
        <v>13629</v>
      </c>
      <c r="C2125" s="132" t="s">
        <v>6047</v>
      </c>
      <c r="D2125" s="132" t="s">
        <v>13630</v>
      </c>
      <c r="E2125" s="132" t="s">
        <v>13631</v>
      </c>
      <c r="F2125" s="132" t="s">
        <v>40</v>
      </c>
      <c r="G2125" s="156">
        <v>45530.089583333334</v>
      </c>
      <c r="H2125" s="156">
        <v>45530.101388888892</v>
      </c>
      <c r="I2125" s="168" t="s">
        <v>13554</v>
      </c>
      <c r="J2125" s="169" t="s">
        <v>9367</v>
      </c>
    </row>
    <row r="2126" spans="1:11">
      <c r="A2126" s="154" t="s">
        <v>106</v>
      </c>
      <c r="B2126" s="155" t="s">
        <v>13632</v>
      </c>
      <c r="C2126" s="132" t="s">
        <v>37</v>
      </c>
      <c r="D2126" s="132" t="s">
        <v>13633</v>
      </c>
      <c r="E2126" s="132" t="s">
        <v>13634</v>
      </c>
      <c r="F2126" s="132" t="s">
        <v>40</v>
      </c>
      <c r="G2126" s="156">
        <v>45530.295138888891</v>
      </c>
      <c r="I2126" s="168" t="s">
        <v>13049</v>
      </c>
      <c r="J2126" s="169" t="s">
        <v>9367</v>
      </c>
    </row>
    <row r="2127" spans="1:11">
      <c r="A2127" s="154" t="s">
        <v>20</v>
      </c>
      <c r="B2127" s="155" t="s">
        <v>13635</v>
      </c>
      <c r="C2127" s="132" t="s">
        <v>49</v>
      </c>
      <c r="D2127" s="132" t="s">
        <v>13636</v>
      </c>
      <c r="E2127" s="132" t="s">
        <v>13637</v>
      </c>
      <c r="F2127" s="132" t="s">
        <v>40</v>
      </c>
      <c r="G2127" s="156">
        <v>45530.336805555555</v>
      </c>
      <c r="H2127" s="156">
        <v>45530.493750000001</v>
      </c>
      <c r="I2127" s="168" t="s">
        <v>13638</v>
      </c>
      <c r="J2127" s="169" t="s">
        <v>72</v>
      </c>
    </row>
    <row r="2128" spans="1:11">
      <c r="A2128" s="154" t="s">
        <v>106</v>
      </c>
      <c r="B2128" s="155" t="s">
        <v>13639</v>
      </c>
      <c r="C2128" s="132" t="s">
        <v>78</v>
      </c>
      <c r="D2128" s="132" t="s">
        <v>13640</v>
      </c>
      <c r="E2128" s="132" t="s">
        <v>13641</v>
      </c>
      <c r="F2128" s="132" t="s">
        <v>40</v>
      </c>
      <c r="G2128" s="156">
        <v>45530.411805555559</v>
      </c>
      <c r="H2128" s="156">
        <v>45530.524305555555</v>
      </c>
      <c r="I2128" s="168" t="s">
        <v>258</v>
      </c>
      <c r="J2128" s="169" t="s">
        <v>72</v>
      </c>
    </row>
    <row r="2129" spans="1:11">
      <c r="A2129" s="154" t="s">
        <v>106</v>
      </c>
      <c r="B2129" s="155" t="s">
        <v>13642</v>
      </c>
      <c r="C2129" s="132" t="s">
        <v>37</v>
      </c>
      <c r="D2129" s="132" t="s">
        <v>13643</v>
      </c>
      <c r="E2129" s="132" t="s">
        <v>13644</v>
      </c>
      <c r="F2129" s="132" t="s">
        <v>40</v>
      </c>
      <c r="G2129" s="156">
        <v>45530.489583333336</v>
      </c>
      <c r="H2129" s="156">
        <v>45530.598611111112</v>
      </c>
      <c r="I2129" s="168" t="s">
        <v>13645</v>
      </c>
      <c r="J2129" s="169" t="s">
        <v>72</v>
      </c>
    </row>
    <row r="2130" spans="1:11">
      <c r="A2130" s="154" t="s">
        <v>95</v>
      </c>
      <c r="B2130" s="155" t="s">
        <v>13646</v>
      </c>
      <c r="C2130" s="132" t="s">
        <v>97</v>
      </c>
      <c r="D2130" s="132" t="s">
        <v>1933</v>
      </c>
      <c r="E2130" s="132" t="s">
        <v>13572</v>
      </c>
      <c r="F2130" s="132" t="s">
        <v>40</v>
      </c>
      <c r="G2130" s="156">
        <v>45530.600694444445</v>
      </c>
      <c r="H2130" s="156">
        <v>45530.611111111109</v>
      </c>
      <c r="I2130" s="168" t="s">
        <v>32</v>
      </c>
      <c r="J2130" s="169" t="s">
        <v>72</v>
      </c>
    </row>
    <row r="2131" spans="1:11">
      <c r="A2131" s="154" t="s">
        <v>95</v>
      </c>
      <c r="B2131" s="155" t="s">
        <v>13647</v>
      </c>
      <c r="C2131" s="132" t="s">
        <v>28</v>
      </c>
      <c r="D2131" s="132" t="s">
        <v>13648</v>
      </c>
      <c r="E2131" s="132" t="s">
        <v>2302</v>
      </c>
      <c r="F2131" s="132" t="s">
        <v>40</v>
      </c>
      <c r="G2131" s="156">
        <v>45530.587500000001</v>
      </c>
      <c r="H2131" s="156">
        <v>45530.681944444441</v>
      </c>
      <c r="I2131" s="168" t="s">
        <v>13649</v>
      </c>
      <c r="J2131" s="169" t="s">
        <v>72</v>
      </c>
    </row>
    <row r="2132" spans="1:11">
      <c r="A2132" s="154" t="s">
        <v>20</v>
      </c>
      <c r="B2132" s="155" t="s">
        <v>13650</v>
      </c>
      <c r="C2132" s="132" t="s">
        <v>13</v>
      </c>
      <c r="D2132" s="132" t="s">
        <v>13651</v>
      </c>
      <c r="E2132" s="132" t="s">
        <v>13652</v>
      </c>
      <c r="F2132" s="132" t="s">
        <v>40</v>
      </c>
      <c r="G2132" s="156">
        <v>45531.019444444442</v>
      </c>
      <c r="H2132" s="156">
        <v>45331.225694444445</v>
      </c>
      <c r="I2132" s="168" t="s">
        <v>17</v>
      </c>
      <c r="J2132" s="169" t="s">
        <v>9367</v>
      </c>
      <c r="K2132" s="169" t="s">
        <v>88</v>
      </c>
    </row>
    <row r="2133" spans="1:11">
      <c r="A2133" s="154" t="s">
        <v>95</v>
      </c>
      <c r="B2133" s="155" t="s">
        <v>13653</v>
      </c>
      <c r="C2133" s="132" t="s">
        <v>6047</v>
      </c>
      <c r="D2133" s="132" t="s">
        <v>13654</v>
      </c>
      <c r="E2133" s="132" t="s">
        <v>13655</v>
      </c>
      <c r="F2133" s="132" t="s">
        <v>40</v>
      </c>
      <c r="G2133" s="156">
        <v>45531.05972222222</v>
      </c>
      <c r="H2133" s="156">
        <v>45531.070138888892</v>
      </c>
      <c r="I2133" s="168" t="s">
        <v>8301</v>
      </c>
      <c r="J2133" s="169" t="s">
        <v>9367</v>
      </c>
    </row>
    <row r="2134" spans="1:11">
      <c r="A2134" s="154" t="s">
        <v>106</v>
      </c>
      <c r="B2134" s="155" t="s">
        <v>13656</v>
      </c>
      <c r="C2134" s="132" t="s">
        <v>37</v>
      </c>
      <c r="D2134" s="132" t="s">
        <v>13657</v>
      </c>
      <c r="E2134" s="132" t="s">
        <v>13644</v>
      </c>
      <c r="F2134" s="132" t="s">
        <v>40</v>
      </c>
      <c r="G2134" s="156">
        <v>45531.333333333336</v>
      </c>
      <c r="H2134" s="156">
        <v>45531.418055555558</v>
      </c>
      <c r="I2134" s="168" t="s">
        <v>13570</v>
      </c>
      <c r="J2134" s="169" t="s">
        <v>72</v>
      </c>
    </row>
    <row r="2135" spans="1:11">
      <c r="A2135" s="154" t="s">
        <v>106</v>
      </c>
      <c r="B2135" s="155" t="s">
        <v>13658</v>
      </c>
      <c r="C2135" s="132" t="s">
        <v>37</v>
      </c>
      <c r="D2135" s="132" t="s">
        <v>13659</v>
      </c>
      <c r="E2135" s="132" t="s">
        <v>13660</v>
      </c>
      <c r="F2135" s="132" t="s">
        <v>40</v>
      </c>
      <c r="G2135" s="156">
        <v>45531.454861111109</v>
      </c>
      <c r="H2135" s="156">
        <v>45531.697222222225</v>
      </c>
      <c r="I2135" s="168" t="s">
        <v>13661</v>
      </c>
      <c r="J2135" s="169" t="s">
        <v>72</v>
      </c>
    </row>
    <row r="2136" spans="1:11">
      <c r="A2136" s="154" t="s">
        <v>95</v>
      </c>
      <c r="B2136" s="155" t="s">
        <v>13662</v>
      </c>
      <c r="C2136" s="132" t="s">
        <v>28</v>
      </c>
      <c r="D2136" s="132" t="s">
        <v>13663</v>
      </c>
      <c r="E2136" s="132" t="s">
        <v>13664</v>
      </c>
      <c r="F2136" s="132" t="s">
        <v>40</v>
      </c>
      <c r="G2136" s="156">
        <v>45531.409722222219</v>
      </c>
      <c r="H2136" s="156">
        <v>45531.506944444445</v>
      </c>
      <c r="I2136" s="168" t="s">
        <v>2582</v>
      </c>
      <c r="J2136" s="169" t="s">
        <v>72</v>
      </c>
    </row>
    <row r="2137" spans="1:11">
      <c r="A2137" s="154" t="s">
        <v>106</v>
      </c>
      <c r="B2137" s="155" t="s">
        <v>13665</v>
      </c>
      <c r="C2137" s="132" t="s">
        <v>37</v>
      </c>
      <c r="D2137" s="132" t="s">
        <v>13666</v>
      </c>
      <c r="E2137" s="132" t="s">
        <v>13644</v>
      </c>
      <c r="F2137" s="132" t="s">
        <v>40</v>
      </c>
      <c r="G2137" s="156">
        <v>45531.69027777778</v>
      </c>
      <c r="H2137" s="156">
        <v>45531.706944444442</v>
      </c>
      <c r="I2137" s="168" t="s">
        <v>13570</v>
      </c>
      <c r="J2137" s="169" t="s">
        <v>72</v>
      </c>
    </row>
    <row r="2138" spans="1:11">
      <c r="A2138" s="154" t="s">
        <v>106</v>
      </c>
      <c r="B2138" s="155" t="s">
        <v>13667</v>
      </c>
      <c r="C2138" s="132" t="s">
        <v>108</v>
      </c>
      <c r="D2138" s="132" t="s">
        <v>13668</v>
      </c>
      <c r="E2138" s="132" t="s">
        <v>13669</v>
      </c>
      <c r="F2138" s="132" t="s">
        <v>40</v>
      </c>
      <c r="G2138" s="156">
        <v>45531.925000000003</v>
      </c>
      <c r="H2138" s="156">
        <v>45531.9375</v>
      </c>
      <c r="I2138" s="168" t="s">
        <v>32</v>
      </c>
      <c r="J2138" s="169" t="s">
        <v>9367</v>
      </c>
    </row>
    <row r="2139" spans="1:11">
      <c r="A2139" s="154" t="s">
        <v>95</v>
      </c>
      <c r="B2139" s="155" t="s">
        <v>13670</v>
      </c>
      <c r="C2139" s="132" t="s">
        <v>113</v>
      </c>
      <c r="D2139" s="132" t="s">
        <v>13671</v>
      </c>
      <c r="E2139" s="132" t="s">
        <v>13672</v>
      </c>
      <c r="F2139" s="132" t="s">
        <v>40</v>
      </c>
      <c r="G2139" s="156">
        <v>45531.98333333333</v>
      </c>
      <c r="H2139" s="156">
        <v>45531.01458333333</v>
      </c>
      <c r="I2139" s="168" t="s">
        <v>866</v>
      </c>
      <c r="J2139" s="169" t="s">
        <v>9367</v>
      </c>
    </row>
    <row r="2140" spans="1:11">
      <c r="A2140" s="154" t="s">
        <v>106</v>
      </c>
      <c r="B2140" s="155" t="s">
        <v>13673</v>
      </c>
      <c r="C2140" s="132" t="s">
        <v>333</v>
      </c>
      <c r="D2140" s="132" t="s">
        <v>13674</v>
      </c>
      <c r="E2140" s="132" t="s">
        <v>13675</v>
      </c>
      <c r="F2140" s="132" t="s">
        <v>40</v>
      </c>
      <c r="G2140" s="156" t="s">
        <v>13676</v>
      </c>
      <c r="H2140" s="156" t="s">
        <v>13677</v>
      </c>
      <c r="I2140" s="168" t="s">
        <v>6640</v>
      </c>
      <c r="J2140" s="169" t="s">
        <v>88</v>
      </c>
    </row>
    <row r="2141" spans="1:11">
      <c r="A2141" s="154" t="s">
        <v>106</v>
      </c>
      <c r="B2141" s="155" t="s">
        <v>13678</v>
      </c>
      <c r="C2141" s="132" t="s">
        <v>333</v>
      </c>
      <c r="D2141" s="132" t="s">
        <v>13679</v>
      </c>
      <c r="E2141" s="132" t="s">
        <v>13680</v>
      </c>
      <c r="F2141" s="132" t="s">
        <v>40</v>
      </c>
      <c r="G2141" s="156" t="s">
        <v>13681</v>
      </c>
      <c r="H2141" s="156" t="s">
        <v>13682</v>
      </c>
      <c r="I2141" s="168" t="s">
        <v>13683</v>
      </c>
      <c r="J2141" s="169" t="s">
        <v>88</v>
      </c>
    </row>
    <row r="2142" spans="1:11">
      <c r="A2142" s="154" t="s">
        <v>106</v>
      </c>
      <c r="B2142" s="155" t="s">
        <v>13684</v>
      </c>
      <c r="C2142" s="132" t="s">
        <v>108</v>
      </c>
      <c r="D2142" s="132" t="s">
        <v>13685</v>
      </c>
      <c r="E2142" s="132" t="s">
        <v>13686</v>
      </c>
      <c r="F2142" s="132" t="s">
        <v>40</v>
      </c>
      <c r="G2142" s="156" t="s">
        <v>13682</v>
      </c>
      <c r="H2142" s="156" t="s">
        <v>13687</v>
      </c>
      <c r="I2142" s="168" t="s">
        <v>32</v>
      </c>
      <c r="J2142" s="169" t="s">
        <v>88</v>
      </c>
    </row>
    <row r="2143" spans="1:11">
      <c r="A2143" s="154" t="s">
        <v>20</v>
      </c>
      <c r="B2143" s="155" t="s">
        <v>13688</v>
      </c>
      <c r="C2143" s="132" t="s">
        <v>13</v>
      </c>
      <c r="D2143" s="132" t="s">
        <v>13689</v>
      </c>
      <c r="E2143" s="132" t="s">
        <v>13690</v>
      </c>
      <c r="F2143" s="132" t="s">
        <v>40</v>
      </c>
      <c r="G2143" s="156" t="s">
        <v>13691</v>
      </c>
      <c r="H2143" s="156" t="s">
        <v>13692</v>
      </c>
      <c r="I2143" s="168" t="s">
        <v>4359</v>
      </c>
      <c r="J2143" s="169" t="s">
        <v>514</v>
      </c>
    </row>
    <row r="2144" spans="1:11">
      <c r="A2144" s="154" t="s">
        <v>95</v>
      </c>
      <c r="B2144" s="155" t="s">
        <v>13693</v>
      </c>
      <c r="C2144" s="132" t="s">
        <v>118</v>
      </c>
      <c r="D2144" s="132" t="s">
        <v>13694</v>
      </c>
      <c r="E2144" s="132" t="s">
        <v>13695</v>
      </c>
      <c r="F2144" s="132" t="s">
        <v>40</v>
      </c>
      <c r="G2144" s="156" t="s">
        <v>13696</v>
      </c>
      <c r="H2144" s="156" t="s">
        <v>13697</v>
      </c>
      <c r="I2144" s="168" t="s">
        <v>4635</v>
      </c>
      <c r="J2144" s="169" t="s">
        <v>514</v>
      </c>
    </row>
    <row r="2145" spans="1:11">
      <c r="A2145" s="154" t="s">
        <v>106</v>
      </c>
      <c r="B2145" s="155" t="s">
        <v>13698</v>
      </c>
      <c r="C2145" s="132" t="s">
        <v>333</v>
      </c>
      <c r="D2145" s="132" t="s">
        <v>13699</v>
      </c>
      <c r="E2145" s="132" t="s">
        <v>13700</v>
      </c>
      <c r="F2145" s="132" t="s">
        <v>40</v>
      </c>
      <c r="G2145" s="156" t="s">
        <v>13701</v>
      </c>
      <c r="H2145" s="156" t="s">
        <v>13702</v>
      </c>
      <c r="I2145" s="168" t="s">
        <v>346</v>
      </c>
      <c r="J2145" s="169" t="s">
        <v>514</v>
      </c>
    </row>
    <row r="2146" spans="1:11">
      <c r="A2146" s="154" t="s">
        <v>20</v>
      </c>
      <c r="B2146" s="155" t="s">
        <v>13703</v>
      </c>
      <c r="C2146" s="132" t="s">
        <v>49</v>
      </c>
      <c r="D2146" s="132" t="s">
        <v>13704</v>
      </c>
      <c r="E2146" s="132" t="s">
        <v>13705</v>
      </c>
      <c r="F2146" s="132" t="s">
        <v>40</v>
      </c>
      <c r="G2146" s="156" t="s">
        <v>13706</v>
      </c>
      <c r="H2146" s="156" t="s">
        <v>13707</v>
      </c>
      <c r="I2146" s="168" t="s">
        <v>32</v>
      </c>
      <c r="J2146" s="169" t="s">
        <v>514</v>
      </c>
      <c r="K2146" s="169" t="s">
        <v>88</v>
      </c>
    </row>
    <row r="2147" spans="1:11">
      <c r="A2147" s="154" t="s">
        <v>106</v>
      </c>
      <c r="B2147" s="155" t="s">
        <v>13708</v>
      </c>
      <c r="C2147" s="132" t="s">
        <v>108</v>
      </c>
      <c r="D2147" s="132" t="s">
        <v>13709</v>
      </c>
      <c r="E2147" s="132" t="s">
        <v>13710</v>
      </c>
      <c r="F2147" s="132" t="s">
        <v>40</v>
      </c>
      <c r="G2147" s="156" t="s">
        <v>13711</v>
      </c>
      <c r="H2147" s="156" t="s">
        <v>13712</v>
      </c>
      <c r="I2147" s="168" t="s">
        <v>13713</v>
      </c>
      <c r="J2147" s="169" t="s">
        <v>88</v>
      </c>
    </row>
    <row r="2148" spans="1:11">
      <c r="A2148" s="154" t="s">
        <v>106</v>
      </c>
      <c r="B2148" s="155" t="s">
        <v>13714</v>
      </c>
      <c r="C2148" s="132" t="s">
        <v>108</v>
      </c>
      <c r="D2148" s="132" t="s">
        <v>13715</v>
      </c>
      <c r="E2148" s="132" t="s">
        <v>13716</v>
      </c>
      <c r="F2148" s="132" t="s">
        <v>40</v>
      </c>
      <c r="G2148" s="156" t="s">
        <v>13717</v>
      </c>
      <c r="H2148" s="156" t="s">
        <v>13718</v>
      </c>
      <c r="I2148" s="168" t="s">
        <v>13713</v>
      </c>
      <c r="J2148" s="169" t="s">
        <v>88</v>
      </c>
    </row>
    <row r="2149" spans="1:11">
      <c r="A2149" s="154" t="s">
        <v>95</v>
      </c>
      <c r="B2149" s="155" t="s">
        <v>13719</v>
      </c>
      <c r="C2149" s="132" t="s">
        <v>6047</v>
      </c>
      <c r="D2149" s="132" t="s">
        <v>13720</v>
      </c>
      <c r="E2149" s="132" t="s">
        <v>13721</v>
      </c>
      <c r="F2149" s="132" t="s">
        <v>40</v>
      </c>
      <c r="G2149" s="156" t="s">
        <v>13722</v>
      </c>
      <c r="H2149" s="156" t="s">
        <v>13723</v>
      </c>
      <c r="I2149" s="168" t="s">
        <v>7455</v>
      </c>
      <c r="J2149" s="169" t="s">
        <v>88</v>
      </c>
    </row>
    <row r="2150" spans="1:11">
      <c r="A2150" s="154" t="s">
        <v>106</v>
      </c>
      <c r="B2150" s="155" t="s">
        <v>13724</v>
      </c>
      <c r="C2150" s="132" t="s">
        <v>333</v>
      </c>
      <c r="D2150" s="132" t="s">
        <v>13725</v>
      </c>
      <c r="E2150" s="132" t="s">
        <v>13726</v>
      </c>
      <c r="F2150" s="132" t="s">
        <v>40</v>
      </c>
      <c r="G2150" s="156" t="s">
        <v>13727</v>
      </c>
      <c r="H2150" s="156" t="s">
        <v>13728</v>
      </c>
      <c r="I2150" s="168" t="s">
        <v>11681</v>
      </c>
      <c r="J2150" s="169" t="s">
        <v>88</v>
      </c>
    </row>
    <row r="2151" spans="1:11">
      <c r="A2151" s="154" t="s">
        <v>106</v>
      </c>
      <c r="B2151" s="155" t="s">
        <v>13729</v>
      </c>
      <c r="C2151" s="132" t="s">
        <v>37</v>
      </c>
      <c r="D2151" s="132" t="s">
        <v>13730</v>
      </c>
      <c r="E2151" s="132" t="s">
        <v>13731</v>
      </c>
      <c r="F2151" s="132" t="s">
        <v>40</v>
      </c>
      <c r="G2151" s="156" t="s">
        <v>13732</v>
      </c>
      <c r="H2151" s="156" t="s">
        <v>13733</v>
      </c>
      <c r="I2151" s="168" t="s">
        <v>32</v>
      </c>
      <c r="J2151" s="169" t="s">
        <v>514</v>
      </c>
    </row>
    <row r="2152" spans="1:11">
      <c r="A2152" s="154" t="s">
        <v>95</v>
      </c>
      <c r="B2152" s="155" t="s">
        <v>13734</v>
      </c>
      <c r="C2152" s="132" t="s">
        <v>97</v>
      </c>
      <c r="D2152" s="132" t="s">
        <v>13735</v>
      </c>
      <c r="E2152" s="132" t="s">
        <v>13736</v>
      </c>
      <c r="F2152" s="132" t="s">
        <v>40</v>
      </c>
      <c r="G2152" s="156" t="s">
        <v>13737</v>
      </c>
      <c r="H2152" s="156" t="s">
        <v>13738</v>
      </c>
      <c r="I2152" s="168" t="s">
        <v>325</v>
      </c>
      <c r="J2152" s="169" t="s">
        <v>88</v>
      </c>
    </row>
    <row r="2153" spans="1:11">
      <c r="A2153" s="154" t="s">
        <v>106</v>
      </c>
      <c r="B2153" s="155" t="s">
        <v>13739</v>
      </c>
      <c r="C2153" s="132" t="s">
        <v>108</v>
      </c>
      <c r="D2153" s="132" t="s">
        <v>13740</v>
      </c>
      <c r="E2153" s="132" t="s">
        <v>13741</v>
      </c>
      <c r="F2153" s="132" t="s">
        <v>40</v>
      </c>
      <c r="G2153" s="156" t="s">
        <v>13742</v>
      </c>
      <c r="H2153" s="156" t="s">
        <v>13743</v>
      </c>
      <c r="I2153" s="168" t="s">
        <v>3932</v>
      </c>
      <c r="J2153" s="169" t="s">
        <v>88</v>
      </c>
    </row>
    <row r="2154" spans="1:11">
      <c r="A2154" s="154" t="s">
        <v>106</v>
      </c>
      <c r="B2154" s="155" t="s">
        <v>13744</v>
      </c>
      <c r="C2154" s="132" t="s">
        <v>333</v>
      </c>
      <c r="D2154" s="132" t="s">
        <v>13725</v>
      </c>
      <c r="E2154" s="132" t="s">
        <v>13745</v>
      </c>
      <c r="F2154" s="132" t="s">
        <v>40</v>
      </c>
      <c r="G2154" s="156" t="s">
        <v>13746</v>
      </c>
      <c r="H2154" s="156" t="s">
        <v>13743</v>
      </c>
      <c r="I2154" s="168" t="s">
        <v>346</v>
      </c>
      <c r="J2154" s="169" t="s">
        <v>88</v>
      </c>
    </row>
    <row r="2155" spans="1:11">
      <c r="A2155" s="154" t="s">
        <v>106</v>
      </c>
      <c r="B2155" s="155" t="s">
        <v>13747</v>
      </c>
      <c r="C2155" s="132" t="s">
        <v>108</v>
      </c>
      <c r="D2155" s="132" t="s">
        <v>3585</v>
      </c>
      <c r="E2155" s="132" t="s">
        <v>13748</v>
      </c>
      <c r="F2155" s="132" t="s">
        <v>40</v>
      </c>
      <c r="G2155" s="156" t="s">
        <v>13749</v>
      </c>
      <c r="H2155" s="156" t="s">
        <v>13750</v>
      </c>
      <c r="I2155" s="168" t="s">
        <v>6799</v>
      </c>
      <c r="J2155" s="169" t="s">
        <v>88</v>
      </c>
    </row>
    <row r="2156" spans="1:11">
      <c r="A2156" s="154" t="s">
        <v>106</v>
      </c>
      <c r="B2156" s="155" t="s">
        <v>13751</v>
      </c>
      <c r="C2156" s="132" t="s">
        <v>333</v>
      </c>
      <c r="D2156" s="132" t="s">
        <v>13752</v>
      </c>
      <c r="E2156" s="132" t="s">
        <v>13753</v>
      </c>
      <c r="F2156" s="132" t="s">
        <v>40</v>
      </c>
      <c r="G2156" s="156" t="s">
        <v>13754</v>
      </c>
      <c r="H2156" s="156">
        <v>45360.6875</v>
      </c>
      <c r="I2156" s="168" t="s">
        <v>9371</v>
      </c>
      <c r="J2156" s="169" t="s">
        <v>88</v>
      </c>
    </row>
    <row r="2157" spans="1:11">
      <c r="A2157" s="154" t="s">
        <v>106</v>
      </c>
      <c r="B2157" s="155" t="s">
        <v>13755</v>
      </c>
      <c r="C2157" s="132" t="s">
        <v>108</v>
      </c>
      <c r="D2157" s="132" t="s">
        <v>13756</v>
      </c>
      <c r="E2157" s="132" t="s">
        <v>13757</v>
      </c>
      <c r="F2157" s="132" t="s">
        <v>40</v>
      </c>
      <c r="G2157" s="156" t="s">
        <v>13758</v>
      </c>
      <c r="H2157" s="156" t="s">
        <v>13759</v>
      </c>
      <c r="I2157" s="168" t="s">
        <v>6006</v>
      </c>
      <c r="J2157" s="169" t="s">
        <v>514</v>
      </c>
    </row>
    <row r="2158" spans="1:11">
      <c r="A2158" s="154" t="s">
        <v>20</v>
      </c>
      <c r="B2158" s="155" t="s">
        <v>13760</v>
      </c>
      <c r="C2158" s="132" t="s">
        <v>13</v>
      </c>
      <c r="D2158" s="132" t="s">
        <v>13761</v>
      </c>
      <c r="E2158" s="132" t="s">
        <v>13762</v>
      </c>
      <c r="F2158" s="132" t="s">
        <v>40</v>
      </c>
      <c r="G2158" s="156" t="s">
        <v>13763</v>
      </c>
      <c r="H2158" s="156">
        <v>45331.338888888888</v>
      </c>
      <c r="I2158" s="168" t="s">
        <v>17</v>
      </c>
      <c r="J2158" s="169" t="s">
        <v>514</v>
      </c>
      <c r="K2158" s="169" t="s">
        <v>88</v>
      </c>
    </row>
    <row r="2159" spans="1:11">
      <c r="A2159" s="154" t="s">
        <v>106</v>
      </c>
      <c r="B2159" s="155" t="s">
        <v>13764</v>
      </c>
      <c r="C2159" s="132" t="s">
        <v>333</v>
      </c>
      <c r="D2159" s="132" t="s">
        <v>13765</v>
      </c>
      <c r="E2159" s="132" t="s">
        <v>13766</v>
      </c>
      <c r="F2159" s="132" t="s">
        <v>40</v>
      </c>
      <c r="G2159" s="156" t="s">
        <v>13767</v>
      </c>
      <c r="H2159" s="156" t="s">
        <v>13768</v>
      </c>
      <c r="I2159" s="168" t="s">
        <v>346</v>
      </c>
      <c r="J2159" s="169" t="s">
        <v>514</v>
      </c>
    </row>
    <row r="2160" spans="1:11">
      <c r="A2160" s="154" t="s">
        <v>20</v>
      </c>
      <c r="B2160" s="155" t="s">
        <v>13769</v>
      </c>
      <c r="C2160" s="132" t="s">
        <v>13</v>
      </c>
      <c r="D2160" s="132" t="s">
        <v>13770</v>
      </c>
      <c r="E2160" s="132" t="s">
        <v>13771</v>
      </c>
      <c r="F2160" s="132" t="s">
        <v>40</v>
      </c>
      <c r="G2160" s="156" t="s">
        <v>13772</v>
      </c>
      <c r="H2160" s="156" t="s">
        <v>13773</v>
      </c>
      <c r="I2160" s="168" t="s">
        <v>17</v>
      </c>
      <c r="J2160" s="169" t="s">
        <v>514</v>
      </c>
    </row>
    <row r="2161" spans="1:11">
      <c r="A2161" s="154" t="s">
        <v>106</v>
      </c>
      <c r="B2161" s="155" t="s">
        <v>13774</v>
      </c>
      <c r="C2161" s="132" t="s">
        <v>37</v>
      </c>
      <c r="D2161" s="132" t="s">
        <v>13775</v>
      </c>
      <c r="E2161" s="132" t="s">
        <v>13776</v>
      </c>
      <c r="F2161" s="132" t="s">
        <v>40</v>
      </c>
      <c r="G2161" s="156" t="s">
        <v>13777</v>
      </c>
      <c r="H2161" s="156">
        <v>45331.224999999999</v>
      </c>
      <c r="I2161" s="168" t="s">
        <v>13068</v>
      </c>
      <c r="J2161" s="169" t="s">
        <v>514</v>
      </c>
    </row>
    <row r="2162" spans="1:11">
      <c r="A2162" s="154" t="s">
        <v>20</v>
      </c>
      <c r="B2162" s="155" t="s">
        <v>13778</v>
      </c>
      <c r="C2162" s="132" t="s">
        <v>49</v>
      </c>
      <c r="D2162" s="132" t="s">
        <v>13779</v>
      </c>
      <c r="E2162" s="132" t="s">
        <v>13780</v>
      </c>
      <c r="F2162" s="132" t="s">
        <v>40</v>
      </c>
      <c r="G2162" s="156" t="s">
        <v>13781</v>
      </c>
      <c r="H2162" s="156" t="s">
        <v>13782</v>
      </c>
      <c r="I2162" s="168" t="s">
        <v>1590</v>
      </c>
      <c r="J2162" s="169" t="s">
        <v>88</v>
      </c>
    </row>
    <row r="2163" spans="1:11">
      <c r="A2163" s="164" t="s">
        <v>106</v>
      </c>
      <c r="B2163" s="155" t="s">
        <v>13783</v>
      </c>
      <c r="C2163" s="132" t="s">
        <v>108</v>
      </c>
      <c r="D2163" s="132" t="s">
        <v>13784</v>
      </c>
      <c r="E2163" s="132" t="s">
        <v>13785</v>
      </c>
      <c r="F2163" s="132" t="s">
        <v>40</v>
      </c>
      <c r="G2163" s="156" t="s">
        <v>13786</v>
      </c>
      <c r="H2163" s="156" t="s">
        <v>13787</v>
      </c>
      <c r="I2163" s="168" t="s">
        <v>3932</v>
      </c>
      <c r="J2163" s="169" t="s">
        <v>88</v>
      </c>
    </row>
    <row r="2164" spans="1:11">
      <c r="A2164" s="164" t="s">
        <v>20</v>
      </c>
      <c r="B2164" s="159" t="s">
        <v>13788</v>
      </c>
      <c r="C2164" s="132" t="s">
        <v>49</v>
      </c>
      <c r="D2164" s="132" t="s">
        <v>13789</v>
      </c>
      <c r="E2164" s="132" t="s">
        <v>13790</v>
      </c>
      <c r="F2164" s="132" t="s">
        <v>40</v>
      </c>
      <c r="G2164" s="156" t="s">
        <v>13786</v>
      </c>
      <c r="H2164" s="156">
        <v>45360.352777777778</v>
      </c>
      <c r="I2164" s="168" t="s">
        <v>1590</v>
      </c>
      <c r="J2164" s="169" t="s">
        <v>88</v>
      </c>
    </row>
    <row r="2165" spans="1:11">
      <c r="A2165" s="164" t="s">
        <v>20</v>
      </c>
      <c r="B2165" s="159" t="s">
        <v>13791</v>
      </c>
      <c r="C2165" s="132" t="s">
        <v>49</v>
      </c>
      <c r="D2165" s="132" t="s">
        <v>13792</v>
      </c>
      <c r="E2165" s="132" t="s">
        <v>13793</v>
      </c>
      <c r="F2165" s="132" t="s">
        <v>40</v>
      </c>
      <c r="G2165" s="156" t="s">
        <v>13794</v>
      </c>
      <c r="H2165" s="156" t="s">
        <v>13795</v>
      </c>
      <c r="I2165" s="168" t="s">
        <v>1590</v>
      </c>
      <c r="J2165" s="169" t="s">
        <v>88</v>
      </c>
    </row>
    <row r="2166" spans="1:11">
      <c r="A2166" s="164" t="s">
        <v>106</v>
      </c>
      <c r="B2166" s="159" t="s">
        <v>13796</v>
      </c>
      <c r="C2166" s="132" t="s">
        <v>108</v>
      </c>
      <c r="D2166" s="132" t="s">
        <v>13797</v>
      </c>
      <c r="E2166" s="132" t="s">
        <v>13798</v>
      </c>
      <c r="F2166" s="132" t="s">
        <v>40</v>
      </c>
      <c r="G2166" s="156" t="s">
        <v>13799</v>
      </c>
      <c r="H2166" s="156" t="s">
        <v>13800</v>
      </c>
      <c r="I2166" s="168" t="s">
        <v>11808</v>
      </c>
      <c r="J2166" s="169" t="s">
        <v>88</v>
      </c>
    </row>
    <row r="2167" spans="1:11">
      <c r="A2167" s="164" t="s">
        <v>95</v>
      </c>
      <c r="B2167" s="159" t="s">
        <v>13801</v>
      </c>
      <c r="C2167" s="132" t="s">
        <v>97</v>
      </c>
      <c r="D2167" s="132" t="s">
        <v>1223</v>
      </c>
      <c r="E2167" s="132" t="s">
        <v>13802</v>
      </c>
      <c r="F2167" s="132" t="s">
        <v>40</v>
      </c>
      <c r="G2167" s="156" t="s">
        <v>13799</v>
      </c>
      <c r="H2167" s="156" t="s">
        <v>13803</v>
      </c>
      <c r="I2167" s="168" t="s">
        <v>13804</v>
      </c>
      <c r="J2167" s="169" t="s">
        <v>88</v>
      </c>
    </row>
    <row r="2168" spans="1:11">
      <c r="A2168" s="164" t="s">
        <v>106</v>
      </c>
      <c r="B2168" s="159" t="s">
        <v>13805</v>
      </c>
      <c r="C2168" s="132" t="s">
        <v>37</v>
      </c>
      <c r="D2168" s="132" t="s">
        <v>13806</v>
      </c>
      <c r="E2168" s="132" t="s">
        <v>13807</v>
      </c>
      <c r="F2168" s="132" t="s">
        <v>40</v>
      </c>
      <c r="G2168" s="156" t="s">
        <v>13808</v>
      </c>
      <c r="H2168" s="156" t="s">
        <v>13809</v>
      </c>
      <c r="I2168" s="168" t="s">
        <v>1349</v>
      </c>
      <c r="J2168" s="169" t="s">
        <v>88</v>
      </c>
    </row>
    <row r="2169" spans="1:11">
      <c r="A2169" s="164" t="s">
        <v>106</v>
      </c>
      <c r="B2169" s="159" t="s">
        <v>13810</v>
      </c>
      <c r="C2169" s="132" t="s">
        <v>108</v>
      </c>
      <c r="D2169" s="132" t="s">
        <v>13811</v>
      </c>
      <c r="E2169" s="132" t="s">
        <v>13812</v>
      </c>
      <c r="F2169" s="132" t="s">
        <v>40</v>
      </c>
      <c r="G2169" s="156" t="s">
        <v>13813</v>
      </c>
      <c r="H2169" s="156">
        <v>45300.043055555558</v>
      </c>
      <c r="I2169" s="168" t="s">
        <v>6006</v>
      </c>
      <c r="J2169" s="169" t="s">
        <v>514</v>
      </c>
    </row>
    <row r="2170" spans="1:11">
      <c r="A2170" s="164" t="s">
        <v>106</v>
      </c>
      <c r="B2170" s="159" t="s">
        <v>13814</v>
      </c>
      <c r="C2170" s="132" t="s">
        <v>108</v>
      </c>
      <c r="D2170" s="132" t="s">
        <v>13815</v>
      </c>
      <c r="E2170" s="132" t="s">
        <v>13816</v>
      </c>
      <c r="F2170" s="132" t="s">
        <v>40</v>
      </c>
      <c r="G2170" s="156">
        <v>45300.006249999999</v>
      </c>
      <c r="H2170" s="156">
        <v>45331.044444444444</v>
      </c>
      <c r="I2170" s="168" t="s">
        <v>6006</v>
      </c>
      <c r="J2170" s="169" t="s">
        <v>514</v>
      </c>
    </row>
    <row r="2171" spans="1:11">
      <c r="A2171" s="164" t="s">
        <v>20</v>
      </c>
      <c r="B2171" s="159" t="s">
        <v>13817</v>
      </c>
      <c r="C2171" s="132" t="s">
        <v>13</v>
      </c>
      <c r="D2171" s="132" t="s">
        <v>13818</v>
      </c>
      <c r="E2171" s="132" t="s">
        <v>13819</v>
      </c>
      <c r="F2171" s="132" t="s">
        <v>40</v>
      </c>
      <c r="G2171" s="156">
        <v>45300.377083333333</v>
      </c>
      <c r="H2171" s="156">
        <v>45360.69027777778</v>
      </c>
      <c r="I2171" s="168" t="s">
        <v>17</v>
      </c>
      <c r="J2171" s="169" t="s">
        <v>88</v>
      </c>
      <c r="K2171" s="169" t="s">
        <v>514</v>
      </c>
    </row>
    <row r="2172" spans="1:11">
      <c r="A2172" s="164" t="s">
        <v>106</v>
      </c>
      <c r="B2172" s="159" t="s">
        <v>13820</v>
      </c>
      <c r="C2172" s="132" t="s">
        <v>108</v>
      </c>
      <c r="D2172" s="132" t="s">
        <v>13821</v>
      </c>
      <c r="E2172" s="132" t="s">
        <v>13822</v>
      </c>
      <c r="F2172" s="132" t="s">
        <v>40</v>
      </c>
      <c r="G2172" s="156">
        <v>45300.623611111114</v>
      </c>
      <c r="H2172" s="156">
        <v>45331.042361111111</v>
      </c>
      <c r="I2172" s="168" t="s">
        <v>13823</v>
      </c>
      <c r="J2172" s="169" t="s">
        <v>88</v>
      </c>
      <c r="K2172" s="169" t="s">
        <v>514</v>
      </c>
    </row>
    <row r="2173" spans="1:11">
      <c r="A2173" s="164" t="s">
        <v>95</v>
      </c>
      <c r="B2173" s="159" t="s">
        <v>13824</v>
      </c>
      <c r="C2173" s="132" t="s">
        <v>6047</v>
      </c>
      <c r="D2173" s="132" t="s">
        <v>13825</v>
      </c>
      <c r="E2173" s="132" t="s">
        <v>13826</v>
      </c>
      <c r="F2173" s="132" t="s">
        <v>40</v>
      </c>
      <c r="G2173" s="156">
        <v>45300.662499999999</v>
      </c>
      <c r="H2173" s="156">
        <v>45331.043749999997</v>
      </c>
      <c r="I2173" s="168" t="s">
        <v>378</v>
      </c>
      <c r="J2173" s="169" t="s">
        <v>88</v>
      </c>
      <c r="K2173" s="169" t="s">
        <v>514</v>
      </c>
    </row>
    <row r="2174" spans="1:11">
      <c r="A2174" s="164" t="s">
        <v>106</v>
      </c>
      <c r="B2174" s="159" t="s">
        <v>13827</v>
      </c>
      <c r="C2174" s="132" t="s">
        <v>108</v>
      </c>
      <c r="D2174" s="132" t="s">
        <v>11784</v>
      </c>
      <c r="E2174" s="132" t="s">
        <v>13828</v>
      </c>
      <c r="F2174" s="132" t="s">
        <v>40</v>
      </c>
      <c r="G2174" s="156">
        <v>45300.663888888892</v>
      </c>
      <c r="H2174" s="156">
        <v>45331.045138888891</v>
      </c>
      <c r="I2174" s="168" t="s">
        <v>13823</v>
      </c>
      <c r="J2174" s="169" t="s">
        <v>88</v>
      </c>
      <c r="K2174" s="169" t="s">
        <v>514</v>
      </c>
    </row>
    <row r="2175" spans="1:11">
      <c r="A2175" s="164" t="s">
        <v>106</v>
      </c>
      <c r="B2175" s="159" t="s">
        <v>13829</v>
      </c>
      <c r="C2175" s="132" t="s">
        <v>108</v>
      </c>
      <c r="D2175" s="132" t="s">
        <v>13830</v>
      </c>
      <c r="E2175" s="132" t="s">
        <v>13831</v>
      </c>
      <c r="F2175" s="132" t="s">
        <v>40</v>
      </c>
      <c r="G2175" s="156">
        <v>45300.73541666667</v>
      </c>
      <c r="H2175" s="156">
        <v>45331.046527777777</v>
      </c>
      <c r="I2175" s="168" t="s">
        <v>13823</v>
      </c>
      <c r="J2175" s="169" t="s">
        <v>88</v>
      </c>
      <c r="K2175" s="169" t="s">
        <v>514</v>
      </c>
    </row>
    <row r="2176" spans="1:11">
      <c r="A2176" s="164" t="s">
        <v>20</v>
      </c>
      <c r="B2176" s="159" t="s">
        <v>13832</v>
      </c>
      <c r="C2176" s="132" t="s">
        <v>13</v>
      </c>
      <c r="D2176" s="132" t="s">
        <v>13833</v>
      </c>
      <c r="E2176" s="132" t="s">
        <v>13834</v>
      </c>
      <c r="F2176" s="132" t="s">
        <v>40</v>
      </c>
      <c r="G2176" s="156">
        <v>45300.736111111109</v>
      </c>
      <c r="H2176" s="156">
        <v>45331.055555555555</v>
      </c>
      <c r="I2176" s="168" t="s">
        <v>17</v>
      </c>
      <c r="J2176" s="169" t="s">
        <v>88</v>
      </c>
      <c r="K2176" s="169" t="s">
        <v>514</v>
      </c>
    </row>
    <row r="2177" spans="1:11">
      <c r="A2177" s="164" t="s">
        <v>20</v>
      </c>
      <c r="B2177" s="159" t="s">
        <v>13835</v>
      </c>
      <c r="C2177" s="132" t="s">
        <v>13</v>
      </c>
      <c r="D2177" s="132" t="s">
        <v>13836</v>
      </c>
      <c r="E2177" s="132" t="s">
        <v>13837</v>
      </c>
      <c r="F2177" s="132" t="s">
        <v>40</v>
      </c>
      <c r="G2177" s="156">
        <v>45300.736111111109</v>
      </c>
      <c r="H2177" s="156">
        <v>45331.336111111108</v>
      </c>
      <c r="I2177" s="168" t="s">
        <v>17</v>
      </c>
      <c r="J2177" s="169" t="s">
        <v>88</v>
      </c>
      <c r="K2177" s="18" t="s">
        <v>514</v>
      </c>
    </row>
    <row r="2178" spans="1:11">
      <c r="A2178" s="164" t="s">
        <v>20</v>
      </c>
      <c r="B2178" s="159" t="s">
        <v>13838</v>
      </c>
      <c r="C2178" s="132" t="s">
        <v>13</v>
      </c>
      <c r="D2178" s="132" t="s">
        <v>13839</v>
      </c>
      <c r="E2178" s="132" t="s">
        <v>13840</v>
      </c>
      <c r="F2178" s="132" t="s">
        <v>40</v>
      </c>
      <c r="G2178" s="156">
        <v>45300.736111111109</v>
      </c>
      <c r="H2178" s="156">
        <v>45331.055555555555</v>
      </c>
      <c r="I2178" s="168" t="s">
        <v>17</v>
      </c>
      <c r="J2178" s="169" t="s">
        <v>514</v>
      </c>
    </row>
    <row r="2179" spans="1:11">
      <c r="A2179" s="164" t="s">
        <v>106</v>
      </c>
      <c r="B2179" s="159" t="s">
        <v>13841</v>
      </c>
      <c r="C2179" s="132" t="s">
        <v>78</v>
      </c>
      <c r="D2179" s="132" t="s">
        <v>13842</v>
      </c>
      <c r="E2179" s="132" t="s">
        <v>13843</v>
      </c>
      <c r="F2179" s="132" t="s">
        <v>40</v>
      </c>
      <c r="G2179" s="156">
        <v>45331.038194444445</v>
      </c>
      <c r="H2179" s="156">
        <v>45360.282638888886</v>
      </c>
      <c r="I2179" s="168" t="s">
        <v>7393</v>
      </c>
      <c r="J2179" s="169" t="s">
        <v>514</v>
      </c>
    </row>
    <row r="2180" spans="1:11">
      <c r="A2180" s="164" t="s">
        <v>106</v>
      </c>
      <c r="B2180" s="159" t="s">
        <v>13844</v>
      </c>
      <c r="C2180" s="132" t="s">
        <v>108</v>
      </c>
      <c r="D2180" s="132" t="s">
        <v>13845</v>
      </c>
      <c r="E2180" s="132" t="s">
        <v>13846</v>
      </c>
      <c r="F2180" s="132" t="s">
        <v>40</v>
      </c>
      <c r="G2180" s="156">
        <v>45331.064583333333</v>
      </c>
      <c r="H2180" s="156">
        <v>45331.930555555555</v>
      </c>
      <c r="I2180" s="168" t="s">
        <v>111</v>
      </c>
      <c r="J2180" s="169" t="s">
        <v>514</v>
      </c>
    </row>
    <row r="2181" spans="1:11">
      <c r="A2181" s="154" t="s">
        <v>106</v>
      </c>
      <c r="B2181" s="159" t="s">
        <v>13847</v>
      </c>
      <c r="C2181" s="132" t="s">
        <v>10056</v>
      </c>
      <c r="D2181" s="132" t="s">
        <v>13848</v>
      </c>
      <c r="E2181" s="132" t="s">
        <v>13849</v>
      </c>
      <c r="F2181" s="132" t="s">
        <v>40</v>
      </c>
      <c r="G2181" s="156">
        <v>45331.293749999997</v>
      </c>
      <c r="H2181" s="156">
        <v>45360.68472222222</v>
      </c>
      <c r="I2181" s="168" t="s">
        <v>13850</v>
      </c>
      <c r="J2181" s="169" t="s">
        <v>88</v>
      </c>
    </row>
    <row r="2182" spans="1:11">
      <c r="A2182" s="154" t="s">
        <v>20</v>
      </c>
      <c r="B2182" s="159" t="s">
        <v>13851</v>
      </c>
      <c r="C2182" s="132" t="s">
        <v>13</v>
      </c>
      <c r="D2182" s="132" t="s">
        <v>13852</v>
      </c>
      <c r="E2182" s="132" t="s">
        <v>13853</v>
      </c>
      <c r="F2182" s="132" t="s">
        <v>40</v>
      </c>
      <c r="G2182" s="156">
        <v>45331.65625</v>
      </c>
      <c r="H2182" s="156">
        <v>45331.67291666667</v>
      </c>
      <c r="I2182" s="168" t="s">
        <v>17</v>
      </c>
      <c r="J2182" s="169" t="s">
        <v>88</v>
      </c>
    </row>
    <row r="2183" spans="1:11">
      <c r="A2183" s="164" t="s">
        <v>106</v>
      </c>
      <c r="B2183" s="159" t="s">
        <v>13854</v>
      </c>
      <c r="C2183" s="132" t="s">
        <v>78</v>
      </c>
      <c r="D2183" s="132" t="s">
        <v>13855</v>
      </c>
      <c r="E2183" s="132" t="s">
        <v>13856</v>
      </c>
      <c r="F2183" s="132" t="s">
        <v>40</v>
      </c>
      <c r="G2183" s="156">
        <v>45360.28402777778</v>
      </c>
      <c r="H2183" s="156">
        <v>45391.290972222225</v>
      </c>
      <c r="I2183" s="168" t="s">
        <v>7393</v>
      </c>
      <c r="J2183" s="169" t="s">
        <v>514</v>
      </c>
    </row>
    <row r="2184" spans="1:11">
      <c r="A2184" s="164" t="s">
        <v>106</v>
      </c>
      <c r="B2184" s="159" t="s">
        <v>13857</v>
      </c>
      <c r="C2184" s="132" t="s">
        <v>108</v>
      </c>
      <c r="D2184" s="132" t="s">
        <v>13858</v>
      </c>
      <c r="E2184" s="132" t="s">
        <v>13859</v>
      </c>
      <c r="F2184" s="132" t="s">
        <v>40</v>
      </c>
      <c r="G2184" s="156">
        <v>45360.309027777781</v>
      </c>
      <c r="H2184" s="156">
        <v>45360.682638888888</v>
      </c>
      <c r="I2184" s="168" t="s">
        <v>6006</v>
      </c>
      <c r="J2184" s="169" t="s">
        <v>514</v>
      </c>
      <c r="K2184" s="169" t="s">
        <v>88</v>
      </c>
    </row>
    <row r="2185" spans="1:11">
      <c r="A2185" s="164" t="s">
        <v>106</v>
      </c>
      <c r="B2185" s="159" t="s">
        <v>13860</v>
      </c>
      <c r="C2185" s="132" t="s">
        <v>108</v>
      </c>
      <c r="D2185" s="132" t="s">
        <v>11041</v>
      </c>
      <c r="E2185" s="132" t="s">
        <v>13861</v>
      </c>
      <c r="F2185" s="132" t="s">
        <v>40</v>
      </c>
      <c r="G2185" s="156">
        <v>45360.241666666669</v>
      </c>
      <c r="H2185" s="156">
        <v>45360.263888888891</v>
      </c>
      <c r="I2185" s="168" t="s">
        <v>1373</v>
      </c>
      <c r="J2185" s="169" t="s">
        <v>88</v>
      </c>
    </row>
    <row r="2186" spans="1:11">
      <c r="A2186" s="164" t="s">
        <v>106</v>
      </c>
      <c r="B2186" s="159" t="s">
        <v>13862</v>
      </c>
      <c r="C2186" s="132" t="s">
        <v>108</v>
      </c>
      <c r="D2186" s="132" t="s">
        <v>13863</v>
      </c>
      <c r="E2186" s="132" t="s">
        <v>13864</v>
      </c>
      <c r="F2186" s="132" t="s">
        <v>40</v>
      </c>
      <c r="G2186" s="156">
        <v>45360.321527777778</v>
      </c>
      <c r="H2186" s="156">
        <v>45360.352083333331</v>
      </c>
      <c r="I2186" s="168" t="s">
        <v>3932</v>
      </c>
      <c r="J2186" s="169" t="s">
        <v>88</v>
      </c>
      <c r="K2186" s="196"/>
    </row>
    <row r="2187" spans="1:11">
      <c r="A2187" s="164" t="s">
        <v>106</v>
      </c>
      <c r="B2187" s="159" t="s">
        <v>13865</v>
      </c>
      <c r="C2187" s="132" t="s">
        <v>108</v>
      </c>
      <c r="D2187" s="132" t="s">
        <v>13866</v>
      </c>
      <c r="E2187" s="132" t="s">
        <v>13867</v>
      </c>
      <c r="F2187" s="132" t="s">
        <v>40</v>
      </c>
      <c r="G2187" s="156">
        <v>45360.633333333331</v>
      </c>
      <c r="H2187" s="156">
        <v>45360.681250000001</v>
      </c>
      <c r="I2187" s="168" t="s">
        <v>6799</v>
      </c>
      <c r="J2187" s="169" t="s">
        <v>88</v>
      </c>
    </row>
    <row r="2188" spans="1:11">
      <c r="A2188" s="164" t="s">
        <v>20</v>
      </c>
      <c r="B2188" s="159" t="s">
        <v>13868</v>
      </c>
      <c r="C2188" s="132" t="s">
        <v>13</v>
      </c>
      <c r="D2188" s="132" t="s">
        <v>13869</v>
      </c>
      <c r="E2188" s="194" t="s">
        <v>13870</v>
      </c>
      <c r="F2188" s="132" t="s">
        <v>40</v>
      </c>
      <c r="G2188" s="156">
        <v>45360.84375</v>
      </c>
      <c r="H2188" s="156">
        <v>45574.339583333334</v>
      </c>
      <c r="I2188" s="168" t="s">
        <v>17</v>
      </c>
      <c r="J2188" s="169" t="s">
        <v>514</v>
      </c>
      <c r="K2188" s="169" t="s">
        <v>9367</v>
      </c>
    </row>
    <row r="2189" spans="1:11">
      <c r="A2189" s="164" t="s">
        <v>106</v>
      </c>
      <c r="B2189" s="159" t="s">
        <v>13871</v>
      </c>
      <c r="C2189" s="132" t="s">
        <v>108</v>
      </c>
      <c r="D2189" s="132" t="s">
        <v>13872</v>
      </c>
      <c r="E2189" s="132" t="s">
        <v>13873</v>
      </c>
      <c r="F2189" s="132" t="s">
        <v>40</v>
      </c>
      <c r="G2189" s="156">
        <v>45360.866666666669</v>
      </c>
      <c r="H2189" s="156">
        <v>45391.150694444441</v>
      </c>
      <c r="I2189" s="168" t="s">
        <v>6006</v>
      </c>
      <c r="J2189" s="169" t="s">
        <v>514</v>
      </c>
    </row>
    <row r="2190" spans="1:11">
      <c r="A2190" s="164" t="s">
        <v>95</v>
      </c>
      <c r="B2190" s="159" t="s">
        <v>13874</v>
      </c>
      <c r="C2190" s="132" t="s">
        <v>6047</v>
      </c>
      <c r="D2190" s="132" t="s">
        <v>13875</v>
      </c>
      <c r="E2190" s="132" t="s">
        <v>13876</v>
      </c>
      <c r="F2190" s="132" t="s">
        <v>40</v>
      </c>
      <c r="G2190" s="156">
        <v>45391.197916666664</v>
      </c>
      <c r="H2190" s="156">
        <v>45391.458333333336</v>
      </c>
      <c r="I2190" s="168" t="s">
        <v>378</v>
      </c>
      <c r="J2190" s="169" t="s">
        <v>514</v>
      </c>
      <c r="K2190" s="169" t="s">
        <v>9367</v>
      </c>
    </row>
    <row r="2191" spans="1:11">
      <c r="A2191" s="164" t="s">
        <v>20</v>
      </c>
      <c r="B2191" s="159" t="s">
        <v>13877</v>
      </c>
      <c r="C2191" s="132" t="s">
        <v>13</v>
      </c>
      <c r="D2191" s="132" t="s">
        <v>13878</v>
      </c>
      <c r="E2191" s="132" t="s">
        <v>13879</v>
      </c>
      <c r="F2191" s="132" t="s">
        <v>40</v>
      </c>
      <c r="G2191" s="156">
        <v>45391.357638888891</v>
      </c>
      <c r="H2191" s="156">
        <v>45391.717361111114</v>
      </c>
      <c r="I2191" s="168" t="s">
        <v>32</v>
      </c>
      <c r="J2191" s="169" t="s">
        <v>9367</v>
      </c>
    </row>
    <row r="2192" spans="1:11">
      <c r="A2192" s="164" t="s">
        <v>106</v>
      </c>
      <c r="B2192" s="155" t="s">
        <v>13880</v>
      </c>
      <c r="C2192" s="132" t="s">
        <v>37</v>
      </c>
      <c r="D2192" s="132" t="s">
        <v>13881</v>
      </c>
      <c r="E2192" s="132" t="s">
        <v>13882</v>
      </c>
      <c r="F2192" s="132" t="s">
        <v>40</v>
      </c>
      <c r="G2192" s="156">
        <v>45391.37777777778</v>
      </c>
      <c r="H2192" s="156">
        <v>45391.443749999999</v>
      </c>
      <c r="I2192" s="168" t="s">
        <v>13049</v>
      </c>
      <c r="J2192" s="169" t="s">
        <v>9367</v>
      </c>
    </row>
    <row r="2193" spans="1:10">
      <c r="A2193" s="164" t="s">
        <v>106</v>
      </c>
      <c r="B2193" s="155" t="s">
        <v>13883</v>
      </c>
      <c r="C2193" s="132" t="s">
        <v>108</v>
      </c>
      <c r="D2193" s="132" t="s">
        <v>13884</v>
      </c>
      <c r="F2193" s="132" t="s">
        <v>40</v>
      </c>
      <c r="G2193" s="156">
        <v>45391.440972222219</v>
      </c>
      <c r="H2193" s="156">
        <v>45421.46597222222</v>
      </c>
      <c r="I2193" s="168" t="s">
        <v>13885</v>
      </c>
      <c r="J2193" s="169" t="s">
        <v>9367</v>
      </c>
    </row>
    <row r="2194" spans="1:10">
      <c r="A2194" s="154" t="s">
        <v>106</v>
      </c>
      <c r="B2194" s="155" t="s">
        <v>13886</v>
      </c>
      <c r="C2194" s="132" t="s">
        <v>78</v>
      </c>
      <c r="D2194" s="132" t="s">
        <v>13887</v>
      </c>
      <c r="E2194" s="132" t="s">
        <v>13888</v>
      </c>
      <c r="F2194" s="132" t="s">
        <v>40</v>
      </c>
      <c r="G2194" s="156">
        <v>45391.520833333336</v>
      </c>
      <c r="H2194" s="156">
        <v>45391.567361111112</v>
      </c>
      <c r="I2194" s="168" t="s">
        <v>258</v>
      </c>
      <c r="J2194" s="169" t="s">
        <v>9367</v>
      </c>
    </row>
    <row r="2195" spans="1:10">
      <c r="A2195" s="154" t="s">
        <v>20</v>
      </c>
      <c r="B2195" s="155" t="s">
        <v>13889</v>
      </c>
      <c r="C2195" s="132" t="s">
        <v>21</v>
      </c>
      <c r="D2195" s="132" t="s">
        <v>13890</v>
      </c>
      <c r="E2195" s="132" t="s">
        <v>13891</v>
      </c>
      <c r="F2195" s="132" t="s">
        <v>40</v>
      </c>
      <c r="G2195" s="156">
        <v>45391.840277777781</v>
      </c>
      <c r="H2195" s="156">
        <v>45391.920138888891</v>
      </c>
      <c r="I2195" s="168" t="s">
        <v>6459</v>
      </c>
      <c r="J2195" s="169" t="s">
        <v>72</v>
      </c>
    </row>
    <row r="2196" spans="1:10">
      <c r="A2196" s="154" t="s">
        <v>20</v>
      </c>
      <c r="B2196" s="155" t="s">
        <v>13892</v>
      </c>
      <c r="C2196" s="132" t="s">
        <v>49</v>
      </c>
      <c r="D2196" s="132" t="s">
        <v>13893</v>
      </c>
      <c r="E2196" s="132" t="s">
        <v>3705</v>
      </c>
      <c r="F2196" s="132" t="s">
        <v>40</v>
      </c>
      <c r="G2196" s="156">
        <v>45391.864583333336</v>
      </c>
      <c r="H2196" s="156">
        <v>45391.883333333331</v>
      </c>
      <c r="I2196" s="168" t="s">
        <v>10409</v>
      </c>
      <c r="J2196" s="169" t="s">
        <v>72</v>
      </c>
    </row>
    <row r="2197" spans="1:10">
      <c r="A2197" s="154" t="s">
        <v>106</v>
      </c>
      <c r="B2197" s="155" t="s">
        <v>13894</v>
      </c>
      <c r="C2197" s="132" t="s">
        <v>108</v>
      </c>
      <c r="D2197" s="132" t="s">
        <v>13895</v>
      </c>
      <c r="E2197" s="132" t="s">
        <v>13896</v>
      </c>
      <c r="F2197" s="132" t="s">
        <v>40</v>
      </c>
      <c r="G2197" s="156">
        <v>45421.022916666669</v>
      </c>
      <c r="H2197" s="156">
        <v>45421.070833333331</v>
      </c>
      <c r="I2197" s="168" t="s">
        <v>616</v>
      </c>
      <c r="J2197" s="169" t="s">
        <v>72</v>
      </c>
    </row>
    <row r="2198" spans="1:10">
      <c r="A2198" s="154" t="s">
        <v>106</v>
      </c>
      <c r="B2198" s="155" t="s">
        <v>13897</v>
      </c>
      <c r="C2198" s="132" t="s">
        <v>78</v>
      </c>
      <c r="D2198" s="132" t="s">
        <v>13898</v>
      </c>
      <c r="E2198" s="132" t="s">
        <v>13899</v>
      </c>
      <c r="F2198" s="132" t="s">
        <v>40</v>
      </c>
      <c r="G2198" s="156">
        <v>45421.42083333333</v>
      </c>
      <c r="H2198" s="156">
        <v>45421.45416666667</v>
      </c>
      <c r="I2198" s="168" t="s">
        <v>32</v>
      </c>
      <c r="J2198" s="169" t="s">
        <v>9367</v>
      </c>
    </row>
    <row r="2199" spans="1:10">
      <c r="A2199" s="154" t="s">
        <v>20</v>
      </c>
      <c r="B2199" s="155" t="s">
        <v>13900</v>
      </c>
      <c r="C2199" s="132" t="s">
        <v>13</v>
      </c>
      <c r="D2199" s="132" t="s">
        <v>13901</v>
      </c>
      <c r="E2199" s="132" t="s">
        <v>13902</v>
      </c>
      <c r="F2199" s="132" t="s">
        <v>40</v>
      </c>
      <c r="G2199" s="156">
        <v>45421.42291666667</v>
      </c>
      <c r="H2199" s="156">
        <v>45421.666666666664</v>
      </c>
      <c r="I2199" s="168" t="s">
        <v>17</v>
      </c>
      <c r="J2199" s="169" t="s">
        <v>9367</v>
      </c>
    </row>
    <row r="2200" spans="1:10">
      <c r="A2200" s="154" t="s">
        <v>106</v>
      </c>
      <c r="B2200" s="155" t="s">
        <v>13903</v>
      </c>
      <c r="C2200" s="132" t="s">
        <v>108</v>
      </c>
      <c r="D2200" s="132" t="s">
        <v>13904</v>
      </c>
      <c r="E2200" s="132" t="s">
        <v>13905</v>
      </c>
      <c r="F2200" s="132" t="s">
        <v>40</v>
      </c>
      <c r="G2200" s="156">
        <v>45421.44027777778</v>
      </c>
      <c r="H2200" s="156">
        <v>45421.51666666667</v>
      </c>
      <c r="I2200" s="168" t="s">
        <v>1373</v>
      </c>
      <c r="J2200" s="169" t="s">
        <v>9367</v>
      </c>
    </row>
    <row r="2201" spans="1:10">
      <c r="A2201" s="154" t="s">
        <v>106</v>
      </c>
      <c r="B2201" s="155" t="s">
        <v>13906</v>
      </c>
      <c r="C2201" s="132" t="s">
        <v>108</v>
      </c>
      <c r="D2201" s="132" t="s">
        <v>13907</v>
      </c>
      <c r="E2201" s="132" t="s">
        <v>13908</v>
      </c>
      <c r="F2201" s="132" t="s">
        <v>40</v>
      </c>
      <c r="G2201" s="156">
        <v>45421.588194444441</v>
      </c>
      <c r="H2201" s="156">
        <v>45421.73333333333</v>
      </c>
      <c r="I2201" s="168" t="s">
        <v>1470</v>
      </c>
      <c r="J2201" s="169" t="s">
        <v>9367</v>
      </c>
    </row>
    <row r="2202" spans="1:10">
      <c r="A2202" s="154" t="s">
        <v>95</v>
      </c>
      <c r="B2202" s="155" t="s">
        <v>13909</v>
      </c>
      <c r="C2202" s="132" t="s">
        <v>97</v>
      </c>
      <c r="D2202" s="132" t="s">
        <v>13910</v>
      </c>
      <c r="E2202" s="132" t="s">
        <v>13911</v>
      </c>
      <c r="F2202" s="132" t="s">
        <v>40</v>
      </c>
      <c r="G2202" s="156">
        <v>45421.765277777777</v>
      </c>
      <c r="H2202" s="156">
        <v>45421.775000000001</v>
      </c>
      <c r="I2202" s="168" t="s">
        <v>991</v>
      </c>
      <c r="J2202" s="169" t="s">
        <v>9367</v>
      </c>
    </row>
    <row r="2203" spans="1:10">
      <c r="A2203" s="154" t="s">
        <v>20</v>
      </c>
      <c r="B2203" s="155" t="s">
        <v>13912</v>
      </c>
      <c r="C2203" s="132" t="s">
        <v>49</v>
      </c>
      <c r="D2203" s="132" t="s">
        <v>13893</v>
      </c>
      <c r="E2203" s="132" t="s">
        <v>13913</v>
      </c>
      <c r="F2203" s="132" t="s">
        <v>40</v>
      </c>
      <c r="G2203" s="156">
        <v>45421.868055555555</v>
      </c>
      <c r="H2203" s="156">
        <v>45421.89166666667</v>
      </c>
      <c r="I2203" s="168" t="s">
        <v>7881</v>
      </c>
      <c r="J2203" s="169" t="s">
        <v>72</v>
      </c>
    </row>
    <row r="2204" spans="1:10">
      <c r="A2204" s="154" t="s">
        <v>106</v>
      </c>
      <c r="B2204" s="155" t="s">
        <v>13914</v>
      </c>
      <c r="C2204" s="132" t="s">
        <v>108</v>
      </c>
      <c r="D2204" s="132" t="s">
        <v>8467</v>
      </c>
      <c r="E2204" s="132" t="s">
        <v>11862</v>
      </c>
      <c r="F2204" s="132" t="s">
        <v>40</v>
      </c>
      <c r="G2204" s="156">
        <v>45421.890277777777</v>
      </c>
      <c r="H2204" s="156">
        <v>45452.268750000003</v>
      </c>
      <c r="I2204" s="168" t="s">
        <v>32</v>
      </c>
      <c r="J2204" s="169" t="s">
        <v>72</v>
      </c>
    </row>
    <row r="2205" spans="1:10">
      <c r="A2205" s="154" t="s">
        <v>95</v>
      </c>
      <c r="B2205" s="155" t="s">
        <v>13915</v>
      </c>
      <c r="C2205" s="132" t="s">
        <v>6047</v>
      </c>
      <c r="D2205" s="132" t="s">
        <v>13916</v>
      </c>
      <c r="E2205" s="132" t="s">
        <v>13917</v>
      </c>
      <c r="F2205" s="132" t="s">
        <v>40</v>
      </c>
      <c r="G2205" s="156">
        <v>45421.925000000003</v>
      </c>
      <c r="H2205" s="156">
        <v>45421.941666666666</v>
      </c>
      <c r="I2205" s="168" t="s">
        <v>7881</v>
      </c>
      <c r="J2205" s="169" t="s">
        <v>72</v>
      </c>
    </row>
    <row r="2206" spans="1:10">
      <c r="A2206" s="154" t="s">
        <v>95</v>
      </c>
      <c r="B2206" s="155" t="s">
        <v>13918</v>
      </c>
      <c r="C2206" s="132" t="s">
        <v>6047</v>
      </c>
      <c r="D2206" s="132" t="s">
        <v>13919</v>
      </c>
      <c r="E2206" s="132" t="s">
        <v>13920</v>
      </c>
      <c r="F2206" s="132" t="s">
        <v>40</v>
      </c>
      <c r="G2206" s="156">
        <v>45421.945833333331</v>
      </c>
      <c r="H2206" s="156">
        <v>45421.96597222222</v>
      </c>
      <c r="I2206" s="168" t="s">
        <v>13921</v>
      </c>
      <c r="J2206" s="169" t="s">
        <v>72</v>
      </c>
    </row>
    <row r="2207" spans="1:10">
      <c r="A2207" s="154" t="s">
        <v>95</v>
      </c>
      <c r="B2207" s="155" t="s">
        <v>13922</v>
      </c>
      <c r="C2207" s="132" t="s">
        <v>118</v>
      </c>
      <c r="D2207" s="132" t="s">
        <v>13923</v>
      </c>
      <c r="E2207" s="132" t="s">
        <v>13924</v>
      </c>
      <c r="F2207" s="132" t="s">
        <v>40</v>
      </c>
      <c r="G2207" s="156">
        <v>45452.258333333331</v>
      </c>
      <c r="H2207" s="156">
        <v>45452.270833333336</v>
      </c>
      <c r="I2207" s="168" t="s">
        <v>1102</v>
      </c>
      <c r="J2207" s="169" t="s">
        <v>72</v>
      </c>
    </row>
    <row r="2208" spans="1:10">
      <c r="A2208" s="154" t="s">
        <v>20</v>
      </c>
      <c r="B2208" s="155" t="s">
        <v>13925</v>
      </c>
      <c r="C2208" s="132" t="s">
        <v>21</v>
      </c>
      <c r="D2208" s="132" t="s">
        <v>13926</v>
      </c>
      <c r="E2208" s="194" t="s">
        <v>13927</v>
      </c>
      <c r="F2208" s="132" t="s">
        <v>40</v>
      </c>
      <c r="G2208" s="156">
        <v>45452.40347222222</v>
      </c>
      <c r="H2208" s="156">
        <v>45452.438194444447</v>
      </c>
      <c r="I2208" s="168" t="s">
        <v>32</v>
      </c>
      <c r="J2208" s="169" t="s">
        <v>9367</v>
      </c>
    </row>
    <row r="2209" spans="1:10">
      <c r="A2209" s="154" t="s">
        <v>106</v>
      </c>
      <c r="B2209" s="155" t="s">
        <v>13928</v>
      </c>
      <c r="C2209" s="132" t="s">
        <v>37</v>
      </c>
      <c r="D2209" s="132" t="s">
        <v>13929</v>
      </c>
      <c r="E2209" s="194" t="s">
        <v>13930</v>
      </c>
      <c r="F2209" s="132" t="s">
        <v>40</v>
      </c>
      <c r="G2209" s="156">
        <v>45452.343055555553</v>
      </c>
      <c r="H2209" s="156">
        <v>45452.390972222223</v>
      </c>
      <c r="I2209" s="168" t="s">
        <v>13068</v>
      </c>
      <c r="J2209" s="169" t="s">
        <v>9367</v>
      </c>
    </row>
    <row r="2210" spans="1:10">
      <c r="A2210" s="154" t="s">
        <v>106</v>
      </c>
      <c r="B2210" s="155" t="s">
        <v>13931</v>
      </c>
      <c r="C2210" s="132" t="s">
        <v>37</v>
      </c>
      <c r="D2210" s="132" t="s">
        <v>13932</v>
      </c>
      <c r="F2210" s="132" t="s">
        <v>40</v>
      </c>
      <c r="G2210" s="156">
        <v>45452.689583333333</v>
      </c>
      <c r="H2210" s="156">
        <v>45513.427777777775</v>
      </c>
      <c r="I2210" s="168" t="s">
        <v>13068</v>
      </c>
      <c r="J2210" s="169" t="s">
        <v>9367</v>
      </c>
    </row>
    <row r="2211" spans="1:10">
      <c r="A2211" s="154" t="s">
        <v>20</v>
      </c>
      <c r="B2211" s="155" t="s">
        <v>13933</v>
      </c>
      <c r="C2211" s="132" t="s">
        <v>13</v>
      </c>
      <c r="D2211" s="132" t="s">
        <v>13934</v>
      </c>
      <c r="E2211" s="132" t="s">
        <v>13935</v>
      </c>
      <c r="F2211" s="132" t="s">
        <v>40</v>
      </c>
      <c r="G2211" s="156">
        <v>45452.54583333333</v>
      </c>
      <c r="H2211" s="156">
        <v>45482.386111111111</v>
      </c>
      <c r="I2211" s="168" t="s">
        <v>11612</v>
      </c>
      <c r="J2211" s="169" t="s">
        <v>9367</v>
      </c>
    </row>
    <row r="2212" spans="1:10">
      <c r="A2212" s="154" t="s">
        <v>106</v>
      </c>
      <c r="B2212" s="155" t="s">
        <v>13936</v>
      </c>
      <c r="C2212" s="132" t="s">
        <v>108</v>
      </c>
      <c r="D2212" s="132" t="s">
        <v>13937</v>
      </c>
      <c r="E2212" s="194" t="s">
        <v>13938</v>
      </c>
      <c r="F2212" s="132" t="s">
        <v>40</v>
      </c>
      <c r="G2212" s="156">
        <v>45452.677777777775</v>
      </c>
      <c r="H2212" s="156">
        <v>45452.683333333334</v>
      </c>
      <c r="I2212" s="168" t="s">
        <v>1470</v>
      </c>
      <c r="J2212" s="169" t="s">
        <v>9367</v>
      </c>
    </row>
    <row r="2213" spans="1:10">
      <c r="A2213" s="154" t="s">
        <v>95</v>
      </c>
      <c r="B2213" s="155" t="s">
        <v>13939</v>
      </c>
      <c r="C2213" s="132" t="s">
        <v>97</v>
      </c>
      <c r="D2213" s="194" t="s">
        <v>13940</v>
      </c>
      <c r="E2213" s="194" t="s">
        <v>13941</v>
      </c>
      <c r="F2213" s="132" t="s">
        <v>40</v>
      </c>
      <c r="G2213" s="156">
        <v>45452.493055555555</v>
      </c>
      <c r="H2213" s="156">
        <v>45452.506249999999</v>
      </c>
      <c r="I2213" s="168" t="s">
        <v>991</v>
      </c>
      <c r="J2213" s="169" t="s">
        <v>9367</v>
      </c>
    </row>
    <row r="2214" spans="1:10">
      <c r="A2214" s="154" t="s">
        <v>95</v>
      </c>
      <c r="B2214" s="155" t="s">
        <v>13942</v>
      </c>
      <c r="C2214" s="132" t="s">
        <v>6047</v>
      </c>
      <c r="D2214" s="132" t="s">
        <v>13943</v>
      </c>
      <c r="E2214" s="132" t="s">
        <v>13944</v>
      </c>
      <c r="F2214" s="132" t="s">
        <v>40</v>
      </c>
      <c r="G2214" s="156">
        <v>45452.836805555555</v>
      </c>
      <c r="H2214" s="156">
        <v>45452.840277777781</v>
      </c>
      <c r="I2214" s="168" t="s">
        <v>13921</v>
      </c>
      <c r="J2214" s="169" t="s">
        <v>72</v>
      </c>
    </row>
    <row r="2215" spans="1:10">
      <c r="A2215" s="154" t="s">
        <v>95</v>
      </c>
      <c r="B2215" s="155" t="s">
        <v>13945</v>
      </c>
      <c r="C2215" s="132" t="s">
        <v>6047</v>
      </c>
      <c r="D2215" s="132" t="s">
        <v>13916</v>
      </c>
      <c r="E2215" s="132" t="s">
        <v>13946</v>
      </c>
      <c r="F2215" s="132" t="s">
        <v>40</v>
      </c>
      <c r="G2215" s="156">
        <v>45452.836805555555</v>
      </c>
      <c r="H2215" s="156">
        <v>45452.863888888889</v>
      </c>
      <c r="I2215" s="168" t="s">
        <v>13921</v>
      </c>
      <c r="J2215" s="169" t="s">
        <v>72</v>
      </c>
    </row>
    <row r="2216" spans="1:10">
      <c r="A2216" s="154" t="s">
        <v>95</v>
      </c>
      <c r="B2216" s="155" t="s">
        <v>13947</v>
      </c>
      <c r="C2216" s="132" t="s">
        <v>118</v>
      </c>
      <c r="D2216" s="132" t="s">
        <v>13948</v>
      </c>
      <c r="E2216" s="132" t="s">
        <v>2302</v>
      </c>
      <c r="F2216" s="132" t="s">
        <v>40</v>
      </c>
      <c r="G2216" s="156">
        <v>45452.890277777777</v>
      </c>
      <c r="H2216" s="156">
        <v>45452.961111111108</v>
      </c>
      <c r="I2216" s="168" t="s">
        <v>13949</v>
      </c>
      <c r="J2216" s="169" t="s">
        <v>72</v>
      </c>
    </row>
    <row r="2217" spans="1:10">
      <c r="A2217" s="154" t="s">
        <v>95</v>
      </c>
      <c r="B2217" s="155" t="s">
        <v>13950</v>
      </c>
      <c r="C2217" s="132" t="s">
        <v>118</v>
      </c>
      <c r="D2217" s="132" t="s">
        <v>13951</v>
      </c>
      <c r="E2217" s="132" t="s">
        <v>13952</v>
      </c>
      <c r="F2217" s="132" t="s">
        <v>40</v>
      </c>
      <c r="G2217" s="156">
        <v>45452.892361111109</v>
      </c>
      <c r="H2217" s="156">
        <v>45452.906944444447</v>
      </c>
      <c r="I2217" s="168" t="s">
        <v>2119</v>
      </c>
      <c r="J2217" s="169" t="s">
        <v>72</v>
      </c>
    </row>
    <row r="2218" spans="1:10">
      <c r="A2218" s="154" t="s">
        <v>106</v>
      </c>
      <c r="B2218" s="155" t="s">
        <v>13953</v>
      </c>
      <c r="C2218" s="132" t="s">
        <v>108</v>
      </c>
      <c r="D2218" s="132" t="s">
        <v>8467</v>
      </c>
      <c r="E2218" s="132" t="s">
        <v>11862</v>
      </c>
      <c r="F2218" s="132" t="s">
        <v>40</v>
      </c>
      <c r="G2218" s="156">
        <v>45452.905555555553</v>
      </c>
      <c r="H2218" s="156">
        <v>45452.94027777778</v>
      </c>
      <c r="I2218" s="168" t="s">
        <v>32</v>
      </c>
      <c r="J2218" s="169" t="s">
        <v>72</v>
      </c>
    </row>
    <row r="2219" spans="1:10">
      <c r="A2219" s="154" t="s">
        <v>95</v>
      </c>
      <c r="B2219" s="155" t="s">
        <v>13954</v>
      </c>
      <c r="C2219" s="132" t="s">
        <v>118</v>
      </c>
      <c r="D2219" s="132" t="s">
        <v>13955</v>
      </c>
      <c r="E2219" s="132" t="s">
        <v>13956</v>
      </c>
      <c r="F2219" s="132" t="s">
        <v>40</v>
      </c>
      <c r="G2219" s="156">
        <v>45482.044444444444</v>
      </c>
      <c r="H2219" s="156">
        <v>45482.072916666664</v>
      </c>
      <c r="I2219" s="168" t="s">
        <v>2119</v>
      </c>
      <c r="J2219" s="169" t="s">
        <v>72</v>
      </c>
    </row>
    <row r="2220" spans="1:10">
      <c r="A2220" s="154" t="s">
        <v>106</v>
      </c>
      <c r="B2220" s="155" t="s">
        <v>13957</v>
      </c>
      <c r="C2220" s="132" t="s">
        <v>78</v>
      </c>
      <c r="D2220" s="132" t="s">
        <v>13958</v>
      </c>
      <c r="E2220" s="132" t="s">
        <v>13959</v>
      </c>
      <c r="F2220" s="132" t="s">
        <v>40</v>
      </c>
      <c r="G2220" s="156">
        <v>45482.048611111109</v>
      </c>
      <c r="H2220" s="156">
        <v>45482.184027777781</v>
      </c>
      <c r="I2220" s="168" t="s">
        <v>1268</v>
      </c>
      <c r="J2220" s="169" t="s">
        <v>72</v>
      </c>
    </row>
    <row r="2221" spans="1:10">
      <c r="A2221" s="154" t="s">
        <v>20</v>
      </c>
      <c r="B2221" s="155" t="s">
        <v>13960</v>
      </c>
      <c r="C2221" s="132" t="s">
        <v>13</v>
      </c>
      <c r="D2221" s="132" t="s">
        <v>13961</v>
      </c>
      <c r="E2221" s="132" t="s">
        <v>13962</v>
      </c>
      <c r="F2221" s="132" t="s">
        <v>40</v>
      </c>
      <c r="G2221" s="156">
        <v>45482.061111111114</v>
      </c>
      <c r="H2221" s="156">
        <v>45482.204861111109</v>
      </c>
      <c r="I2221" s="168" t="s">
        <v>11644</v>
      </c>
      <c r="J2221" s="169" t="s">
        <v>72</v>
      </c>
    </row>
    <row r="2222" spans="1:10">
      <c r="A2222" s="154" t="s">
        <v>106</v>
      </c>
      <c r="B2222" s="155" t="s">
        <v>13963</v>
      </c>
      <c r="C2222" s="132" t="s">
        <v>333</v>
      </c>
      <c r="D2222" s="132" t="s">
        <v>13964</v>
      </c>
      <c r="E2222" s="132" t="s">
        <v>13965</v>
      </c>
      <c r="F2222" s="132" t="s">
        <v>40</v>
      </c>
      <c r="G2222" s="156">
        <v>45482.29583333333</v>
      </c>
      <c r="H2222" s="156">
        <v>45482.313888888886</v>
      </c>
      <c r="I2222" s="168" t="s">
        <v>13966</v>
      </c>
      <c r="J2222" s="169" t="s">
        <v>72</v>
      </c>
    </row>
    <row r="2223" spans="1:10">
      <c r="A2223" s="154" t="s">
        <v>106</v>
      </c>
      <c r="B2223" s="155" t="s">
        <v>13967</v>
      </c>
      <c r="C2223" s="132" t="s">
        <v>108</v>
      </c>
      <c r="D2223" s="132" t="s">
        <v>13968</v>
      </c>
      <c r="E2223" s="194" t="s">
        <v>13969</v>
      </c>
      <c r="F2223" s="132" t="s">
        <v>40</v>
      </c>
      <c r="G2223" s="156">
        <v>45482.390277777777</v>
      </c>
      <c r="H2223" s="156">
        <v>45482.448611111111</v>
      </c>
      <c r="I2223" s="168" t="s">
        <v>1470</v>
      </c>
      <c r="J2223" s="169" t="s">
        <v>9367</v>
      </c>
    </row>
    <row r="2224" spans="1:10">
      <c r="A2224" s="154" t="s">
        <v>20</v>
      </c>
      <c r="B2224" s="155" t="s">
        <v>13970</v>
      </c>
      <c r="C2224" s="132" t="s">
        <v>13</v>
      </c>
      <c r="D2224" s="132" t="s">
        <v>13971</v>
      </c>
      <c r="E2224" s="195" t="s">
        <v>13972</v>
      </c>
      <c r="F2224" s="132" t="s">
        <v>40</v>
      </c>
      <c r="G2224" s="156">
        <v>45482.411805555559</v>
      </c>
      <c r="H2224" s="156">
        <v>45482.513888888891</v>
      </c>
      <c r="I2224" s="168" t="s">
        <v>11612</v>
      </c>
      <c r="J2224" s="169" t="s">
        <v>9367</v>
      </c>
    </row>
    <row r="2225" spans="1:11">
      <c r="A2225" s="154" t="s">
        <v>95</v>
      </c>
      <c r="B2225" s="155" t="s">
        <v>13973</v>
      </c>
      <c r="C2225" s="132" t="s">
        <v>113</v>
      </c>
      <c r="D2225" s="132" t="s">
        <v>13974</v>
      </c>
      <c r="E2225" s="194" t="s">
        <v>13975</v>
      </c>
      <c r="F2225" s="132" t="s">
        <v>40</v>
      </c>
      <c r="G2225" s="156">
        <v>45482.344444444447</v>
      </c>
      <c r="H2225" s="156">
        <v>45482.43472222222</v>
      </c>
      <c r="I2225" s="168" t="s">
        <v>6462</v>
      </c>
      <c r="J2225" s="169" t="s">
        <v>9367</v>
      </c>
    </row>
    <row r="2226" spans="1:11">
      <c r="A2226" s="154" t="s">
        <v>95</v>
      </c>
      <c r="B2226" s="155" t="s">
        <v>13976</v>
      </c>
      <c r="C2226" s="132" t="s">
        <v>6047</v>
      </c>
      <c r="D2226" s="132" t="s">
        <v>13977</v>
      </c>
      <c r="E2226" s="194" t="s">
        <v>13978</v>
      </c>
      <c r="F2226" s="132" t="s">
        <v>40</v>
      </c>
      <c r="G2226" s="156">
        <v>45482.564583333333</v>
      </c>
      <c r="H2226" s="156">
        <v>45482.578472222223</v>
      </c>
      <c r="I2226" s="168" t="s">
        <v>2650</v>
      </c>
      <c r="J2226" s="169" t="s">
        <v>9367</v>
      </c>
    </row>
    <row r="2227" spans="1:11">
      <c r="A2227" s="154" t="s">
        <v>106</v>
      </c>
      <c r="B2227" s="155" t="s">
        <v>13979</v>
      </c>
      <c r="C2227" s="132" t="s">
        <v>13980</v>
      </c>
      <c r="D2227" s="132" t="s">
        <v>13981</v>
      </c>
      <c r="E2227" s="195" t="s">
        <v>13982</v>
      </c>
      <c r="F2227" s="132" t="s">
        <v>40</v>
      </c>
      <c r="G2227" s="156">
        <v>45482.469444444447</v>
      </c>
      <c r="H2227" s="156">
        <v>45513.779861111114</v>
      </c>
      <c r="I2227" s="168" t="s">
        <v>13983</v>
      </c>
      <c r="J2227" s="169" t="s">
        <v>9367</v>
      </c>
    </row>
    <row r="2228" spans="1:11">
      <c r="A2228" s="154" t="s">
        <v>95</v>
      </c>
      <c r="B2228" s="155" t="s">
        <v>13984</v>
      </c>
      <c r="C2228" s="132" t="s">
        <v>97</v>
      </c>
      <c r="D2228" s="132" t="s">
        <v>13985</v>
      </c>
      <c r="E2228" s="194" t="s">
        <v>13986</v>
      </c>
      <c r="F2228" s="132" t="s">
        <v>40</v>
      </c>
      <c r="G2228" s="156">
        <v>45482.79791666667</v>
      </c>
      <c r="H2228" s="156">
        <v>45482.806944444441</v>
      </c>
      <c r="I2228" s="168" t="s">
        <v>4375</v>
      </c>
      <c r="J2228" s="169" t="s">
        <v>9367</v>
      </c>
    </row>
    <row r="2229" spans="1:11">
      <c r="A2229" s="154" t="s">
        <v>20</v>
      </c>
      <c r="B2229" s="155" t="s">
        <v>13987</v>
      </c>
      <c r="C2229" s="132" t="s">
        <v>13</v>
      </c>
      <c r="D2229" s="132" t="s">
        <v>13988</v>
      </c>
      <c r="E2229" s="132" t="s">
        <v>13989</v>
      </c>
      <c r="F2229" s="132" t="s">
        <v>40</v>
      </c>
      <c r="G2229" s="156">
        <v>45482.811805555553</v>
      </c>
      <c r="H2229" s="156">
        <v>45574.8</v>
      </c>
      <c r="I2229" s="168" t="s">
        <v>32</v>
      </c>
      <c r="J2229" s="169" t="s">
        <v>9367</v>
      </c>
    </row>
    <row r="2230" spans="1:11">
      <c r="A2230" s="154" t="s">
        <v>20</v>
      </c>
      <c r="B2230" s="155" t="s">
        <v>13990</v>
      </c>
      <c r="C2230" s="132" t="s">
        <v>21</v>
      </c>
      <c r="D2230" s="132" t="s">
        <v>2982</v>
      </c>
      <c r="E2230" s="132" t="s">
        <v>13991</v>
      </c>
      <c r="F2230" s="132" t="s">
        <v>40</v>
      </c>
      <c r="G2230" s="156">
        <v>45482.886805555558</v>
      </c>
      <c r="H2230" s="156">
        <v>45482.898611111108</v>
      </c>
      <c r="I2230" s="168" t="s">
        <v>52</v>
      </c>
      <c r="J2230" s="169" t="s">
        <v>72</v>
      </c>
    </row>
    <row r="2231" spans="1:11">
      <c r="A2231" s="154" t="s">
        <v>20</v>
      </c>
      <c r="B2231" s="155" t="s">
        <v>13992</v>
      </c>
      <c r="C2231" s="132" t="s">
        <v>21</v>
      </c>
      <c r="D2231" s="132" t="s">
        <v>2982</v>
      </c>
      <c r="E2231" s="132" t="s">
        <v>13991</v>
      </c>
      <c r="F2231" s="132" t="s">
        <v>40</v>
      </c>
      <c r="G2231" s="156">
        <v>45482.916666666664</v>
      </c>
      <c r="H2231" s="156">
        <v>45482.930555555555</v>
      </c>
      <c r="I2231" s="168" t="s">
        <v>52</v>
      </c>
      <c r="J2231" s="169" t="s">
        <v>72</v>
      </c>
    </row>
    <row r="2232" spans="1:11">
      <c r="A2232" s="154" t="s">
        <v>20</v>
      </c>
      <c r="B2232" s="155" t="s">
        <v>13993</v>
      </c>
      <c r="C2232" s="132" t="s">
        <v>49</v>
      </c>
      <c r="D2232" s="132" t="s">
        <v>13893</v>
      </c>
      <c r="E2232" s="132" t="s">
        <v>13994</v>
      </c>
      <c r="F2232" s="132" t="s">
        <v>40</v>
      </c>
      <c r="G2232" s="156">
        <v>45482.920138888891</v>
      </c>
      <c r="H2232" s="156">
        <v>45482.947916666664</v>
      </c>
      <c r="I2232" s="168" t="s">
        <v>7881</v>
      </c>
      <c r="J2232" s="169" t="s">
        <v>72</v>
      </c>
    </row>
    <row r="2233" spans="1:11">
      <c r="A2233" s="154" t="s">
        <v>20</v>
      </c>
      <c r="B2233" s="155" t="s">
        <v>13995</v>
      </c>
      <c r="C2233" s="132" t="s">
        <v>21</v>
      </c>
      <c r="D2233" s="132" t="s">
        <v>2982</v>
      </c>
      <c r="E2233" s="132" t="s">
        <v>13991</v>
      </c>
      <c r="F2233" s="132" t="s">
        <v>40</v>
      </c>
      <c r="G2233" s="156">
        <v>45482.929861111108</v>
      </c>
      <c r="H2233" s="156">
        <v>45482.948611111111</v>
      </c>
      <c r="I2233" s="168" t="s">
        <v>52</v>
      </c>
      <c r="J2233" s="169" t="s">
        <v>72</v>
      </c>
    </row>
    <row r="2234" spans="1:11">
      <c r="A2234" s="154" t="s">
        <v>106</v>
      </c>
      <c r="B2234" s="155" t="s">
        <v>13996</v>
      </c>
      <c r="C2234" s="132" t="s">
        <v>108</v>
      </c>
      <c r="D2234" s="132" t="s">
        <v>13997</v>
      </c>
      <c r="E2234" s="132" t="s">
        <v>13998</v>
      </c>
      <c r="F2234" s="132" t="s">
        <v>40</v>
      </c>
      <c r="G2234" s="156">
        <v>45482.960416666669</v>
      </c>
      <c r="H2234" s="156">
        <v>45513.072222222225</v>
      </c>
      <c r="I2234" s="168" t="s">
        <v>2168</v>
      </c>
      <c r="J2234" s="169" t="s">
        <v>72</v>
      </c>
    </row>
    <row r="2235" spans="1:11">
      <c r="A2235" s="154" t="s">
        <v>20</v>
      </c>
      <c r="B2235" s="155" t="s">
        <v>13999</v>
      </c>
      <c r="C2235" s="132" t="s">
        <v>49</v>
      </c>
      <c r="D2235" s="132" t="s">
        <v>14000</v>
      </c>
      <c r="E2235" s="132" t="s">
        <v>14001</v>
      </c>
      <c r="F2235" s="132" t="s">
        <v>40</v>
      </c>
      <c r="G2235" s="156">
        <v>45513.113194444442</v>
      </c>
      <c r="H2235" s="156">
        <v>45513.154166666667</v>
      </c>
      <c r="I2235" s="168" t="s">
        <v>14002</v>
      </c>
      <c r="J2235" s="169" t="s">
        <v>72</v>
      </c>
    </row>
    <row r="2236" spans="1:11">
      <c r="A2236" s="154" t="s">
        <v>106</v>
      </c>
      <c r="B2236" s="155" t="s">
        <v>14003</v>
      </c>
      <c r="C2236" s="132" t="s">
        <v>333</v>
      </c>
      <c r="D2236" s="132" t="s">
        <v>14004</v>
      </c>
      <c r="E2236" s="194" t="s">
        <v>14005</v>
      </c>
      <c r="F2236" s="132" t="s">
        <v>40</v>
      </c>
      <c r="G2236" s="156">
        <v>45513.342361111114</v>
      </c>
      <c r="H2236" s="156">
        <v>45513.527083333334</v>
      </c>
      <c r="I2236" s="168" t="s">
        <v>14006</v>
      </c>
      <c r="J2236" s="169" t="s">
        <v>9367</v>
      </c>
    </row>
    <row r="2237" spans="1:11">
      <c r="A2237" s="154" t="s">
        <v>106</v>
      </c>
      <c r="B2237" s="155" t="s">
        <v>14007</v>
      </c>
      <c r="C2237" s="132" t="s">
        <v>333</v>
      </c>
      <c r="D2237" s="132" t="s">
        <v>14008</v>
      </c>
      <c r="E2237" s="132" t="s">
        <v>14009</v>
      </c>
      <c r="F2237" s="132" t="s">
        <v>40</v>
      </c>
      <c r="G2237" s="156">
        <v>45513.522222222222</v>
      </c>
      <c r="H2237" s="156">
        <v>45513.533333333333</v>
      </c>
      <c r="I2237" s="168" t="s">
        <v>32</v>
      </c>
      <c r="J2237" s="169" t="s">
        <v>9367</v>
      </c>
    </row>
    <row r="2238" spans="1:11">
      <c r="A2238" s="154" t="s">
        <v>20</v>
      </c>
      <c r="B2238" s="155" t="s">
        <v>14010</v>
      </c>
      <c r="C2238" s="132" t="s">
        <v>13</v>
      </c>
      <c r="D2238" s="132" t="s">
        <v>13093</v>
      </c>
      <c r="E2238" s="132" t="s">
        <v>14011</v>
      </c>
      <c r="F2238" s="132" t="s">
        <v>40</v>
      </c>
      <c r="G2238" s="156">
        <v>45513.327777777777</v>
      </c>
      <c r="H2238" s="156">
        <v>45513.771527777775</v>
      </c>
      <c r="I2238" s="168" t="s">
        <v>11612</v>
      </c>
      <c r="J2238" s="169" t="s">
        <v>9367</v>
      </c>
    </row>
    <row r="2239" spans="1:11">
      <c r="A2239" s="154" t="s">
        <v>95</v>
      </c>
      <c r="B2239" s="155" t="s">
        <v>14012</v>
      </c>
      <c r="C2239" s="132" t="s">
        <v>97</v>
      </c>
      <c r="D2239" s="132" t="s">
        <v>14013</v>
      </c>
      <c r="E2239" s="132" t="s">
        <v>14014</v>
      </c>
      <c r="F2239" s="132" t="s">
        <v>40</v>
      </c>
      <c r="G2239" s="156">
        <v>45513.59375</v>
      </c>
      <c r="H2239" s="156">
        <v>45513.743750000001</v>
      </c>
      <c r="I2239" s="168" t="s">
        <v>2814</v>
      </c>
      <c r="J2239" s="169" t="s">
        <v>9367</v>
      </c>
    </row>
    <row r="2240" spans="1:11" hidden="1">
      <c r="A2240" s="154" t="s">
        <v>106</v>
      </c>
      <c r="B2240" s="155" t="s">
        <v>14015</v>
      </c>
      <c r="C2240" s="132" t="s">
        <v>37</v>
      </c>
      <c r="D2240" s="132" t="s">
        <v>14016</v>
      </c>
      <c r="E2240" s="132" t="s">
        <v>14017</v>
      </c>
      <c r="F2240" s="132" t="s">
        <v>130</v>
      </c>
      <c r="G2240" s="156">
        <v>45513.365277777775</v>
      </c>
      <c r="H2240" s="156" t="s">
        <v>14018</v>
      </c>
      <c r="I2240" s="168" t="s">
        <v>13068</v>
      </c>
      <c r="J2240" s="169" t="s">
        <v>9367</v>
      </c>
      <c r="K2240" s="169" t="s">
        <v>514</v>
      </c>
    </row>
    <row r="2241" spans="1:11">
      <c r="A2241" s="154" t="s">
        <v>106</v>
      </c>
      <c r="B2241" s="155" t="s">
        <v>14019</v>
      </c>
      <c r="C2241" s="132" t="s">
        <v>108</v>
      </c>
      <c r="D2241" s="132" t="s">
        <v>14020</v>
      </c>
      <c r="E2241" s="132" t="s">
        <v>14021</v>
      </c>
      <c r="F2241" s="132" t="s">
        <v>40</v>
      </c>
      <c r="G2241" s="156">
        <v>45513.345833333333</v>
      </c>
      <c r="H2241" s="156">
        <v>45513.431944444441</v>
      </c>
      <c r="I2241" s="168" t="s">
        <v>14022</v>
      </c>
      <c r="J2241" s="169" t="s">
        <v>9367</v>
      </c>
    </row>
    <row r="2242" spans="1:11">
      <c r="A2242" s="154" t="s">
        <v>106</v>
      </c>
      <c r="B2242" s="155" t="s">
        <v>14023</v>
      </c>
      <c r="C2242" s="132" t="s">
        <v>108</v>
      </c>
      <c r="D2242" s="132" t="s">
        <v>14024</v>
      </c>
      <c r="E2242" s="132" t="s">
        <v>14025</v>
      </c>
      <c r="F2242" s="132" t="s">
        <v>40</v>
      </c>
      <c r="G2242" s="156">
        <v>45513.634722222225</v>
      </c>
      <c r="H2242" s="156">
        <v>45513.64166666667</v>
      </c>
      <c r="I2242" s="168" t="s">
        <v>1470</v>
      </c>
      <c r="J2242" s="169" t="s">
        <v>9367</v>
      </c>
    </row>
    <row r="2243" spans="1:11">
      <c r="A2243" s="154" t="s">
        <v>20</v>
      </c>
      <c r="B2243" s="155" t="s">
        <v>14026</v>
      </c>
      <c r="C2243" s="132" t="s">
        <v>13</v>
      </c>
      <c r="D2243" s="132" t="s">
        <v>13971</v>
      </c>
      <c r="E2243" s="132" t="s">
        <v>14027</v>
      </c>
      <c r="F2243" s="132" t="s">
        <v>40</v>
      </c>
      <c r="G2243" s="156">
        <v>45513.771527777775</v>
      </c>
      <c r="H2243" s="156">
        <v>45544.474305555559</v>
      </c>
      <c r="I2243" s="168" t="s">
        <v>11612</v>
      </c>
      <c r="J2243" s="169" t="s">
        <v>9367</v>
      </c>
    </row>
    <row r="2244" spans="1:11">
      <c r="A2244" s="154" t="s">
        <v>20</v>
      </c>
      <c r="B2244" s="155" t="s">
        <v>14028</v>
      </c>
      <c r="C2244" s="132" t="s">
        <v>49</v>
      </c>
      <c r="D2244" s="132" t="s">
        <v>14029</v>
      </c>
      <c r="E2244" s="132" t="s">
        <v>14030</v>
      </c>
      <c r="F2244" s="132" t="s">
        <v>40</v>
      </c>
      <c r="G2244" s="156">
        <v>45513.914583333331</v>
      </c>
      <c r="H2244" s="156">
        <v>45513.947222222225</v>
      </c>
      <c r="I2244" s="168" t="s">
        <v>7881</v>
      </c>
      <c r="J2244" s="169" t="s">
        <v>72</v>
      </c>
    </row>
    <row r="2245" spans="1:11">
      <c r="A2245" s="154" t="s">
        <v>106</v>
      </c>
      <c r="B2245" s="155" t="s">
        <v>14031</v>
      </c>
      <c r="C2245" s="132" t="s">
        <v>37</v>
      </c>
      <c r="D2245" s="132" t="s">
        <v>14032</v>
      </c>
      <c r="E2245" s="132" t="s">
        <v>14033</v>
      </c>
      <c r="F2245" s="132" t="s">
        <v>40</v>
      </c>
      <c r="G2245" s="156">
        <v>45513.919444444444</v>
      </c>
      <c r="H2245" s="156">
        <v>45544.158333333333</v>
      </c>
      <c r="I2245" s="168" t="s">
        <v>32</v>
      </c>
      <c r="J2245" s="169" t="s">
        <v>72</v>
      </c>
    </row>
    <row r="2246" spans="1:11">
      <c r="A2246" s="154" t="s">
        <v>106</v>
      </c>
      <c r="B2246" s="155" t="s">
        <v>14034</v>
      </c>
      <c r="C2246" s="132" t="s">
        <v>108</v>
      </c>
      <c r="D2246" s="137" t="s">
        <v>8467</v>
      </c>
      <c r="E2246" s="132" t="s">
        <v>11862</v>
      </c>
      <c r="F2246" s="132" t="s">
        <v>40</v>
      </c>
      <c r="G2246" s="156">
        <v>45513.93472222222</v>
      </c>
      <c r="H2246" s="156">
        <v>45513.956944444442</v>
      </c>
      <c r="I2246" s="168" t="s">
        <v>32</v>
      </c>
      <c r="J2246" s="169" t="s">
        <v>72</v>
      </c>
    </row>
    <row r="2247" spans="1:11">
      <c r="A2247" s="154" t="s">
        <v>95</v>
      </c>
      <c r="B2247" s="155" t="s">
        <v>14035</v>
      </c>
      <c r="C2247" s="132" t="s">
        <v>118</v>
      </c>
      <c r="D2247" s="132" t="s">
        <v>14036</v>
      </c>
      <c r="E2247" s="132" t="s">
        <v>14037</v>
      </c>
      <c r="F2247" s="132" t="s">
        <v>40</v>
      </c>
      <c r="G2247" s="156">
        <v>45544.009027777778</v>
      </c>
      <c r="H2247" s="156">
        <v>45544.072916666664</v>
      </c>
      <c r="I2247" s="168" t="s">
        <v>2119</v>
      </c>
      <c r="J2247" s="169" t="s">
        <v>72</v>
      </c>
    </row>
    <row r="2248" spans="1:11">
      <c r="A2248" s="154" t="s">
        <v>20</v>
      </c>
      <c r="B2248" s="155" t="s">
        <v>14038</v>
      </c>
      <c r="C2248" s="132" t="s">
        <v>21</v>
      </c>
      <c r="D2248" s="137" t="s">
        <v>14039</v>
      </c>
      <c r="E2248" s="132" t="s">
        <v>14040</v>
      </c>
      <c r="F2248" s="132" t="s">
        <v>40</v>
      </c>
      <c r="G2248" s="156">
        <v>45544.07708333333</v>
      </c>
      <c r="H2248" s="156">
        <v>45544.155555555553</v>
      </c>
      <c r="I2248" s="168" t="s">
        <v>52</v>
      </c>
      <c r="J2248" s="169" t="s">
        <v>72</v>
      </c>
    </row>
    <row r="2249" spans="1:11">
      <c r="A2249" s="154" t="s">
        <v>95</v>
      </c>
      <c r="B2249" s="155" t="s">
        <v>14041</v>
      </c>
      <c r="C2249" s="132" t="s">
        <v>6047</v>
      </c>
      <c r="D2249" s="132" t="s">
        <v>14042</v>
      </c>
      <c r="E2249" s="132" t="s">
        <v>14043</v>
      </c>
      <c r="F2249" s="132" t="s">
        <v>40</v>
      </c>
      <c r="G2249" s="156">
        <v>45544.090277777781</v>
      </c>
      <c r="H2249" s="156">
        <v>45544.115277777775</v>
      </c>
      <c r="I2249" s="168" t="s">
        <v>11866</v>
      </c>
      <c r="J2249" s="169" t="s">
        <v>72</v>
      </c>
    </row>
    <row r="2250" spans="1:11">
      <c r="A2250" s="154" t="s">
        <v>106</v>
      </c>
      <c r="B2250" s="155" t="s">
        <v>14044</v>
      </c>
      <c r="C2250" s="132" t="s">
        <v>333</v>
      </c>
      <c r="D2250" s="132" t="s">
        <v>14045</v>
      </c>
      <c r="E2250" s="132" t="s">
        <v>14046</v>
      </c>
      <c r="F2250" s="132" t="s">
        <v>40</v>
      </c>
      <c r="G2250" s="156">
        <v>45544.114583333336</v>
      </c>
      <c r="H2250" s="156">
        <v>45544.188888888886</v>
      </c>
      <c r="I2250" s="168" t="s">
        <v>14047</v>
      </c>
      <c r="J2250" s="169" t="s">
        <v>72</v>
      </c>
    </row>
    <row r="2251" spans="1:11">
      <c r="A2251" s="154" t="s">
        <v>106</v>
      </c>
      <c r="B2251" s="155" t="s">
        <v>14048</v>
      </c>
      <c r="C2251" s="132" t="s">
        <v>78</v>
      </c>
      <c r="D2251" s="132" t="s">
        <v>14049</v>
      </c>
      <c r="E2251" s="132" t="s">
        <v>14050</v>
      </c>
      <c r="F2251" s="132" t="s">
        <v>40</v>
      </c>
      <c r="G2251" s="156">
        <v>45544.372916666667</v>
      </c>
      <c r="H2251" s="156">
        <v>45605.512499999997</v>
      </c>
      <c r="I2251" s="168" t="s">
        <v>258</v>
      </c>
      <c r="J2251" s="169" t="s">
        <v>9367</v>
      </c>
      <c r="K2251" s="169" t="s">
        <v>514</v>
      </c>
    </row>
    <row r="2252" spans="1:11">
      <c r="A2252" s="154" t="s">
        <v>95</v>
      </c>
      <c r="B2252" s="155" t="s">
        <v>14051</v>
      </c>
      <c r="C2252" s="132" t="s">
        <v>97</v>
      </c>
      <c r="D2252" s="132" t="s">
        <v>14052</v>
      </c>
      <c r="E2252" s="132" t="s">
        <v>14053</v>
      </c>
      <c r="F2252" s="132" t="s">
        <v>40</v>
      </c>
      <c r="G2252" s="156">
        <v>45544.581250000003</v>
      </c>
      <c r="H2252" s="156">
        <v>45544.616666666669</v>
      </c>
      <c r="I2252" s="168" t="s">
        <v>991</v>
      </c>
      <c r="J2252" s="169" t="s">
        <v>9367</v>
      </c>
    </row>
    <row r="2253" spans="1:11" hidden="1">
      <c r="A2253" s="154" t="s">
        <v>20</v>
      </c>
      <c r="B2253" s="155" t="s">
        <v>14054</v>
      </c>
      <c r="C2253" s="132" t="s">
        <v>13</v>
      </c>
      <c r="D2253" s="132" t="s">
        <v>14055</v>
      </c>
      <c r="F2253" s="132" t="s">
        <v>214</v>
      </c>
      <c r="G2253" s="156">
        <v>45544.669444444444</v>
      </c>
      <c r="I2253" s="168" t="s">
        <v>17</v>
      </c>
      <c r="J2253" s="169" t="s">
        <v>9367</v>
      </c>
      <c r="K2253" s="169" t="s">
        <v>132</v>
      </c>
    </row>
    <row r="2254" spans="1:11">
      <c r="A2254" s="154" t="s">
        <v>106</v>
      </c>
      <c r="B2254" s="155" t="s">
        <v>14056</v>
      </c>
      <c r="C2254" s="132" t="s">
        <v>108</v>
      </c>
      <c r="D2254" s="132" t="s">
        <v>10846</v>
      </c>
      <c r="E2254" s="132" t="s">
        <v>14057</v>
      </c>
      <c r="F2254" s="132" t="s">
        <v>40</v>
      </c>
      <c r="G2254" s="156">
        <v>45544.655555555553</v>
      </c>
      <c r="H2254" s="156">
        <v>45544.665277777778</v>
      </c>
      <c r="I2254" s="168" t="s">
        <v>1470</v>
      </c>
      <c r="J2254" s="169" t="s">
        <v>9367</v>
      </c>
    </row>
    <row r="2255" spans="1:11">
      <c r="A2255" s="154" t="s">
        <v>20</v>
      </c>
      <c r="B2255" s="155" t="s">
        <v>14058</v>
      </c>
      <c r="C2255" s="132" t="s">
        <v>13</v>
      </c>
      <c r="D2255" s="132" t="s">
        <v>14059</v>
      </c>
      <c r="E2255" s="132" t="s">
        <v>14060</v>
      </c>
      <c r="F2255" s="132" t="s">
        <v>40</v>
      </c>
      <c r="G2255" s="156">
        <v>45544.70208333333</v>
      </c>
      <c r="H2255" s="156">
        <v>45574.768055555556</v>
      </c>
      <c r="I2255" s="168" t="s">
        <v>149</v>
      </c>
      <c r="J2255" s="169" t="s">
        <v>9367</v>
      </c>
    </row>
    <row r="2256" spans="1:11">
      <c r="A2256" s="154" t="s">
        <v>20</v>
      </c>
      <c r="B2256" s="155" t="s">
        <v>14061</v>
      </c>
      <c r="C2256" s="132" t="s">
        <v>13</v>
      </c>
      <c r="D2256" s="132" t="s">
        <v>14062</v>
      </c>
      <c r="E2256" s="132" t="s">
        <v>14063</v>
      </c>
      <c r="F2256" s="132" t="s">
        <v>40</v>
      </c>
      <c r="G2256" s="156">
        <v>45544.70208333333</v>
      </c>
      <c r="H2256" s="156" t="s">
        <v>14064</v>
      </c>
      <c r="I2256" s="168" t="s">
        <v>149</v>
      </c>
      <c r="J2256" s="169" t="s">
        <v>9367</v>
      </c>
      <c r="K2256" s="169" t="s">
        <v>514</v>
      </c>
    </row>
    <row r="2257" spans="1:11">
      <c r="A2257" s="154" t="s">
        <v>106</v>
      </c>
      <c r="B2257" s="155" t="s">
        <v>14065</v>
      </c>
      <c r="C2257" s="132" t="s">
        <v>108</v>
      </c>
      <c r="D2257" s="132" t="s">
        <v>14066</v>
      </c>
      <c r="E2257" s="132" t="s">
        <v>14067</v>
      </c>
      <c r="F2257" s="132" t="s">
        <v>40</v>
      </c>
      <c r="G2257" s="156">
        <v>45544.788888888892</v>
      </c>
      <c r="H2257" s="156">
        <v>45574.555555555555</v>
      </c>
      <c r="I2257" s="168" t="s">
        <v>14068</v>
      </c>
      <c r="J2257" s="169" t="s">
        <v>9367</v>
      </c>
    </row>
    <row r="2258" spans="1:11">
      <c r="A2258" s="154" t="s">
        <v>95</v>
      </c>
      <c r="B2258" s="155" t="s">
        <v>14069</v>
      </c>
      <c r="C2258" s="132" t="s">
        <v>97</v>
      </c>
      <c r="D2258" s="132" t="s">
        <v>14070</v>
      </c>
      <c r="E2258" s="132" t="s">
        <v>14071</v>
      </c>
      <c r="F2258" s="132" t="s">
        <v>40</v>
      </c>
      <c r="G2258" s="156">
        <v>45544.838888888888</v>
      </c>
      <c r="H2258" s="156">
        <v>45544.851388888892</v>
      </c>
      <c r="I2258" s="168" t="s">
        <v>9275</v>
      </c>
      <c r="J2258" s="169" t="s">
        <v>72</v>
      </c>
    </row>
    <row r="2259" spans="1:11">
      <c r="A2259" s="154" t="s">
        <v>95</v>
      </c>
      <c r="B2259" s="155" t="s">
        <v>14072</v>
      </c>
      <c r="C2259" s="132" t="s">
        <v>6047</v>
      </c>
      <c r="D2259" s="132" t="s">
        <v>14073</v>
      </c>
      <c r="E2259" s="132" t="s">
        <v>3754</v>
      </c>
      <c r="F2259" s="132" t="s">
        <v>40</v>
      </c>
      <c r="G2259" s="156">
        <v>45544.872916666667</v>
      </c>
      <c r="H2259" s="156">
        <v>45544.890972222223</v>
      </c>
      <c r="I2259" s="168" t="s">
        <v>13059</v>
      </c>
      <c r="J2259" s="169" t="s">
        <v>72</v>
      </c>
    </row>
    <row r="2260" spans="1:11">
      <c r="A2260" s="154" t="s">
        <v>106</v>
      </c>
      <c r="B2260" s="155" t="s">
        <v>14074</v>
      </c>
      <c r="C2260" s="132" t="s">
        <v>108</v>
      </c>
      <c r="D2260" s="132" t="s">
        <v>14075</v>
      </c>
      <c r="F2260" s="132" t="s">
        <v>40</v>
      </c>
      <c r="G2260" s="156">
        <v>45544.9</v>
      </c>
      <c r="H2260" s="156">
        <v>45544.910416666666</v>
      </c>
      <c r="I2260" s="168" t="s">
        <v>4105</v>
      </c>
      <c r="J2260" s="169" t="s">
        <v>72</v>
      </c>
    </row>
    <row r="2261" spans="1:11">
      <c r="A2261" s="154" t="s">
        <v>106</v>
      </c>
      <c r="B2261" s="155" t="s">
        <v>14076</v>
      </c>
      <c r="C2261" s="132" t="s">
        <v>108</v>
      </c>
      <c r="D2261" s="132" t="s">
        <v>14077</v>
      </c>
      <c r="E2261" s="132" t="s">
        <v>14078</v>
      </c>
      <c r="F2261" s="132" t="s">
        <v>40</v>
      </c>
      <c r="G2261" s="156">
        <v>45544.913194444445</v>
      </c>
      <c r="H2261" s="156">
        <v>45544.931944444441</v>
      </c>
      <c r="I2261" s="168" t="s">
        <v>3320</v>
      </c>
      <c r="J2261" s="169" t="s">
        <v>72</v>
      </c>
    </row>
    <row r="2262" spans="1:11">
      <c r="A2262" s="154" t="s">
        <v>20</v>
      </c>
      <c r="B2262" s="155" t="s">
        <v>14079</v>
      </c>
      <c r="C2262" s="132" t="s">
        <v>21</v>
      </c>
      <c r="D2262" s="132" t="s">
        <v>14080</v>
      </c>
      <c r="E2262" s="132" t="s">
        <v>14081</v>
      </c>
      <c r="F2262" s="132" t="s">
        <v>40</v>
      </c>
      <c r="G2262" s="156">
        <v>45544.979861111111</v>
      </c>
      <c r="H2262" s="156">
        <v>45544.996527777781</v>
      </c>
      <c r="I2262" s="168" t="s">
        <v>52</v>
      </c>
      <c r="J2262" s="169" t="s">
        <v>72</v>
      </c>
    </row>
    <row r="2263" spans="1:11">
      <c r="A2263" s="154" t="s">
        <v>106</v>
      </c>
      <c r="B2263" s="155" t="s">
        <v>14082</v>
      </c>
      <c r="C2263" s="132" t="s">
        <v>37</v>
      </c>
      <c r="D2263" s="132" t="s">
        <v>14032</v>
      </c>
      <c r="E2263" s="132" t="s">
        <v>14083</v>
      </c>
      <c r="F2263" s="132" t="s">
        <v>40</v>
      </c>
      <c r="G2263" s="156">
        <v>45574.01666666667</v>
      </c>
      <c r="H2263" s="156">
        <v>45574.156944444447</v>
      </c>
      <c r="I2263" s="168" t="s">
        <v>32</v>
      </c>
      <c r="J2263" s="169" t="s">
        <v>72</v>
      </c>
    </row>
    <row r="2264" spans="1:11">
      <c r="A2264" s="154" t="s">
        <v>20</v>
      </c>
      <c r="B2264" s="155" t="s">
        <v>14084</v>
      </c>
      <c r="C2264" s="132" t="s">
        <v>21</v>
      </c>
      <c r="D2264" s="132" t="s">
        <v>14085</v>
      </c>
      <c r="E2264" s="132" t="s">
        <v>14086</v>
      </c>
      <c r="F2264" s="132" t="s">
        <v>40</v>
      </c>
      <c r="G2264" s="156">
        <v>45574.213194444441</v>
      </c>
      <c r="H2264" s="156">
        <v>45574.234027777777</v>
      </c>
      <c r="I2264" s="168" t="s">
        <v>52</v>
      </c>
      <c r="J2264" s="169" t="s">
        <v>72</v>
      </c>
    </row>
    <row r="2265" spans="1:11">
      <c r="A2265" s="154" t="s">
        <v>106</v>
      </c>
      <c r="B2265" s="155" t="s">
        <v>14087</v>
      </c>
      <c r="C2265" s="132" t="s">
        <v>108</v>
      </c>
      <c r="D2265" s="132" t="s">
        <v>14088</v>
      </c>
      <c r="E2265" s="194" t="s">
        <v>14089</v>
      </c>
      <c r="F2265" s="132" t="s">
        <v>40</v>
      </c>
      <c r="G2265" s="156">
        <v>45574.411805555559</v>
      </c>
      <c r="H2265" s="156">
        <v>45574.597222222219</v>
      </c>
      <c r="I2265" s="168" t="s">
        <v>1470</v>
      </c>
      <c r="J2265" s="169" t="s">
        <v>9367</v>
      </c>
    </row>
    <row r="2266" spans="1:11">
      <c r="A2266" s="154" t="s">
        <v>106</v>
      </c>
      <c r="B2266" s="159" t="s">
        <v>14090</v>
      </c>
      <c r="C2266" s="132" t="s">
        <v>108</v>
      </c>
      <c r="D2266" s="132" t="s">
        <v>14091</v>
      </c>
      <c r="E2266" s="132" t="s">
        <v>14067</v>
      </c>
      <c r="F2266" s="132" t="s">
        <v>40</v>
      </c>
      <c r="G2266" s="156">
        <v>45574.589583333334</v>
      </c>
      <c r="H2266" s="156">
        <v>45574.595833333333</v>
      </c>
      <c r="I2266" s="168" t="s">
        <v>14068</v>
      </c>
      <c r="J2266" s="169" t="s">
        <v>9367</v>
      </c>
    </row>
    <row r="2267" spans="1:11">
      <c r="A2267" s="154" t="s">
        <v>20</v>
      </c>
      <c r="B2267" s="155" t="s">
        <v>14092</v>
      </c>
      <c r="C2267" s="132" t="s">
        <v>13</v>
      </c>
      <c r="D2267" s="132" t="s">
        <v>14093</v>
      </c>
      <c r="E2267" s="132" t="s">
        <v>14094</v>
      </c>
      <c r="F2267" s="132" t="s">
        <v>40</v>
      </c>
      <c r="G2267" s="156">
        <v>45574.331944444442</v>
      </c>
      <c r="H2267" s="156">
        <v>45605.535416666666</v>
      </c>
      <c r="I2267" s="168" t="s">
        <v>17</v>
      </c>
      <c r="J2267" s="169" t="s">
        <v>9367</v>
      </c>
      <c r="K2267" s="169" t="s">
        <v>514</v>
      </c>
    </row>
    <row r="2268" spans="1:11">
      <c r="A2268" s="154" t="s">
        <v>20</v>
      </c>
      <c r="B2268" s="155" t="s">
        <v>14095</v>
      </c>
      <c r="C2268" s="132" t="s">
        <v>13</v>
      </c>
      <c r="D2268" s="132" t="s">
        <v>14096</v>
      </c>
      <c r="E2268" s="132" t="s">
        <v>14097</v>
      </c>
      <c r="F2268" s="132" t="s">
        <v>40</v>
      </c>
      <c r="G2268" s="156">
        <v>45574.768055555556</v>
      </c>
      <c r="H2268" s="156">
        <v>45574.816666666666</v>
      </c>
      <c r="I2268" s="168" t="s">
        <v>17</v>
      </c>
      <c r="J2268" s="169" t="s">
        <v>9367</v>
      </c>
    </row>
    <row r="2269" spans="1:11">
      <c r="A2269" s="154" t="s">
        <v>106</v>
      </c>
      <c r="B2269" s="155" t="s">
        <v>14098</v>
      </c>
      <c r="C2269" s="132" t="s">
        <v>108</v>
      </c>
      <c r="D2269" s="132" t="s">
        <v>14099</v>
      </c>
      <c r="E2269" s="132" t="s">
        <v>14100</v>
      </c>
      <c r="F2269" s="132" t="s">
        <v>40</v>
      </c>
      <c r="G2269" s="156">
        <v>45574.595833333333</v>
      </c>
      <c r="H2269" s="156">
        <v>45574.661805555559</v>
      </c>
      <c r="I2269" s="168" t="s">
        <v>14068</v>
      </c>
      <c r="J2269" s="169" t="s">
        <v>9367</v>
      </c>
    </row>
    <row r="2270" spans="1:11" hidden="1">
      <c r="A2270" s="154" t="s">
        <v>106</v>
      </c>
      <c r="B2270" s="155" t="s">
        <v>14101</v>
      </c>
      <c r="C2270" s="132" t="s">
        <v>37</v>
      </c>
      <c r="D2270" s="132" t="s">
        <v>14102</v>
      </c>
      <c r="E2270" s="132" t="s">
        <v>14017</v>
      </c>
      <c r="F2270" s="132" t="s">
        <v>130</v>
      </c>
      <c r="G2270" s="156">
        <v>45574.588194444441</v>
      </c>
      <c r="H2270" s="156" t="s">
        <v>14103</v>
      </c>
      <c r="I2270" s="168" t="s">
        <v>13068</v>
      </c>
      <c r="J2270" s="169" t="s">
        <v>9367</v>
      </c>
      <c r="K2270" s="169" t="s">
        <v>514</v>
      </c>
    </row>
    <row r="2271" spans="1:11">
      <c r="A2271" s="154" t="s">
        <v>20</v>
      </c>
      <c r="B2271" s="155" t="s">
        <v>14104</v>
      </c>
      <c r="C2271" s="132" t="s">
        <v>21</v>
      </c>
      <c r="D2271" s="132" t="s">
        <v>14085</v>
      </c>
      <c r="E2271" s="132" t="s">
        <v>14105</v>
      </c>
      <c r="F2271" s="132" t="s">
        <v>40</v>
      </c>
      <c r="G2271" s="156">
        <v>45574.876388888886</v>
      </c>
      <c r="H2271" s="156">
        <v>45574.906944444447</v>
      </c>
      <c r="I2271" s="168" t="s">
        <v>52</v>
      </c>
      <c r="J2271" s="169" t="s">
        <v>72</v>
      </c>
    </row>
    <row r="2272" spans="1:11">
      <c r="A2272" s="154" t="s">
        <v>95</v>
      </c>
      <c r="B2272" s="155" t="s">
        <v>14106</v>
      </c>
      <c r="C2272" s="132" t="s">
        <v>118</v>
      </c>
      <c r="D2272" s="132" t="s">
        <v>14107</v>
      </c>
      <c r="E2272" s="132" t="s">
        <v>14108</v>
      </c>
      <c r="F2272" s="132" t="s">
        <v>40</v>
      </c>
      <c r="G2272" s="156">
        <v>45574.988888888889</v>
      </c>
      <c r="H2272" s="156">
        <v>45605.05</v>
      </c>
      <c r="I2272" s="168" t="s">
        <v>1102</v>
      </c>
      <c r="J2272" s="169" t="s">
        <v>72</v>
      </c>
    </row>
    <row r="2273" spans="1:10">
      <c r="A2273" s="154" t="s">
        <v>20</v>
      </c>
      <c r="B2273" s="155" t="s">
        <v>14109</v>
      </c>
      <c r="C2273" s="132" t="s">
        <v>21</v>
      </c>
      <c r="D2273" s="132" t="s">
        <v>14110</v>
      </c>
      <c r="E2273" s="132" t="s">
        <v>14111</v>
      </c>
      <c r="F2273" s="132" t="s">
        <v>40</v>
      </c>
      <c r="G2273" s="156">
        <v>45574.997916666667</v>
      </c>
      <c r="H2273" s="156">
        <v>45605.023611111108</v>
      </c>
      <c r="I2273" s="168" t="s">
        <v>52</v>
      </c>
      <c r="J2273" s="169" t="s">
        <v>72</v>
      </c>
    </row>
    <row r="2274" spans="1:10">
      <c r="A2274" s="154" t="s">
        <v>20</v>
      </c>
      <c r="B2274" s="155" t="s">
        <v>14112</v>
      </c>
      <c r="C2274" s="132" t="s">
        <v>21</v>
      </c>
      <c r="D2274" s="132" t="s">
        <v>14110</v>
      </c>
      <c r="E2274" s="132" t="s">
        <v>14113</v>
      </c>
      <c r="F2274" s="132" t="s">
        <v>40</v>
      </c>
      <c r="G2274" s="156">
        <v>45605.003472222219</v>
      </c>
      <c r="H2274" s="156">
        <v>45605.1</v>
      </c>
      <c r="I2274" s="168" t="s">
        <v>52</v>
      </c>
      <c r="J2274" s="169" t="s">
        <v>72</v>
      </c>
    </row>
    <row r="2275" spans="1:10">
      <c r="A2275" s="154" t="s">
        <v>20</v>
      </c>
      <c r="B2275" s="155" t="s">
        <v>14114</v>
      </c>
      <c r="C2275" s="132" t="s">
        <v>13</v>
      </c>
      <c r="D2275" s="132" t="s">
        <v>14115</v>
      </c>
      <c r="E2275" s="132" t="s">
        <v>14116</v>
      </c>
      <c r="F2275" s="132" t="s">
        <v>40</v>
      </c>
      <c r="G2275" s="156">
        <v>45605.116666666669</v>
      </c>
      <c r="H2275" s="156">
        <v>45605.133333333331</v>
      </c>
      <c r="I2275" s="168" t="s">
        <v>14117</v>
      </c>
      <c r="J2275" s="169" t="s">
        <v>72</v>
      </c>
    </row>
    <row r="2276" spans="1:10">
      <c r="A2276" s="154" t="s">
        <v>20</v>
      </c>
      <c r="B2276" s="155" t="s">
        <v>14118</v>
      </c>
      <c r="C2276" s="132" t="s">
        <v>21</v>
      </c>
      <c r="D2276" s="132" t="s">
        <v>14119</v>
      </c>
      <c r="E2276" s="132" t="s">
        <v>14120</v>
      </c>
      <c r="F2276" s="132" t="s">
        <v>40</v>
      </c>
      <c r="G2276" s="156">
        <v>45605.184027777781</v>
      </c>
      <c r="H2276" s="156">
        <v>45605.206944444442</v>
      </c>
      <c r="I2276" s="168" t="s">
        <v>52</v>
      </c>
      <c r="J2276" s="169" t="s">
        <v>72</v>
      </c>
    </row>
    <row r="2277" spans="1:10">
      <c r="A2277" s="154" t="s">
        <v>20</v>
      </c>
      <c r="B2277" s="155" t="s">
        <v>14121</v>
      </c>
      <c r="C2277" s="132" t="s">
        <v>21</v>
      </c>
      <c r="D2277" s="132" t="s">
        <v>14122</v>
      </c>
      <c r="E2277" s="132" t="s">
        <v>14123</v>
      </c>
      <c r="F2277" s="132" t="s">
        <v>40</v>
      </c>
      <c r="G2277" s="156">
        <v>45605.231944444444</v>
      </c>
      <c r="H2277" s="156">
        <v>45605.24722222222</v>
      </c>
      <c r="I2277" s="168" t="s">
        <v>52</v>
      </c>
      <c r="J2277" s="169" t="s">
        <v>72</v>
      </c>
    </row>
    <row r="2278" spans="1:10">
      <c r="A2278" s="154" t="s">
        <v>106</v>
      </c>
      <c r="B2278" s="155" t="s">
        <v>14124</v>
      </c>
      <c r="C2278" s="132" t="s">
        <v>108</v>
      </c>
      <c r="D2278" s="132" t="s">
        <v>10540</v>
      </c>
      <c r="E2278" s="132" t="s">
        <v>14125</v>
      </c>
      <c r="F2278" s="132" t="s">
        <v>40</v>
      </c>
      <c r="G2278" s="156">
        <v>45605.64166666667</v>
      </c>
      <c r="H2278" s="156">
        <v>45605.75</v>
      </c>
      <c r="I2278" s="168" t="s">
        <v>6006</v>
      </c>
      <c r="J2278" s="169" t="s">
        <v>514</v>
      </c>
    </row>
    <row r="2279" spans="1:10">
      <c r="A2279" s="154" t="s">
        <v>106</v>
      </c>
      <c r="B2279" s="155" t="s">
        <v>14126</v>
      </c>
      <c r="C2279" s="132" t="s">
        <v>37</v>
      </c>
      <c r="D2279" s="132" t="s">
        <v>14127</v>
      </c>
      <c r="E2279" s="132" t="s">
        <v>14128</v>
      </c>
      <c r="F2279" s="132" t="s">
        <v>40</v>
      </c>
      <c r="G2279" s="156">
        <v>45605.611805555556</v>
      </c>
      <c r="H2279" s="156" t="s">
        <v>14129</v>
      </c>
      <c r="I2279" s="168" t="s">
        <v>13068</v>
      </c>
      <c r="J2279" s="169" t="s">
        <v>514</v>
      </c>
    </row>
    <row r="2280" spans="1:10">
      <c r="A2280" s="154" t="s">
        <v>95</v>
      </c>
      <c r="B2280" s="155" t="s">
        <v>14130</v>
      </c>
      <c r="C2280" s="132" t="s">
        <v>6047</v>
      </c>
      <c r="D2280" s="132" t="s">
        <v>14131</v>
      </c>
      <c r="E2280" s="132" t="s">
        <v>14132</v>
      </c>
      <c r="F2280" s="132" t="s">
        <v>40</v>
      </c>
      <c r="G2280" s="156">
        <v>45605.698611111111</v>
      </c>
      <c r="H2280" s="156">
        <v>45605.751388888886</v>
      </c>
      <c r="I2280" s="168" t="s">
        <v>378</v>
      </c>
      <c r="J2280" s="169" t="s">
        <v>514</v>
      </c>
    </row>
    <row r="2281" spans="1:10">
      <c r="A2281" s="154" t="s">
        <v>20</v>
      </c>
      <c r="B2281" s="155" t="s">
        <v>14133</v>
      </c>
      <c r="C2281" s="132" t="s">
        <v>13</v>
      </c>
      <c r="D2281" s="132" t="s">
        <v>14134</v>
      </c>
      <c r="E2281" s="132" t="s">
        <v>14135</v>
      </c>
      <c r="F2281" s="132" t="s">
        <v>40</v>
      </c>
      <c r="G2281" s="156">
        <v>45605.711111111108</v>
      </c>
      <c r="H2281" s="156">
        <v>45605.739583333336</v>
      </c>
      <c r="I2281" s="168" t="s">
        <v>3014</v>
      </c>
      <c r="J2281" s="169" t="s">
        <v>88</v>
      </c>
    </row>
    <row r="2282" spans="1:10">
      <c r="A2282" s="154" t="s">
        <v>95</v>
      </c>
      <c r="B2282" s="155" t="s">
        <v>14136</v>
      </c>
      <c r="C2282" s="132" t="s">
        <v>118</v>
      </c>
      <c r="D2282" s="132" t="s">
        <v>14137</v>
      </c>
      <c r="E2282" s="132" t="s">
        <v>14138</v>
      </c>
      <c r="F2282" s="132" t="s">
        <v>40</v>
      </c>
      <c r="G2282" s="156">
        <v>45605.740277777775</v>
      </c>
      <c r="H2282" s="156">
        <v>45605.757638888892</v>
      </c>
      <c r="I2282" s="168" t="s">
        <v>3956</v>
      </c>
      <c r="J2282" s="169" t="s">
        <v>88</v>
      </c>
    </row>
    <row r="2283" spans="1:10">
      <c r="A2283" s="154" t="s">
        <v>20</v>
      </c>
      <c r="B2283" s="155" t="s">
        <v>14139</v>
      </c>
      <c r="C2283" s="132" t="s">
        <v>21</v>
      </c>
      <c r="D2283" s="132" t="s">
        <v>14140</v>
      </c>
      <c r="E2283" s="132" t="s">
        <v>14141</v>
      </c>
      <c r="F2283" s="132" t="s">
        <v>40</v>
      </c>
      <c r="G2283" s="156">
        <v>45605.758333333331</v>
      </c>
      <c r="H2283" s="156">
        <v>45605.813194444447</v>
      </c>
      <c r="I2283" s="168" t="s">
        <v>1628</v>
      </c>
      <c r="J2283" s="169" t="s">
        <v>88</v>
      </c>
    </row>
    <row r="2284" spans="1:10">
      <c r="A2284" s="154" t="s">
        <v>20</v>
      </c>
      <c r="B2284" s="155" t="s">
        <v>14142</v>
      </c>
      <c r="C2284" s="132" t="s">
        <v>21</v>
      </c>
      <c r="D2284" s="132" t="s">
        <v>14143</v>
      </c>
      <c r="E2284" s="132" t="s">
        <v>14144</v>
      </c>
      <c r="F2284" s="132" t="s">
        <v>40</v>
      </c>
      <c r="G2284" s="156">
        <v>45605.938888888886</v>
      </c>
      <c r="H2284" s="156">
        <v>45605.993750000001</v>
      </c>
      <c r="I2284" s="168" t="s">
        <v>1628</v>
      </c>
      <c r="J2284" s="169" t="s">
        <v>88</v>
      </c>
    </row>
    <row r="2285" spans="1:10">
      <c r="A2285" s="154" t="s">
        <v>20</v>
      </c>
      <c r="B2285" s="155" t="s">
        <v>14145</v>
      </c>
      <c r="C2285" s="132" t="s">
        <v>21</v>
      </c>
      <c r="D2285" s="132" t="s">
        <v>14146</v>
      </c>
      <c r="E2285" s="132" t="s">
        <v>14147</v>
      </c>
      <c r="F2285" s="132" t="s">
        <v>40</v>
      </c>
      <c r="G2285" s="156">
        <v>45635.018750000003</v>
      </c>
      <c r="H2285" s="156">
        <v>45635.09097222222</v>
      </c>
      <c r="I2285" s="168" t="s">
        <v>1628</v>
      </c>
      <c r="J2285" s="169" t="s">
        <v>88</v>
      </c>
    </row>
    <row r="2286" spans="1:10">
      <c r="A2286" s="154" t="s">
        <v>20</v>
      </c>
      <c r="B2286" s="155" t="s">
        <v>14148</v>
      </c>
      <c r="C2286" s="132" t="s">
        <v>21</v>
      </c>
      <c r="D2286" s="132" t="s">
        <v>14149</v>
      </c>
      <c r="E2286" s="132" t="s">
        <v>14150</v>
      </c>
      <c r="F2286" s="132" t="s">
        <v>40</v>
      </c>
      <c r="G2286" s="156">
        <v>45635.018750000003</v>
      </c>
      <c r="H2286" s="156">
        <v>45635.09097222222</v>
      </c>
      <c r="I2286" s="168" t="s">
        <v>1628</v>
      </c>
      <c r="J2286" s="169" t="s">
        <v>88</v>
      </c>
    </row>
    <row r="2287" spans="1:10">
      <c r="A2287" s="154" t="s">
        <v>20</v>
      </c>
      <c r="B2287" s="155" t="s">
        <v>14151</v>
      </c>
      <c r="C2287" s="132" t="s">
        <v>21</v>
      </c>
      <c r="D2287" s="132" t="s">
        <v>14152</v>
      </c>
      <c r="E2287" s="132" t="s">
        <v>14153</v>
      </c>
      <c r="F2287" s="132" t="s">
        <v>40</v>
      </c>
      <c r="G2287" s="156">
        <v>45635.092361111114</v>
      </c>
      <c r="H2287" s="156">
        <v>45635.144444444442</v>
      </c>
      <c r="I2287" s="168" t="s">
        <v>1628</v>
      </c>
      <c r="J2287" s="169" t="s">
        <v>88</v>
      </c>
    </row>
    <row r="2288" spans="1:10">
      <c r="A2288" s="154" t="s">
        <v>95</v>
      </c>
      <c r="B2288" s="155" t="s">
        <v>14154</v>
      </c>
      <c r="C2288" s="132" t="s">
        <v>6047</v>
      </c>
      <c r="D2288" s="132" t="s">
        <v>14155</v>
      </c>
      <c r="E2288" s="132" t="s">
        <v>14156</v>
      </c>
      <c r="F2288" s="132" t="s">
        <v>40</v>
      </c>
      <c r="G2288" s="156">
        <v>45635.148611111108</v>
      </c>
      <c r="H2288" s="156">
        <v>45635.154166666667</v>
      </c>
      <c r="I2288" s="168" t="s">
        <v>7455</v>
      </c>
      <c r="J2288" s="169" t="s">
        <v>88</v>
      </c>
    </row>
    <row r="2289" spans="1:10">
      <c r="A2289" s="154" t="s">
        <v>95</v>
      </c>
      <c r="B2289" s="155" t="s">
        <v>14157</v>
      </c>
      <c r="C2289" s="132" t="s">
        <v>6047</v>
      </c>
      <c r="D2289" s="132" t="s">
        <v>14158</v>
      </c>
      <c r="E2289" s="132" t="s">
        <v>14159</v>
      </c>
      <c r="F2289" s="132" t="s">
        <v>40</v>
      </c>
      <c r="G2289" s="156">
        <v>45635.149305555555</v>
      </c>
      <c r="H2289" s="156">
        <v>45635.154861111114</v>
      </c>
      <c r="I2289" s="168" t="s">
        <v>7455</v>
      </c>
      <c r="J2289" s="169" t="s">
        <v>88</v>
      </c>
    </row>
    <row r="2290" spans="1:10">
      <c r="A2290" s="154" t="s">
        <v>106</v>
      </c>
      <c r="B2290" s="155" t="s">
        <v>14160</v>
      </c>
      <c r="C2290" s="132" t="s">
        <v>108</v>
      </c>
      <c r="D2290" s="132" t="s">
        <v>11784</v>
      </c>
      <c r="E2290" s="132" t="s">
        <v>14161</v>
      </c>
      <c r="F2290" s="132" t="s">
        <v>40</v>
      </c>
      <c r="G2290" s="156">
        <v>45635.15347222222</v>
      </c>
      <c r="H2290" s="156">
        <v>45635.157638888886</v>
      </c>
      <c r="I2290" s="168" t="s">
        <v>3825</v>
      </c>
      <c r="J2290" s="169" t="s">
        <v>88</v>
      </c>
    </row>
    <row r="2291" spans="1:10">
      <c r="A2291" s="154" t="s">
        <v>20</v>
      </c>
      <c r="B2291" s="155" t="s">
        <v>14162</v>
      </c>
      <c r="C2291" s="132" t="s">
        <v>13</v>
      </c>
      <c r="D2291" s="132" t="s">
        <v>14163</v>
      </c>
      <c r="E2291" s="132" t="s">
        <v>14164</v>
      </c>
      <c r="F2291" s="132" t="s">
        <v>40</v>
      </c>
      <c r="G2291" s="156">
        <v>45635.357638888891</v>
      </c>
      <c r="H2291" s="156">
        <v>45635.43472222222</v>
      </c>
      <c r="I2291" s="168" t="s">
        <v>17</v>
      </c>
      <c r="J2291" s="169" t="s">
        <v>514</v>
      </c>
    </row>
    <row r="2292" spans="1:10">
      <c r="A2292" s="154" t="s">
        <v>95</v>
      </c>
      <c r="B2292" s="155" t="s">
        <v>14165</v>
      </c>
      <c r="C2292" s="132" t="s">
        <v>6047</v>
      </c>
      <c r="D2292" s="132" t="s">
        <v>14166</v>
      </c>
      <c r="E2292" s="132" t="s">
        <v>14167</v>
      </c>
      <c r="F2292" s="132" t="s">
        <v>40</v>
      </c>
      <c r="G2292" s="156">
        <v>45635.38958333333</v>
      </c>
      <c r="H2292" s="156">
        <v>45635.4375</v>
      </c>
      <c r="I2292" s="168" t="s">
        <v>378</v>
      </c>
      <c r="J2292" s="169" t="s">
        <v>514</v>
      </c>
    </row>
    <row r="2293" spans="1:10">
      <c r="A2293" s="154" t="s">
        <v>20</v>
      </c>
      <c r="B2293" s="155" t="s">
        <v>14168</v>
      </c>
      <c r="C2293" s="132" t="s">
        <v>13</v>
      </c>
      <c r="D2293" s="132" t="s">
        <v>14169</v>
      </c>
      <c r="E2293" s="132" t="s">
        <v>14170</v>
      </c>
      <c r="F2293" s="132" t="s">
        <v>40</v>
      </c>
      <c r="G2293" s="156">
        <v>45635.401388888888</v>
      </c>
      <c r="H2293" s="156">
        <v>45635.450694444444</v>
      </c>
      <c r="I2293" s="168" t="s">
        <v>17</v>
      </c>
      <c r="J2293" s="169" t="s">
        <v>514</v>
      </c>
    </row>
    <row r="2294" spans="1:10">
      <c r="A2294" s="154" t="s">
        <v>106</v>
      </c>
      <c r="B2294" s="155" t="s">
        <v>14171</v>
      </c>
      <c r="C2294" s="132" t="s">
        <v>108</v>
      </c>
      <c r="D2294" s="132" t="s">
        <v>14172</v>
      </c>
      <c r="E2294" s="132" t="s">
        <v>14173</v>
      </c>
      <c r="F2294" s="132" t="s">
        <v>40</v>
      </c>
      <c r="G2294" s="156">
        <v>45635.681944444441</v>
      </c>
      <c r="H2294" s="156">
        <v>45635.745138888888</v>
      </c>
      <c r="I2294" s="168" t="s">
        <v>6006</v>
      </c>
      <c r="J2294" s="169" t="s">
        <v>514</v>
      </c>
    </row>
    <row r="2295" spans="1:10">
      <c r="A2295" s="154" t="s">
        <v>95</v>
      </c>
      <c r="B2295" s="155" t="s">
        <v>14174</v>
      </c>
      <c r="C2295" s="132" t="s">
        <v>6047</v>
      </c>
      <c r="D2295" s="132" t="s">
        <v>14175</v>
      </c>
      <c r="E2295" s="132" t="s">
        <v>14176</v>
      </c>
      <c r="F2295" s="132" t="s">
        <v>40</v>
      </c>
      <c r="G2295" s="156">
        <v>45635.742361111108</v>
      </c>
      <c r="H2295" s="156">
        <v>45635.79583333333</v>
      </c>
      <c r="I2295" s="168" t="s">
        <v>378</v>
      </c>
      <c r="J2295" s="169" t="s">
        <v>514</v>
      </c>
    </row>
    <row r="2296" spans="1:10">
      <c r="A2296" s="154" t="s">
        <v>95</v>
      </c>
      <c r="B2296" s="155" t="s">
        <v>14177</v>
      </c>
      <c r="C2296" s="132" t="s">
        <v>6047</v>
      </c>
      <c r="D2296" s="132" t="s">
        <v>14178</v>
      </c>
      <c r="E2296" s="132" t="s">
        <v>14179</v>
      </c>
      <c r="F2296" s="132" t="s">
        <v>40</v>
      </c>
      <c r="G2296" s="156">
        <v>45635.765277777777</v>
      </c>
      <c r="H2296" s="156">
        <v>45635.839583333334</v>
      </c>
      <c r="I2296" s="168" t="s">
        <v>7455</v>
      </c>
      <c r="J2296" s="169" t="s">
        <v>88</v>
      </c>
    </row>
    <row r="2297" spans="1:10">
      <c r="A2297" s="154" t="s">
        <v>20</v>
      </c>
      <c r="B2297" s="155" t="s">
        <v>14180</v>
      </c>
      <c r="C2297" s="132" t="s">
        <v>21</v>
      </c>
      <c r="D2297" s="132" t="s">
        <v>14181</v>
      </c>
      <c r="E2297" s="132" t="s">
        <v>14182</v>
      </c>
      <c r="F2297" s="132" t="s">
        <v>40</v>
      </c>
      <c r="G2297" s="156">
        <v>45635.840277777781</v>
      </c>
      <c r="H2297" s="156">
        <v>45635.920138888891</v>
      </c>
      <c r="I2297" s="168" t="s">
        <v>1628</v>
      </c>
      <c r="J2297" s="169" t="s">
        <v>88</v>
      </c>
    </row>
    <row r="2298" spans="1:10">
      <c r="A2298" s="154" t="s">
        <v>20</v>
      </c>
      <c r="B2298" s="155" t="s">
        <v>14183</v>
      </c>
      <c r="C2298" s="132" t="s">
        <v>21</v>
      </c>
      <c r="D2298" s="132" t="s">
        <v>14184</v>
      </c>
      <c r="E2298" s="132" t="s">
        <v>14185</v>
      </c>
      <c r="F2298" s="132" t="s">
        <v>40</v>
      </c>
      <c r="G2298" s="156">
        <v>45635.909722222219</v>
      </c>
      <c r="H2298" s="156">
        <v>45635.984722222223</v>
      </c>
      <c r="I2298" s="168" t="s">
        <v>1628</v>
      </c>
      <c r="J2298" s="169" t="s">
        <v>88</v>
      </c>
    </row>
    <row r="2299" spans="1:10">
      <c r="A2299" s="154" t="s">
        <v>95</v>
      </c>
      <c r="B2299" s="155" t="s">
        <v>14186</v>
      </c>
      <c r="C2299" s="132" t="s">
        <v>6047</v>
      </c>
      <c r="D2299" s="132" t="s">
        <v>14187</v>
      </c>
      <c r="E2299" s="132" t="s">
        <v>14188</v>
      </c>
      <c r="F2299" s="132" t="s">
        <v>40</v>
      </c>
      <c r="G2299" s="156">
        <v>45635.98541666667</v>
      </c>
      <c r="H2299" s="156" t="s">
        <v>14189</v>
      </c>
      <c r="I2299" s="168" t="s">
        <v>7455</v>
      </c>
      <c r="J2299" s="169" t="s">
        <v>88</v>
      </c>
    </row>
    <row r="2300" spans="1:10">
      <c r="A2300" s="154" t="s">
        <v>20</v>
      </c>
      <c r="B2300" s="155" t="s">
        <v>14190</v>
      </c>
      <c r="C2300" s="132" t="s">
        <v>21</v>
      </c>
      <c r="D2300" s="132" t="s">
        <v>14191</v>
      </c>
      <c r="E2300" s="132" t="s">
        <v>14192</v>
      </c>
      <c r="F2300" s="132" t="s">
        <v>40</v>
      </c>
      <c r="G2300" s="156">
        <v>45635.997916666667</v>
      </c>
      <c r="H2300" s="156" t="s">
        <v>14193</v>
      </c>
      <c r="I2300" s="168" t="s">
        <v>1628</v>
      </c>
      <c r="J2300" s="169" t="s">
        <v>88</v>
      </c>
    </row>
    <row r="2301" spans="1:10">
      <c r="A2301" s="154" t="s">
        <v>20</v>
      </c>
      <c r="B2301" s="155" t="s">
        <v>14194</v>
      </c>
      <c r="C2301" s="132" t="s">
        <v>21</v>
      </c>
      <c r="D2301" s="132" t="s">
        <v>14195</v>
      </c>
      <c r="E2301" s="132" t="s">
        <v>14196</v>
      </c>
      <c r="F2301" s="132" t="s">
        <v>40</v>
      </c>
      <c r="G2301" s="156" t="s">
        <v>14650</v>
      </c>
      <c r="H2301" s="156" t="s">
        <v>14197</v>
      </c>
      <c r="I2301" s="168" t="s">
        <v>1628</v>
      </c>
      <c r="J2301" s="169" t="s">
        <v>88</v>
      </c>
    </row>
    <row r="2302" spans="1:10">
      <c r="A2302" s="154" t="s">
        <v>95</v>
      </c>
      <c r="B2302" s="155" t="s">
        <v>14198</v>
      </c>
      <c r="C2302" s="132" t="s">
        <v>113</v>
      </c>
      <c r="D2302" s="132" t="s">
        <v>14199</v>
      </c>
      <c r="E2302" s="132" t="s">
        <v>14200</v>
      </c>
      <c r="F2302" s="132" t="s">
        <v>40</v>
      </c>
      <c r="G2302" s="156" t="s">
        <v>14651</v>
      </c>
      <c r="H2302" s="156" t="s">
        <v>14201</v>
      </c>
      <c r="I2302" s="168" t="s">
        <v>11771</v>
      </c>
      <c r="J2302" s="169" t="s">
        <v>514</v>
      </c>
    </row>
    <row r="2303" spans="1:10">
      <c r="A2303" s="154" t="s">
        <v>95</v>
      </c>
      <c r="B2303" s="155" t="s">
        <v>14202</v>
      </c>
      <c r="C2303" s="132" t="s">
        <v>113</v>
      </c>
      <c r="D2303" s="132" t="s">
        <v>14203</v>
      </c>
      <c r="E2303" s="132" t="s">
        <v>14204</v>
      </c>
      <c r="F2303" s="132" t="s">
        <v>40</v>
      </c>
      <c r="G2303" s="156" t="s">
        <v>14205</v>
      </c>
      <c r="H2303" s="156" t="s">
        <v>14206</v>
      </c>
      <c r="I2303" s="168" t="s">
        <v>4907</v>
      </c>
      <c r="J2303" s="169" t="s">
        <v>514</v>
      </c>
    </row>
    <row r="2304" spans="1:10">
      <c r="A2304" s="154" t="s">
        <v>95</v>
      </c>
      <c r="B2304" s="155" t="s">
        <v>14207</v>
      </c>
      <c r="C2304" s="132" t="s">
        <v>97</v>
      </c>
      <c r="D2304" s="132" t="s">
        <v>14208</v>
      </c>
      <c r="E2304" s="132" t="s">
        <v>14209</v>
      </c>
      <c r="F2304" s="132" t="s">
        <v>40</v>
      </c>
      <c r="G2304" s="156" t="s">
        <v>14653</v>
      </c>
      <c r="H2304" s="156" t="s">
        <v>14210</v>
      </c>
      <c r="I2304" s="168" t="s">
        <v>4635</v>
      </c>
      <c r="J2304" s="169" t="s">
        <v>514</v>
      </c>
    </row>
    <row r="2305" spans="1:11">
      <c r="A2305" s="154" t="s">
        <v>20</v>
      </c>
      <c r="B2305" s="155" t="s">
        <v>14211</v>
      </c>
      <c r="C2305" s="132" t="s">
        <v>21</v>
      </c>
      <c r="D2305" s="132" t="s">
        <v>14212</v>
      </c>
      <c r="E2305" s="132" t="s">
        <v>14213</v>
      </c>
      <c r="F2305" s="132" t="s">
        <v>40</v>
      </c>
      <c r="G2305" s="156" t="s">
        <v>14654</v>
      </c>
      <c r="H2305" s="156" t="s">
        <v>14214</v>
      </c>
      <c r="I2305" s="168" t="s">
        <v>1628</v>
      </c>
      <c r="J2305" s="169" t="s">
        <v>88</v>
      </c>
    </row>
    <row r="2306" spans="1:11">
      <c r="A2306" s="154" t="s">
        <v>20</v>
      </c>
      <c r="B2306" s="155" t="s">
        <v>14215</v>
      </c>
      <c r="C2306" s="132" t="s">
        <v>21</v>
      </c>
      <c r="D2306" s="132" t="s">
        <v>14216</v>
      </c>
      <c r="E2306" s="132" t="s">
        <v>14217</v>
      </c>
      <c r="F2306" s="132" t="s">
        <v>40</v>
      </c>
      <c r="G2306" s="156" t="s">
        <v>14655</v>
      </c>
      <c r="H2306" s="156" t="s">
        <v>14218</v>
      </c>
      <c r="I2306" s="168" t="s">
        <v>1628</v>
      </c>
      <c r="J2306" s="169" t="s">
        <v>88</v>
      </c>
    </row>
    <row r="2307" spans="1:11">
      <c r="A2307" s="154" t="s">
        <v>20</v>
      </c>
      <c r="B2307" s="155" t="s">
        <v>14219</v>
      </c>
      <c r="C2307" s="132" t="s">
        <v>21</v>
      </c>
      <c r="D2307" s="132" t="s">
        <v>14220</v>
      </c>
      <c r="E2307" s="132" t="s">
        <v>14221</v>
      </c>
      <c r="F2307" s="132" t="s">
        <v>40</v>
      </c>
      <c r="G2307" s="156" t="s">
        <v>14656</v>
      </c>
      <c r="H2307" s="156" t="s">
        <v>14222</v>
      </c>
      <c r="I2307" s="168" t="s">
        <v>1628</v>
      </c>
      <c r="J2307" s="169" t="s">
        <v>88</v>
      </c>
    </row>
    <row r="2308" spans="1:11">
      <c r="A2308" s="154" t="s">
        <v>20</v>
      </c>
      <c r="B2308" s="155" t="s">
        <v>14223</v>
      </c>
      <c r="C2308" s="132" t="s">
        <v>21</v>
      </c>
      <c r="D2308" s="132" t="s">
        <v>14224</v>
      </c>
      <c r="E2308" s="132" t="s">
        <v>14225</v>
      </c>
      <c r="F2308" s="132" t="s">
        <v>40</v>
      </c>
      <c r="G2308" s="156" t="s">
        <v>14657</v>
      </c>
      <c r="H2308" s="156" t="s">
        <v>14226</v>
      </c>
      <c r="I2308" s="168" t="s">
        <v>1628</v>
      </c>
      <c r="J2308" s="169" t="s">
        <v>88</v>
      </c>
    </row>
    <row r="2309" spans="1:11">
      <c r="A2309" s="154" t="s">
        <v>20</v>
      </c>
      <c r="B2309" s="155" t="s">
        <v>14227</v>
      </c>
      <c r="C2309" s="132" t="s">
        <v>21</v>
      </c>
      <c r="D2309" s="132" t="s">
        <v>14228</v>
      </c>
      <c r="E2309" s="132" t="s">
        <v>14229</v>
      </c>
      <c r="F2309" s="132" t="s">
        <v>40</v>
      </c>
      <c r="G2309" s="156" t="s">
        <v>14658</v>
      </c>
      <c r="H2309" s="156" t="s">
        <v>14230</v>
      </c>
      <c r="I2309" s="168" t="s">
        <v>1628</v>
      </c>
      <c r="J2309" s="169" t="s">
        <v>88</v>
      </c>
    </row>
    <row r="2310" spans="1:11">
      <c r="A2310" s="154" t="s">
        <v>106</v>
      </c>
      <c r="B2310" s="155" t="s">
        <v>14231</v>
      </c>
      <c r="C2310" s="132" t="s">
        <v>108</v>
      </c>
      <c r="D2310" s="132" t="s">
        <v>14232</v>
      </c>
      <c r="E2310" s="132" t="s">
        <v>14233</v>
      </c>
      <c r="F2310" s="132" t="s">
        <v>40</v>
      </c>
      <c r="G2310" s="156" t="s">
        <v>14652</v>
      </c>
      <c r="H2310" s="156" t="s">
        <v>14234</v>
      </c>
      <c r="I2310" s="168" t="s">
        <v>6006</v>
      </c>
      <c r="J2310" s="169" t="s">
        <v>514</v>
      </c>
    </row>
    <row r="2311" spans="1:11" hidden="1">
      <c r="A2311" s="154" t="s">
        <v>106</v>
      </c>
      <c r="B2311" s="155" t="s">
        <v>14235</v>
      </c>
      <c r="C2311" s="132" t="s">
        <v>37</v>
      </c>
      <c r="D2311" s="132" t="s">
        <v>14236</v>
      </c>
      <c r="F2311" s="132" t="s">
        <v>214</v>
      </c>
      <c r="G2311" s="156" t="s">
        <v>14237</v>
      </c>
      <c r="I2311" s="168" t="s">
        <v>13068</v>
      </c>
      <c r="J2311" s="169" t="s">
        <v>514</v>
      </c>
      <c r="K2311" s="169" t="s">
        <v>72</v>
      </c>
    </row>
    <row r="2312" spans="1:11">
      <c r="A2312" s="154" t="s">
        <v>106</v>
      </c>
      <c r="B2312" s="155" t="s">
        <v>14238</v>
      </c>
      <c r="C2312" s="132" t="s">
        <v>37</v>
      </c>
      <c r="D2312" s="132" t="s">
        <v>14239</v>
      </c>
      <c r="E2312" s="132" t="s">
        <v>14240</v>
      </c>
      <c r="F2312" s="132" t="s">
        <v>40</v>
      </c>
      <c r="G2312" s="156" t="s">
        <v>14652</v>
      </c>
      <c r="H2312" s="156" t="s">
        <v>14241</v>
      </c>
      <c r="I2312" s="168" t="s">
        <v>1557</v>
      </c>
      <c r="J2312" s="169" t="s">
        <v>514</v>
      </c>
    </row>
    <row r="2313" spans="1:11">
      <c r="A2313" s="154" t="s">
        <v>106</v>
      </c>
      <c r="B2313" s="155" t="s">
        <v>14242</v>
      </c>
      <c r="C2313" s="132" t="s">
        <v>108</v>
      </c>
      <c r="D2313" s="132" t="s">
        <v>14243</v>
      </c>
      <c r="E2313" s="132" t="s">
        <v>14244</v>
      </c>
      <c r="F2313" s="132" t="s">
        <v>40</v>
      </c>
      <c r="G2313" s="156" t="s">
        <v>14659</v>
      </c>
      <c r="H2313" s="156" t="s">
        <v>14245</v>
      </c>
      <c r="I2313" s="168" t="s">
        <v>6006</v>
      </c>
      <c r="J2313" s="169" t="s">
        <v>514</v>
      </c>
    </row>
    <row r="2314" spans="1:11">
      <c r="A2314" s="154" t="s">
        <v>20</v>
      </c>
      <c r="B2314" s="155" t="s">
        <v>14246</v>
      </c>
      <c r="C2314" s="132" t="s">
        <v>21</v>
      </c>
      <c r="D2314" s="132" t="s">
        <v>14228</v>
      </c>
      <c r="E2314" s="132" t="s">
        <v>14247</v>
      </c>
      <c r="F2314" s="132" t="s">
        <v>40</v>
      </c>
      <c r="G2314" s="156" t="s">
        <v>14664</v>
      </c>
      <c r="H2314" s="156" t="s">
        <v>14248</v>
      </c>
      <c r="I2314" s="168" t="s">
        <v>1628</v>
      </c>
      <c r="J2314" s="169" t="s">
        <v>88</v>
      </c>
    </row>
    <row r="2315" spans="1:11">
      <c r="A2315" s="154" t="s">
        <v>95</v>
      </c>
      <c r="B2315" s="155" t="s">
        <v>14249</v>
      </c>
      <c r="C2315" s="132" t="s">
        <v>97</v>
      </c>
      <c r="D2315" s="132" t="s">
        <v>14250</v>
      </c>
      <c r="E2315" s="132" t="s">
        <v>14251</v>
      </c>
      <c r="F2315" s="132" t="s">
        <v>40</v>
      </c>
      <c r="G2315" s="156" t="s">
        <v>14665</v>
      </c>
      <c r="H2315" s="156" t="s">
        <v>14252</v>
      </c>
      <c r="I2315" s="168" t="s">
        <v>325</v>
      </c>
      <c r="J2315" s="169" t="s">
        <v>88</v>
      </c>
    </row>
    <row r="2316" spans="1:11">
      <c r="A2316" s="154" t="s">
        <v>106</v>
      </c>
      <c r="B2316" s="155" t="s">
        <v>14253</v>
      </c>
      <c r="C2316" s="132" t="s">
        <v>108</v>
      </c>
      <c r="D2316" s="132" t="s">
        <v>14254</v>
      </c>
      <c r="E2316" s="132" t="s">
        <v>14255</v>
      </c>
      <c r="F2316" s="132" t="s">
        <v>40</v>
      </c>
      <c r="G2316" s="156" t="s">
        <v>14666</v>
      </c>
      <c r="H2316" s="156" t="s">
        <v>14256</v>
      </c>
      <c r="I2316" s="168" t="s">
        <v>7249</v>
      </c>
      <c r="J2316" s="169" t="s">
        <v>88</v>
      </c>
    </row>
    <row r="2317" spans="1:11">
      <c r="A2317" s="154" t="s">
        <v>95</v>
      </c>
      <c r="B2317" s="155" t="s">
        <v>14257</v>
      </c>
      <c r="C2317" s="132" t="s">
        <v>6047</v>
      </c>
      <c r="D2317" s="132" t="s">
        <v>14258</v>
      </c>
      <c r="E2317" s="132" t="s">
        <v>14259</v>
      </c>
      <c r="F2317" s="132" t="s">
        <v>40</v>
      </c>
      <c r="G2317" s="156" t="s">
        <v>14667</v>
      </c>
      <c r="H2317" s="156" t="s">
        <v>14260</v>
      </c>
      <c r="I2317" s="168" t="s">
        <v>14261</v>
      </c>
      <c r="J2317" s="169" t="s">
        <v>88</v>
      </c>
    </row>
    <row r="2318" spans="1:11">
      <c r="A2318" s="154" t="s">
        <v>95</v>
      </c>
      <c r="B2318" s="155" t="s">
        <v>14262</v>
      </c>
      <c r="C2318" s="132" t="s">
        <v>97</v>
      </c>
      <c r="D2318" s="132" t="s">
        <v>14263</v>
      </c>
      <c r="E2318" s="132" t="s">
        <v>14264</v>
      </c>
      <c r="F2318" s="132" t="s">
        <v>40</v>
      </c>
      <c r="G2318" s="156" t="s">
        <v>14668</v>
      </c>
      <c r="H2318" s="156" t="s">
        <v>14256</v>
      </c>
      <c r="I2318" s="168" t="s">
        <v>2882</v>
      </c>
      <c r="J2318" s="169" t="s">
        <v>88</v>
      </c>
    </row>
    <row r="2319" spans="1:11">
      <c r="A2319" s="154" t="s">
        <v>95</v>
      </c>
      <c r="B2319" s="155" t="s">
        <v>14265</v>
      </c>
      <c r="C2319" s="132" t="s">
        <v>6047</v>
      </c>
      <c r="D2319" s="132" t="s">
        <v>14266</v>
      </c>
      <c r="E2319" s="132" t="s">
        <v>14267</v>
      </c>
      <c r="F2319" s="132" t="s">
        <v>40</v>
      </c>
      <c r="G2319" s="156" t="s">
        <v>14669</v>
      </c>
      <c r="H2319" s="156" t="s">
        <v>14256</v>
      </c>
      <c r="I2319" s="168" t="s">
        <v>7455</v>
      </c>
      <c r="J2319" s="169" t="s">
        <v>88</v>
      </c>
    </row>
    <row r="2320" spans="1:11">
      <c r="A2320" s="154" t="s">
        <v>20</v>
      </c>
      <c r="B2320" s="155" t="s">
        <v>14268</v>
      </c>
      <c r="C2320" s="132" t="s">
        <v>21</v>
      </c>
      <c r="D2320" s="132" t="s">
        <v>14269</v>
      </c>
      <c r="E2320" s="132" t="s">
        <v>14270</v>
      </c>
      <c r="F2320" s="132" t="s">
        <v>40</v>
      </c>
      <c r="G2320" s="156" t="s">
        <v>14670</v>
      </c>
      <c r="H2320" s="156" t="s">
        <v>14271</v>
      </c>
      <c r="I2320" s="168" t="s">
        <v>1628</v>
      </c>
      <c r="J2320" s="169" t="s">
        <v>88</v>
      </c>
    </row>
    <row r="2321" spans="1:10">
      <c r="A2321" s="154" t="s">
        <v>20</v>
      </c>
      <c r="B2321" s="155" t="s">
        <v>14272</v>
      </c>
      <c r="C2321" s="132" t="s">
        <v>21</v>
      </c>
      <c r="D2321" s="132" t="s">
        <v>14273</v>
      </c>
      <c r="E2321" s="132" t="s">
        <v>14274</v>
      </c>
      <c r="F2321" s="132" t="s">
        <v>40</v>
      </c>
      <c r="G2321" s="156" t="s">
        <v>14671</v>
      </c>
      <c r="H2321" s="156" t="s">
        <v>14275</v>
      </c>
      <c r="I2321" s="168" t="s">
        <v>1628</v>
      </c>
      <c r="J2321" s="169" t="s">
        <v>88</v>
      </c>
    </row>
    <row r="2322" spans="1:10">
      <c r="A2322" s="154" t="s">
        <v>20</v>
      </c>
      <c r="B2322" s="155" t="s">
        <v>14276</v>
      </c>
      <c r="C2322" s="132" t="s">
        <v>13</v>
      </c>
      <c r="D2322" s="132" t="s">
        <v>14277</v>
      </c>
      <c r="E2322" s="132" t="s">
        <v>14278</v>
      </c>
      <c r="F2322" s="132" t="s">
        <v>40</v>
      </c>
      <c r="G2322" s="156" t="s">
        <v>14660</v>
      </c>
      <c r="H2322" s="156" t="s">
        <v>14279</v>
      </c>
      <c r="I2322" s="168" t="s">
        <v>17</v>
      </c>
      <c r="J2322" s="169" t="s">
        <v>514</v>
      </c>
    </row>
    <row r="2323" spans="1:10">
      <c r="A2323" s="154" t="s">
        <v>95</v>
      </c>
      <c r="B2323" s="155" t="s">
        <v>14280</v>
      </c>
      <c r="C2323" s="132" t="s">
        <v>113</v>
      </c>
      <c r="D2323" s="132" t="s">
        <v>14281</v>
      </c>
      <c r="E2323" s="132" t="s">
        <v>14282</v>
      </c>
      <c r="F2323" s="132" t="s">
        <v>40</v>
      </c>
      <c r="G2323" s="156" t="s">
        <v>14661</v>
      </c>
      <c r="H2323" s="156" t="s">
        <v>14283</v>
      </c>
      <c r="I2323" s="168" t="s">
        <v>4907</v>
      </c>
      <c r="J2323" s="169" t="s">
        <v>514</v>
      </c>
    </row>
    <row r="2324" spans="1:10">
      <c r="A2324" s="154" t="s">
        <v>95</v>
      </c>
      <c r="B2324" s="155" t="s">
        <v>14284</v>
      </c>
      <c r="C2324" s="132" t="s">
        <v>97</v>
      </c>
      <c r="D2324" s="132" t="s">
        <v>14285</v>
      </c>
      <c r="E2324" s="132" t="s">
        <v>14286</v>
      </c>
      <c r="F2324" s="132" t="s">
        <v>40</v>
      </c>
      <c r="G2324" s="156" t="s">
        <v>14662</v>
      </c>
      <c r="H2324" s="156" t="s">
        <v>14287</v>
      </c>
      <c r="I2324" s="168" t="s">
        <v>4635</v>
      </c>
      <c r="J2324" s="169" t="s">
        <v>514</v>
      </c>
    </row>
    <row r="2325" spans="1:10">
      <c r="A2325" s="154" t="s">
        <v>106</v>
      </c>
      <c r="B2325" s="155" t="s">
        <v>14288</v>
      </c>
      <c r="C2325" s="132" t="s">
        <v>37</v>
      </c>
      <c r="D2325" s="132" t="s">
        <v>14289</v>
      </c>
      <c r="E2325" s="132" t="s">
        <v>14290</v>
      </c>
      <c r="F2325" s="132" t="s">
        <v>40</v>
      </c>
      <c r="G2325" s="156" t="s">
        <v>14663</v>
      </c>
      <c r="H2325" s="156" t="s">
        <v>14291</v>
      </c>
      <c r="I2325" s="168" t="s">
        <v>13068</v>
      </c>
      <c r="J2325" s="169" t="s">
        <v>514</v>
      </c>
    </row>
    <row r="2326" spans="1:10">
      <c r="A2326" s="154" t="s">
        <v>20</v>
      </c>
      <c r="B2326" s="155" t="s">
        <v>14292</v>
      </c>
      <c r="C2326" s="132" t="s">
        <v>21</v>
      </c>
      <c r="D2326" s="132" t="s">
        <v>14293</v>
      </c>
      <c r="E2326" s="132" t="s">
        <v>14294</v>
      </c>
      <c r="F2326" s="132" t="s">
        <v>40</v>
      </c>
      <c r="G2326" s="156" t="s">
        <v>14680</v>
      </c>
      <c r="H2326" s="156" t="s">
        <v>14295</v>
      </c>
      <c r="I2326" s="168" t="s">
        <v>1628</v>
      </c>
      <c r="J2326" s="169" t="s">
        <v>88</v>
      </c>
    </row>
    <row r="2327" spans="1:10">
      <c r="A2327" s="154" t="s">
        <v>106</v>
      </c>
      <c r="B2327" s="155" t="s">
        <v>14296</v>
      </c>
      <c r="C2327" s="132" t="s">
        <v>108</v>
      </c>
      <c r="D2327" s="132" t="s">
        <v>14297</v>
      </c>
      <c r="E2327" s="132" t="s">
        <v>14298</v>
      </c>
      <c r="F2327" s="132" t="s">
        <v>40</v>
      </c>
      <c r="G2327" s="156" t="s">
        <v>14681</v>
      </c>
      <c r="H2327" s="156" t="s">
        <v>14299</v>
      </c>
      <c r="I2327" s="168" t="s">
        <v>6006</v>
      </c>
      <c r="J2327" s="169" t="s">
        <v>514</v>
      </c>
    </row>
    <row r="2328" spans="1:10">
      <c r="A2328" s="154" t="s">
        <v>106</v>
      </c>
      <c r="B2328" s="155" t="s">
        <v>14300</v>
      </c>
      <c r="C2328" s="132" t="s">
        <v>108</v>
      </c>
      <c r="D2328" s="132" t="s">
        <v>14301</v>
      </c>
      <c r="E2328" s="132" t="s">
        <v>14302</v>
      </c>
      <c r="F2328" s="132" t="s">
        <v>40</v>
      </c>
      <c r="G2328" s="156" t="s">
        <v>14682</v>
      </c>
      <c r="H2328" s="156" t="s">
        <v>14303</v>
      </c>
      <c r="I2328" s="168" t="s">
        <v>6006</v>
      </c>
      <c r="J2328" s="169" t="s">
        <v>514</v>
      </c>
    </row>
    <row r="2329" spans="1:10">
      <c r="A2329" s="154" t="s">
        <v>106</v>
      </c>
      <c r="B2329" s="155" t="s">
        <v>14304</v>
      </c>
      <c r="C2329" s="132" t="s">
        <v>108</v>
      </c>
      <c r="D2329" s="132" t="s">
        <v>14305</v>
      </c>
      <c r="E2329" s="132" t="s">
        <v>14306</v>
      </c>
      <c r="F2329" s="132" t="s">
        <v>40</v>
      </c>
      <c r="G2329" s="156" t="s">
        <v>14683</v>
      </c>
      <c r="H2329" s="156" t="s">
        <v>14307</v>
      </c>
      <c r="I2329" s="168" t="s">
        <v>6006</v>
      </c>
      <c r="J2329" s="169" t="s">
        <v>514</v>
      </c>
    </row>
    <row r="2330" spans="1:10">
      <c r="A2330" s="154" t="s">
        <v>95</v>
      </c>
      <c r="B2330" s="155" t="s">
        <v>14308</v>
      </c>
      <c r="C2330" s="132" t="s">
        <v>118</v>
      </c>
      <c r="D2330" s="132" t="s">
        <v>14309</v>
      </c>
      <c r="E2330" s="132" t="s">
        <v>14310</v>
      </c>
      <c r="F2330" s="132" t="s">
        <v>40</v>
      </c>
      <c r="G2330" s="156" t="s">
        <v>14684</v>
      </c>
      <c r="H2330" s="156" t="s">
        <v>14311</v>
      </c>
      <c r="I2330" s="168" t="s">
        <v>3956</v>
      </c>
      <c r="J2330" s="169" t="s">
        <v>88</v>
      </c>
    </row>
    <row r="2331" spans="1:10" hidden="1">
      <c r="A2331" s="154" t="s">
        <v>95</v>
      </c>
      <c r="B2331" s="155" t="s">
        <v>14312</v>
      </c>
      <c r="C2331" s="132" t="s">
        <v>97</v>
      </c>
      <c r="D2331" s="132" t="s">
        <v>14313</v>
      </c>
      <c r="E2331" s="132" t="s">
        <v>14314</v>
      </c>
      <c r="F2331" s="132" t="s">
        <v>214</v>
      </c>
      <c r="G2331" s="156" t="s">
        <v>14315</v>
      </c>
      <c r="H2331" s="156" t="s">
        <v>14316</v>
      </c>
      <c r="I2331" s="168" t="s">
        <v>325</v>
      </c>
      <c r="J2331" s="169" t="s">
        <v>88</v>
      </c>
    </row>
    <row r="2332" spans="1:10">
      <c r="A2332" s="154" t="s">
        <v>20</v>
      </c>
      <c r="B2332" s="155" t="s">
        <v>14317</v>
      </c>
      <c r="C2332" s="132" t="s">
        <v>21</v>
      </c>
      <c r="D2332" s="132" t="s">
        <v>14318</v>
      </c>
      <c r="E2332" s="132" t="s">
        <v>14319</v>
      </c>
      <c r="F2332" s="132" t="s">
        <v>40</v>
      </c>
      <c r="G2332" s="156" t="s">
        <v>14685</v>
      </c>
      <c r="H2332" s="156" t="s">
        <v>14320</v>
      </c>
      <c r="I2332" s="168" t="s">
        <v>1628</v>
      </c>
      <c r="J2332" s="169" t="s">
        <v>88</v>
      </c>
    </row>
    <row r="2333" spans="1:10">
      <c r="A2333" s="154" t="s">
        <v>106</v>
      </c>
      <c r="B2333" s="155" t="s">
        <v>14321</v>
      </c>
      <c r="C2333" s="132" t="s">
        <v>108</v>
      </c>
      <c r="D2333" s="132" t="s">
        <v>14322</v>
      </c>
      <c r="E2333" s="132" t="s">
        <v>14323</v>
      </c>
      <c r="F2333" s="132" t="s">
        <v>40</v>
      </c>
      <c r="G2333" s="208" t="s">
        <v>14686</v>
      </c>
      <c r="H2333" s="156" t="s">
        <v>14320</v>
      </c>
      <c r="I2333" s="168" t="s">
        <v>14324</v>
      </c>
      <c r="J2333" s="169" t="s">
        <v>88</v>
      </c>
    </row>
    <row r="2334" spans="1:10">
      <c r="A2334" s="154" t="s">
        <v>20</v>
      </c>
      <c r="B2334" s="155" t="s">
        <v>14325</v>
      </c>
      <c r="C2334" s="132" t="s">
        <v>21</v>
      </c>
      <c r="D2334" s="132" t="s">
        <v>14326</v>
      </c>
      <c r="E2334" s="132" t="s">
        <v>14327</v>
      </c>
      <c r="F2334" s="132" t="s">
        <v>40</v>
      </c>
      <c r="G2334" s="156" t="s">
        <v>14687</v>
      </c>
      <c r="H2334" s="156" t="s">
        <v>14328</v>
      </c>
      <c r="I2334" s="168" t="s">
        <v>1628</v>
      </c>
      <c r="J2334" s="169" t="s">
        <v>88</v>
      </c>
    </row>
    <row r="2335" spans="1:10">
      <c r="A2335" s="154" t="s">
        <v>20</v>
      </c>
      <c r="B2335" s="155" t="s">
        <v>14329</v>
      </c>
      <c r="C2335" s="132" t="s">
        <v>13</v>
      </c>
      <c r="D2335" s="132" t="s">
        <v>14330</v>
      </c>
      <c r="E2335" s="132" t="s">
        <v>14331</v>
      </c>
      <c r="F2335" s="132" t="s">
        <v>40</v>
      </c>
      <c r="G2335" s="156" t="s">
        <v>14688</v>
      </c>
      <c r="H2335" s="156" t="s">
        <v>14332</v>
      </c>
      <c r="I2335" s="168" t="s">
        <v>10029</v>
      </c>
      <c r="J2335" s="169" t="s">
        <v>88</v>
      </c>
    </row>
    <row r="2336" spans="1:10">
      <c r="A2336" s="154" t="s">
        <v>20</v>
      </c>
      <c r="B2336" s="155" t="s">
        <v>14333</v>
      </c>
      <c r="C2336" s="132" t="s">
        <v>21</v>
      </c>
      <c r="D2336" s="132" t="s">
        <v>14334</v>
      </c>
      <c r="E2336" s="132" t="s">
        <v>14335</v>
      </c>
      <c r="F2336" s="132" t="s">
        <v>40</v>
      </c>
      <c r="G2336" s="156" t="s">
        <v>14689</v>
      </c>
      <c r="H2336" s="156" t="s">
        <v>14336</v>
      </c>
      <c r="I2336" s="168" t="s">
        <v>1628</v>
      </c>
      <c r="J2336" s="169" t="s">
        <v>88</v>
      </c>
    </row>
    <row r="2337" spans="1:11">
      <c r="A2337" s="154" t="s">
        <v>20</v>
      </c>
      <c r="B2337" s="155" t="s">
        <v>14337</v>
      </c>
      <c r="C2337" s="132" t="s">
        <v>21</v>
      </c>
      <c r="D2337" s="132" t="s">
        <v>14338</v>
      </c>
      <c r="E2337" s="132" t="s">
        <v>14339</v>
      </c>
      <c r="F2337" s="132" t="s">
        <v>40</v>
      </c>
      <c r="G2337" s="156" t="s">
        <v>14690</v>
      </c>
      <c r="H2337" s="156" t="s">
        <v>14340</v>
      </c>
      <c r="I2337" s="168" t="s">
        <v>1628</v>
      </c>
      <c r="J2337" s="169" t="s">
        <v>88</v>
      </c>
    </row>
    <row r="2338" spans="1:11">
      <c r="A2338" s="154" t="s">
        <v>20</v>
      </c>
      <c r="B2338" s="155" t="s">
        <v>14341</v>
      </c>
      <c r="C2338" s="132" t="s">
        <v>21</v>
      </c>
      <c r="D2338" s="132" t="s">
        <v>14342</v>
      </c>
      <c r="E2338" s="132" t="s">
        <v>14343</v>
      </c>
      <c r="F2338" s="132" t="s">
        <v>40</v>
      </c>
      <c r="G2338" s="156" t="s">
        <v>14691</v>
      </c>
      <c r="H2338" s="156" t="s">
        <v>14344</v>
      </c>
      <c r="I2338" s="168" t="s">
        <v>1628</v>
      </c>
      <c r="J2338" s="169" t="s">
        <v>88</v>
      </c>
    </row>
    <row r="2339" spans="1:11">
      <c r="A2339" s="154" t="s">
        <v>106</v>
      </c>
      <c r="B2339" s="155" t="s">
        <v>14345</v>
      </c>
      <c r="C2339" s="132" t="s">
        <v>108</v>
      </c>
      <c r="D2339" s="132" t="s">
        <v>14346</v>
      </c>
      <c r="E2339" s="132" t="s">
        <v>14347</v>
      </c>
      <c r="F2339" s="132" t="s">
        <v>40</v>
      </c>
      <c r="G2339" s="156" t="s">
        <v>14672</v>
      </c>
      <c r="H2339" s="156" t="s">
        <v>14348</v>
      </c>
      <c r="I2339" s="168" t="s">
        <v>6006</v>
      </c>
      <c r="J2339" s="169" t="s">
        <v>514</v>
      </c>
    </row>
    <row r="2340" spans="1:11">
      <c r="A2340" s="154" t="s">
        <v>106</v>
      </c>
      <c r="B2340" s="155" t="s">
        <v>14349</v>
      </c>
      <c r="C2340" s="132" t="s">
        <v>108</v>
      </c>
      <c r="D2340" s="132" t="s">
        <v>14350</v>
      </c>
      <c r="E2340" s="132" t="s">
        <v>14351</v>
      </c>
      <c r="F2340" s="132" t="s">
        <v>40</v>
      </c>
      <c r="G2340" s="156" t="s">
        <v>14673</v>
      </c>
      <c r="H2340" s="156" t="s">
        <v>14352</v>
      </c>
      <c r="I2340" s="168" t="s">
        <v>6006</v>
      </c>
      <c r="J2340" s="169" t="s">
        <v>514</v>
      </c>
    </row>
    <row r="2341" spans="1:11">
      <c r="A2341" s="154" t="s">
        <v>95</v>
      </c>
      <c r="B2341" s="155" t="s">
        <v>14353</v>
      </c>
      <c r="C2341" s="132" t="s">
        <v>97</v>
      </c>
      <c r="D2341" s="132" t="s">
        <v>14354</v>
      </c>
      <c r="E2341" s="132" t="s">
        <v>14355</v>
      </c>
      <c r="F2341" s="132" t="s">
        <v>40</v>
      </c>
      <c r="G2341" s="156" t="s">
        <v>14674</v>
      </c>
      <c r="H2341" s="156" t="s">
        <v>14356</v>
      </c>
      <c r="I2341" s="168" t="s">
        <v>4635</v>
      </c>
      <c r="J2341" s="169" t="s">
        <v>514</v>
      </c>
    </row>
    <row r="2342" spans="1:11">
      <c r="A2342" s="154" t="s">
        <v>106</v>
      </c>
      <c r="B2342" s="155" t="s">
        <v>14357</v>
      </c>
      <c r="C2342" s="132" t="s">
        <v>37</v>
      </c>
      <c r="D2342" s="132" t="s">
        <v>14358</v>
      </c>
      <c r="E2342" s="132" t="s">
        <v>14359</v>
      </c>
      <c r="F2342" s="132" t="s">
        <v>40</v>
      </c>
      <c r="G2342" s="156" t="s">
        <v>14675</v>
      </c>
      <c r="H2342" s="156" t="s">
        <v>14360</v>
      </c>
      <c r="I2342" s="168" t="s">
        <v>13068</v>
      </c>
      <c r="J2342" s="169" t="s">
        <v>514</v>
      </c>
      <c r="K2342" s="169" t="s">
        <v>72</v>
      </c>
    </row>
    <row r="2343" spans="1:11">
      <c r="A2343" s="154" t="s">
        <v>106</v>
      </c>
      <c r="B2343" s="155" t="s">
        <v>14361</v>
      </c>
      <c r="C2343" s="132" t="s">
        <v>37</v>
      </c>
      <c r="D2343" s="132" t="s">
        <v>14362</v>
      </c>
      <c r="E2343" s="132" t="s">
        <v>14363</v>
      </c>
      <c r="F2343" s="132" t="s">
        <v>40</v>
      </c>
      <c r="G2343" s="156" t="s">
        <v>14676</v>
      </c>
      <c r="H2343" s="156" t="s">
        <v>14364</v>
      </c>
      <c r="I2343" s="168" t="s">
        <v>13068</v>
      </c>
      <c r="J2343" s="169" t="s">
        <v>514</v>
      </c>
    </row>
    <row r="2344" spans="1:11">
      <c r="A2344" s="154" t="s">
        <v>106</v>
      </c>
      <c r="B2344" s="155" t="s">
        <v>14365</v>
      </c>
      <c r="C2344" s="132" t="s">
        <v>37</v>
      </c>
      <c r="D2344" s="132" t="s">
        <v>14366</v>
      </c>
      <c r="E2344" s="132" t="s">
        <v>14367</v>
      </c>
      <c r="F2344" s="132" t="s">
        <v>40</v>
      </c>
      <c r="G2344" s="156" t="s">
        <v>14677</v>
      </c>
      <c r="H2344" s="156" t="s">
        <v>14368</v>
      </c>
      <c r="I2344" s="168" t="s">
        <v>13068</v>
      </c>
      <c r="J2344" s="169" t="s">
        <v>514</v>
      </c>
      <c r="K2344" s="169" t="s">
        <v>72</v>
      </c>
    </row>
    <row r="2345" spans="1:11">
      <c r="A2345" s="154" t="s">
        <v>106</v>
      </c>
      <c r="B2345" s="155" t="s">
        <v>14369</v>
      </c>
      <c r="C2345" s="132" t="s">
        <v>108</v>
      </c>
      <c r="D2345" s="132" t="s">
        <v>14370</v>
      </c>
      <c r="E2345" s="132" t="s">
        <v>14371</v>
      </c>
      <c r="F2345" s="132" t="s">
        <v>40</v>
      </c>
      <c r="G2345" s="156" t="s">
        <v>14678</v>
      </c>
      <c r="H2345" s="156" t="s">
        <v>14372</v>
      </c>
      <c r="I2345" s="168" t="s">
        <v>6006</v>
      </c>
      <c r="J2345" s="169" t="s">
        <v>514</v>
      </c>
      <c r="K2345" s="169" t="s">
        <v>72</v>
      </c>
    </row>
    <row r="2346" spans="1:11">
      <c r="A2346" s="154" t="s">
        <v>95</v>
      </c>
      <c r="B2346" s="155" t="s">
        <v>14373</v>
      </c>
      <c r="C2346" s="132" t="s">
        <v>113</v>
      </c>
      <c r="D2346" s="132" t="s">
        <v>14374</v>
      </c>
      <c r="E2346" s="132" t="s">
        <v>14375</v>
      </c>
      <c r="F2346" s="132" t="s">
        <v>40</v>
      </c>
      <c r="G2346" s="156" t="s">
        <v>14679</v>
      </c>
      <c r="H2346" s="156" t="s">
        <v>14372</v>
      </c>
      <c r="I2346" s="168" t="s">
        <v>4907</v>
      </c>
      <c r="J2346" s="169" t="s">
        <v>514</v>
      </c>
      <c r="K2346" s="169" t="s">
        <v>72</v>
      </c>
    </row>
    <row r="2347" spans="1:11">
      <c r="A2347" s="154" t="s">
        <v>106</v>
      </c>
      <c r="B2347" s="155" t="s">
        <v>14376</v>
      </c>
      <c r="C2347" s="132" t="s">
        <v>333</v>
      </c>
      <c r="D2347" s="132" t="s">
        <v>14377</v>
      </c>
      <c r="E2347" s="132" t="s">
        <v>14378</v>
      </c>
      <c r="F2347" s="132" t="s">
        <v>40</v>
      </c>
      <c r="G2347" s="156" t="s">
        <v>14692</v>
      </c>
      <c r="H2347" s="156" t="s">
        <v>14379</v>
      </c>
      <c r="I2347" s="168" t="s">
        <v>346</v>
      </c>
      <c r="J2347" s="169" t="s">
        <v>514</v>
      </c>
    </row>
    <row r="2348" spans="1:11">
      <c r="A2348" s="154" t="s">
        <v>95</v>
      </c>
      <c r="B2348" s="155" t="s">
        <v>14380</v>
      </c>
      <c r="C2348" s="132" t="s">
        <v>113</v>
      </c>
      <c r="D2348" s="132" t="s">
        <v>14381</v>
      </c>
      <c r="E2348" s="132" t="s">
        <v>14382</v>
      </c>
      <c r="F2348" s="132" t="s">
        <v>40</v>
      </c>
      <c r="G2348" s="156" t="s">
        <v>14693</v>
      </c>
      <c r="H2348" s="156" t="s">
        <v>14383</v>
      </c>
      <c r="I2348" s="168" t="s">
        <v>4907</v>
      </c>
      <c r="J2348" s="169" t="s">
        <v>514</v>
      </c>
    </row>
    <row r="2349" spans="1:11">
      <c r="A2349" s="154" t="s">
        <v>95</v>
      </c>
      <c r="B2349" s="155" t="s">
        <v>14384</v>
      </c>
      <c r="C2349" s="132" t="s">
        <v>6047</v>
      </c>
      <c r="D2349" s="132" t="s">
        <v>14385</v>
      </c>
      <c r="E2349" s="132" t="s">
        <v>14386</v>
      </c>
      <c r="F2349" s="132" t="s">
        <v>40</v>
      </c>
      <c r="G2349" s="156" t="s">
        <v>14694</v>
      </c>
      <c r="H2349" s="208" t="s">
        <v>14712</v>
      </c>
      <c r="I2349" s="168" t="s">
        <v>14387</v>
      </c>
      <c r="J2349" s="169" t="s">
        <v>88</v>
      </c>
    </row>
    <row r="2350" spans="1:11">
      <c r="A2350" s="154" t="s">
        <v>20</v>
      </c>
      <c r="B2350" s="155" t="s">
        <v>14388</v>
      </c>
      <c r="C2350" s="132" t="s">
        <v>21</v>
      </c>
      <c r="D2350" s="132" t="s">
        <v>14389</v>
      </c>
      <c r="E2350" s="132" t="s">
        <v>14390</v>
      </c>
      <c r="F2350" s="132" t="s">
        <v>40</v>
      </c>
      <c r="G2350" s="156" t="s">
        <v>14695</v>
      </c>
      <c r="H2350" s="156" t="s">
        <v>14713</v>
      </c>
      <c r="I2350" s="168" t="s">
        <v>1628</v>
      </c>
      <c r="J2350" s="169" t="s">
        <v>88</v>
      </c>
    </row>
    <row r="2351" spans="1:11">
      <c r="A2351" s="154" t="s">
        <v>20</v>
      </c>
      <c r="B2351" s="155" t="s">
        <v>14391</v>
      </c>
      <c r="C2351" s="132" t="s">
        <v>21</v>
      </c>
      <c r="D2351" s="132" t="s">
        <v>14392</v>
      </c>
      <c r="E2351" s="132" t="s">
        <v>14393</v>
      </c>
      <c r="F2351" s="132" t="s">
        <v>40</v>
      </c>
      <c r="G2351" s="156" t="s">
        <v>14696</v>
      </c>
      <c r="H2351" s="156" t="s">
        <v>14714</v>
      </c>
      <c r="I2351" s="168" t="s">
        <v>1628</v>
      </c>
      <c r="J2351" s="169" t="s">
        <v>88</v>
      </c>
    </row>
    <row r="2352" spans="1:11">
      <c r="A2352" s="154" t="s">
        <v>20</v>
      </c>
      <c r="B2352" s="155" t="s">
        <v>14394</v>
      </c>
      <c r="C2352" s="132" t="s">
        <v>49</v>
      </c>
      <c r="D2352" s="132" t="s">
        <v>14395</v>
      </c>
      <c r="E2352" s="132" t="s">
        <v>14396</v>
      </c>
      <c r="F2352" s="132" t="s">
        <v>40</v>
      </c>
      <c r="G2352" s="156" t="s">
        <v>14697</v>
      </c>
      <c r="H2352" s="156" t="s">
        <v>14715</v>
      </c>
      <c r="I2352" s="168" t="s">
        <v>2912</v>
      </c>
      <c r="J2352" s="169" t="s">
        <v>72</v>
      </c>
    </row>
    <row r="2353" spans="1:10">
      <c r="A2353" s="154" t="s">
        <v>106</v>
      </c>
      <c r="B2353" s="155" t="s">
        <v>14397</v>
      </c>
      <c r="C2353" s="132" t="s">
        <v>108</v>
      </c>
      <c r="D2353" s="132" t="s">
        <v>8467</v>
      </c>
      <c r="E2353" s="132" t="s">
        <v>11862</v>
      </c>
      <c r="F2353" s="132" t="s">
        <v>40</v>
      </c>
      <c r="G2353" s="156" t="s">
        <v>14698</v>
      </c>
      <c r="H2353" s="156" t="s">
        <v>14398</v>
      </c>
      <c r="I2353" s="168" t="s">
        <v>32</v>
      </c>
      <c r="J2353" s="169" t="s">
        <v>72</v>
      </c>
    </row>
    <row r="2354" spans="1:10">
      <c r="A2354" s="154" t="s">
        <v>106</v>
      </c>
      <c r="B2354" s="155" t="s">
        <v>14399</v>
      </c>
      <c r="C2354" s="132" t="s">
        <v>37</v>
      </c>
      <c r="D2354" s="132" t="s">
        <v>14400</v>
      </c>
      <c r="E2354" s="132" t="s">
        <v>14401</v>
      </c>
      <c r="F2354" s="132" t="s">
        <v>40</v>
      </c>
      <c r="G2354" s="156" t="s">
        <v>14699</v>
      </c>
      <c r="H2354" s="156" t="s">
        <v>14402</v>
      </c>
      <c r="I2354" s="168" t="s">
        <v>13570</v>
      </c>
      <c r="J2354" s="169" t="s">
        <v>72</v>
      </c>
    </row>
    <row r="2355" spans="1:10">
      <c r="A2355" s="154" t="s">
        <v>106</v>
      </c>
      <c r="B2355" s="155" t="s">
        <v>14403</v>
      </c>
      <c r="C2355" s="132" t="s">
        <v>37</v>
      </c>
      <c r="D2355" s="132" t="s">
        <v>14404</v>
      </c>
      <c r="E2355" s="132" t="s">
        <v>14405</v>
      </c>
      <c r="F2355" s="132" t="s">
        <v>40</v>
      </c>
      <c r="G2355" s="156" t="s">
        <v>14700</v>
      </c>
      <c r="H2355" s="156" t="s">
        <v>14406</v>
      </c>
      <c r="I2355" s="168" t="s">
        <v>13570</v>
      </c>
      <c r="J2355" s="169" t="s">
        <v>72</v>
      </c>
    </row>
    <row r="2356" spans="1:10">
      <c r="A2356" s="154" t="s">
        <v>95</v>
      </c>
      <c r="B2356" s="155" t="s">
        <v>14407</v>
      </c>
      <c r="C2356" s="132" t="s">
        <v>97</v>
      </c>
      <c r="D2356" s="132" t="s">
        <v>14408</v>
      </c>
      <c r="E2356" s="132" t="s">
        <v>14409</v>
      </c>
      <c r="F2356" s="132" t="s">
        <v>40</v>
      </c>
      <c r="G2356" s="156" t="s">
        <v>14701</v>
      </c>
      <c r="H2356" s="156" t="s">
        <v>14410</v>
      </c>
      <c r="I2356" s="168" t="s">
        <v>14411</v>
      </c>
      <c r="J2356" s="169" t="s">
        <v>72</v>
      </c>
    </row>
    <row r="2357" spans="1:10">
      <c r="A2357" s="154" t="s">
        <v>95</v>
      </c>
      <c r="B2357" s="155" t="s">
        <v>14412</v>
      </c>
      <c r="C2357" s="132" t="s">
        <v>97</v>
      </c>
      <c r="D2357" s="132" t="s">
        <v>14413</v>
      </c>
      <c r="E2357" s="132" t="s">
        <v>14409</v>
      </c>
      <c r="F2357" s="132" t="s">
        <v>40</v>
      </c>
      <c r="G2357" s="156" t="s">
        <v>14702</v>
      </c>
      <c r="H2357" s="156" t="s">
        <v>14414</v>
      </c>
      <c r="I2357" s="168" t="s">
        <v>14411</v>
      </c>
      <c r="J2357" s="169" t="s">
        <v>72</v>
      </c>
    </row>
    <row r="2358" spans="1:10">
      <c r="A2358" s="154" t="s">
        <v>20</v>
      </c>
      <c r="B2358" s="155" t="s">
        <v>14415</v>
      </c>
      <c r="C2358" s="132" t="s">
        <v>21</v>
      </c>
      <c r="D2358" s="132" t="s">
        <v>14416</v>
      </c>
      <c r="E2358" s="132" t="s">
        <v>14417</v>
      </c>
      <c r="F2358" s="132" t="s">
        <v>40</v>
      </c>
      <c r="G2358" s="156" t="s">
        <v>14703</v>
      </c>
      <c r="H2358" s="156" t="s">
        <v>14418</v>
      </c>
      <c r="I2358" s="168" t="s">
        <v>32</v>
      </c>
      <c r="J2358" s="169" t="s">
        <v>9367</v>
      </c>
    </row>
    <row r="2359" spans="1:10">
      <c r="A2359" s="154" t="s">
        <v>20</v>
      </c>
      <c r="B2359" s="155" t="s">
        <v>14419</v>
      </c>
      <c r="C2359" s="132" t="s">
        <v>49</v>
      </c>
      <c r="D2359" s="132" t="s">
        <v>14420</v>
      </c>
      <c r="E2359" s="132" t="s">
        <v>14421</v>
      </c>
      <c r="F2359" s="132" t="s">
        <v>40</v>
      </c>
      <c r="G2359" s="156" t="s">
        <v>14704</v>
      </c>
      <c r="H2359" s="156" t="s">
        <v>14422</v>
      </c>
      <c r="I2359" s="168" t="s">
        <v>7836</v>
      </c>
      <c r="J2359" s="169" t="s">
        <v>9367</v>
      </c>
    </row>
    <row r="2360" spans="1:10">
      <c r="A2360" s="154" t="s">
        <v>95</v>
      </c>
      <c r="B2360" s="155" t="s">
        <v>14423</v>
      </c>
      <c r="C2360" s="132" t="s">
        <v>113</v>
      </c>
      <c r="D2360" s="132" t="s">
        <v>14424</v>
      </c>
      <c r="E2360" s="132" t="s">
        <v>14425</v>
      </c>
      <c r="F2360" s="132" t="s">
        <v>40</v>
      </c>
      <c r="G2360" s="156" t="s">
        <v>14705</v>
      </c>
      <c r="H2360" s="156" t="s">
        <v>14426</v>
      </c>
      <c r="I2360" s="168" t="s">
        <v>14427</v>
      </c>
      <c r="J2360" s="169" t="s">
        <v>9367</v>
      </c>
    </row>
    <row r="2361" spans="1:10">
      <c r="A2361" s="154" t="s">
        <v>20</v>
      </c>
      <c r="B2361" s="155" t="s">
        <v>14428</v>
      </c>
      <c r="C2361" s="132" t="s">
        <v>13</v>
      </c>
      <c r="D2361" s="132" t="s">
        <v>13093</v>
      </c>
      <c r="E2361" s="132" t="s">
        <v>14429</v>
      </c>
      <c r="F2361" s="132" t="s">
        <v>40</v>
      </c>
      <c r="G2361" s="156" t="s">
        <v>14706</v>
      </c>
      <c r="H2361" s="156" t="s">
        <v>14430</v>
      </c>
      <c r="I2361" s="168" t="s">
        <v>11612</v>
      </c>
      <c r="J2361" s="169" t="s">
        <v>9367</v>
      </c>
    </row>
    <row r="2362" spans="1:10">
      <c r="A2362" s="154" t="s">
        <v>20</v>
      </c>
      <c r="B2362" s="155" t="s">
        <v>14431</v>
      </c>
      <c r="C2362" s="132" t="s">
        <v>21</v>
      </c>
      <c r="D2362" s="132" t="s">
        <v>14432</v>
      </c>
      <c r="E2362" s="132" t="s">
        <v>14433</v>
      </c>
      <c r="F2362" s="132" t="s">
        <v>40</v>
      </c>
      <c r="G2362" s="156" t="s">
        <v>14707</v>
      </c>
      <c r="H2362" s="156" t="s">
        <v>14434</v>
      </c>
      <c r="I2362" s="168" t="s">
        <v>64</v>
      </c>
      <c r="J2362" s="169" t="s">
        <v>9367</v>
      </c>
    </row>
    <row r="2363" spans="1:10">
      <c r="A2363" s="154" t="s">
        <v>20</v>
      </c>
      <c r="B2363" s="155" t="s">
        <v>14435</v>
      </c>
      <c r="C2363" s="132" t="s">
        <v>13</v>
      </c>
      <c r="D2363" s="132" t="s">
        <v>14436</v>
      </c>
      <c r="E2363" s="194" t="s">
        <v>14437</v>
      </c>
      <c r="F2363" s="132" t="s">
        <v>40</v>
      </c>
      <c r="G2363" s="156" t="s">
        <v>14708</v>
      </c>
      <c r="H2363" s="156" t="s">
        <v>14438</v>
      </c>
      <c r="I2363" s="168" t="s">
        <v>5222</v>
      </c>
      <c r="J2363" s="169" t="s">
        <v>9367</v>
      </c>
    </row>
    <row r="2364" spans="1:10">
      <c r="A2364" s="154" t="s">
        <v>20</v>
      </c>
      <c r="B2364" s="155" t="s">
        <v>14439</v>
      </c>
      <c r="C2364" s="132" t="s">
        <v>21</v>
      </c>
      <c r="D2364" s="132" t="s">
        <v>14440</v>
      </c>
      <c r="E2364" s="132" t="s">
        <v>14441</v>
      </c>
      <c r="F2364" s="132" t="s">
        <v>40</v>
      </c>
      <c r="G2364" s="156" t="s">
        <v>14709</v>
      </c>
      <c r="H2364" s="156" t="s">
        <v>14442</v>
      </c>
      <c r="I2364" s="168" t="s">
        <v>64</v>
      </c>
      <c r="J2364" s="169" t="s">
        <v>9367</v>
      </c>
    </row>
    <row r="2365" spans="1:10">
      <c r="A2365" s="154" t="s">
        <v>20</v>
      </c>
      <c r="B2365" s="155" t="s">
        <v>14443</v>
      </c>
      <c r="C2365" s="132" t="s">
        <v>21</v>
      </c>
      <c r="D2365" s="132" t="s">
        <v>14444</v>
      </c>
      <c r="E2365" s="132" t="s">
        <v>14445</v>
      </c>
      <c r="F2365" s="132" t="s">
        <v>40</v>
      </c>
      <c r="G2365" s="156" t="s">
        <v>14709</v>
      </c>
      <c r="H2365" s="156" t="s">
        <v>14442</v>
      </c>
      <c r="I2365" s="168" t="s">
        <v>64</v>
      </c>
      <c r="J2365" s="169" t="s">
        <v>9367</v>
      </c>
    </row>
    <row r="2366" spans="1:10">
      <c r="A2366" s="154" t="s">
        <v>95</v>
      </c>
      <c r="B2366" s="155" t="s">
        <v>14446</v>
      </c>
      <c r="C2366" s="132" t="s">
        <v>113</v>
      </c>
      <c r="D2366" s="132" t="s">
        <v>14447</v>
      </c>
      <c r="E2366" s="194" t="s">
        <v>14448</v>
      </c>
      <c r="F2366" s="132" t="s">
        <v>40</v>
      </c>
      <c r="G2366" s="156" t="s">
        <v>14710</v>
      </c>
      <c r="H2366" s="156" t="s">
        <v>14449</v>
      </c>
      <c r="I2366" s="168" t="s">
        <v>12648</v>
      </c>
      <c r="J2366" s="169" t="s">
        <v>9367</v>
      </c>
    </row>
    <row r="2367" spans="1:10">
      <c r="A2367" s="154" t="s">
        <v>106</v>
      </c>
      <c r="B2367" s="155" t="s">
        <v>14450</v>
      </c>
      <c r="C2367" s="132" t="s">
        <v>37</v>
      </c>
      <c r="D2367" s="132" t="s">
        <v>14451</v>
      </c>
      <c r="E2367" s="132" t="s">
        <v>14401</v>
      </c>
      <c r="F2367" s="132" t="s">
        <v>40</v>
      </c>
      <c r="G2367" s="156" t="s">
        <v>14711</v>
      </c>
      <c r="H2367" s="156" t="s">
        <v>14452</v>
      </c>
      <c r="I2367" s="168" t="s">
        <v>14453</v>
      </c>
      <c r="J2367" s="169" t="s">
        <v>72</v>
      </c>
    </row>
    <row r="2368" spans="1:10">
      <c r="A2368" s="154" t="s">
        <v>95</v>
      </c>
      <c r="B2368" s="155" t="s">
        <v>14454</v>
      </c>
      <c r="C2368" s="132" t="s">
        <v>97</v>
      </c>
      <c r="D2368" s="132" t="s">
        <v>14455</v>
      </c>
      <c r="E2368" s="132" t="s">
        <v>14456</v>
      </c>
      <c r="F2368" s="132" t="s">
        <v>40</v>
      </c>
      <c r="G2368" s="156" t="s">
        <v>14457</v>
      </c>
      <c r="H2368" s="156" t="s">
        <v>14458</v>
      </c>
      <c r="I2368" s="168" t="s">
        <v>1251</v>
      </c>
      <c r="J2368" s="169" t="s">
        <v>72</v>
      </c>
    </row>
    <row r="2369" spans="1:12">
      <c r="A2369" s="154" t="s">
        <v>20</v>
      </c>
      <c r="B2369" s="155" t="s">
        <v>14459</v>
      </c>
      <c r="C2369" s="132" t="s">
        <v>13</v>
      </c>
      <c r="D2369" s="132" t="s">
        <v>14460</v>
      </c>
      <c r="E2369" s="132" t="s">
        <v>2302</v>
      </c>
      <c r="F2369" s="132" t="s">
        <v>40</v>
      </c>
      <c r="G2369" s="156" t="s">
        <v>14461</v>
      </c>
      <c r="H2369" s="156" t="s">
        <v>14462</v>
      </c>
      <c r="I2369" s="168" t="s">
        <v>2618</v>
      </c>
      <c r="J2369" s="169" t="s">
        <v>72</v>
      </c>
    </row>
    <row r="2370" spans="1:12">
      <c r="A2370" s="154" t="s">
        <v>106</v>
      </c>
      <c r="B2370" s="155" t="s">
        <v>14463</v>
      </c>
      <c r="C2370" s="132" t="s">
        <v>108</v>
      </c>
      <c r="D2370" s="132" t="s">
        <v>14464</v>
      </c>
      <c r="E2370" s="132" t="s">
        <v>14465</v>
      </c>
      <c r="F2370" s="132" t="s">
        <v>40</v>
      </c>
      <c r="G2370" s="156" t="s">
        <v>14466</v>
      </c>
      <c r="H2370" s="156" t="s">
        <v>14467</v>
      </c>
      <c r="I2370" s="168" t="s">
        <v>12833</v>
      </c>
      <c r="J2370" s="169" t="s">
        <v>72</v>
      </c>
      <c r="K2370" s="169" t="s">
        <v>9367</v>
      </c>
      <c r="L2370" s="185">
        <v>45554</v>
      </c>
    </row>
    <row r="2371" spans="1:12">
      <c r="A2371" s="154" t="s">
        <v>106</v>
      </c>
      <c r="B2371" s="155" t="s">
        <v>14468</v>
      </c>
      <c r="C2371" s="132" t="s">
        <v>37</v>
      </c>
      <c r="D2371" s="132" t="s">
        <v>14404</v>
      </c>
      <c r="E2371" s="132" t="s">
        <v>14469</v>
      </c>
      <c r="F2371" s="132" t="s">
        <v>40</v>
      </c>
      <c r="G2371" s="156" t="s">
        <v>14470</v>
      </c>
      <c r="H2371" s="156" t="s">
        <v>14471</v>
      </c>
      <c r="I2371" s="168" t="s">
        <v>13570</v>
      </c>
      <c r="J2371" s="169" t="s">
        <v>72</v>
      </c>
    </row>
    <row r="2372" spans="1:12">
      <c r="A2372" s="154" t="s">
        <v>20</v>
      </c>
      <c r="B2372" s="155" t="s">
        <v>14472</v>
      </c>
      <c r="C2372" s="132" t="s">
        <v>13</v>
      </c>
      <c r="D2372" s="132" t="s">
        <v>14473</v>
      </c>
      <c r="E2372" s="132" t="s">
        <v>14474</v>
      </c>
      <c r="F2372" s="132" t="s">
        <v>40</v>
      </c>
      <c r="G2372" s="156" t="s">
        <v>14475</v>
      </c>
      <c r="H2372" s="156" t="s">
        <v>14476</v>
      </c>
      <c r="I2372" s="168" t="s">
        <v>11612</v>
      </c>
      <c r="J2372" s="169" t="s">
        <v>9367</v>
      </c>
    </row>
    <row r="2373" spans="1:12">
      <c r="A2373" s="154" t="s">
        <v>95</v>
      </c>
      <c r="B2373" s="155" t="s">
        <v>14477</v>
      </c>
      <c r="C2373" s="132" t="s">
        <v>6047</v>
      </c>
      <c r="D2373" s="132" t="s">
        <v>14478</v>
      </c>
      <c r="E2373" s="194" t="s">
        <v>14479</v>
      </c>
      <c r="F2373" s="132" t="s">
        <v>40</v>
      </c>
      <c r="G2373" s="156" t="s">
        <v>14480</v>
      </c>
      <c r="H2373" s="156" t="s">
        <v>14481</v>
      </c>
      <c r="I2373" s="168" t="s">
        <v>8301</v>
      </c>
      <c r="J2373" s="169" t="s">
        <v>9367</v>
      </c>
    </row>
    <row r="2374" spans="1:12">
      <c r="A2374" s="154" t="s">
        <v>95</v>
      </c>
      <c r="B2374" s="155" t="s">
        <v>14482</v>
      </c>
      <c r="C2374" s="132" t="s">
        <v>97</v>
      </c>
      <c r="D2374" s="132" t="s">
        <v>14483</v>
      </c>
      <c r="E2374" s="194" t="s">
        <v>14484</v>
      </c>
      <c r="F2374" s="132" t="s">
        <v>40</v>
      </c>
      <c r="G2374" s="156" t="s">
        <v>14485</v>
      </c>
      <c r="H2374" s="156" t="s">
        <v>14486</v>
      </c>
      <c r="I2374" s="168" t="s">
        <v>12648</v>
      </c>
      <c r="J2374" s="169" t="s">
        <v>9367</v>
      </c>
    </row>
    <row r="2375" spans="1:12">
      <c r="A2375" s="154" t="s">
        <v>95</v>
      </c>
      <c r="B2375" s="155" t="s">
        <v>14487</v>
      </c>
      <c r="C2375" s="132" t="s">
        <v>97</v>
      </c>
      <c r="D2375" s="132" t="s">
        <v>14488</v>
      </c>
      <c r="E2375" s="132" t="s">
        <v>14489</v>
      </c>
      <c r="F2375" s="132" t="s">
        <v>40</v>
      </c>
      <c r="G2375" s="156" t="s">
        <v>14485</v>
      </c>
      <c r="H2375" s="156" t="s">
        <v>14476</v>
      </c>
      <c r="I2375" s="168" t="s">
        <v>12648</v>
      </c>
      <c r="J2375" s="169" t="s">
        <v>9367</v>
      </c>
    </row>
    <row r="2376" spans="1:12">
      <c r="A2376" s="154" t="s">
        <v>95</v>
      </c>
      <c r="B2376" s="155" t="s">
        <v>14490</v>
      </c>
      <c r="C2376" s="132" t="s">
        <v>113</v>
      </c>
      <c r="D2376" s="132" t="s">
        <v>14491</v>
      </c>
      <c r="E2376" s="195" t="s">
        <v>14492</v>
      </c>
      <c r="F2376" s="132" t="s">
        <v>40</v>
      </c>
      <c r="G2376" s="156" t="s">
        <v>14493</v>
      </c>
      <c r="H2376" s="156" t="s">
        <v>14494</v>
      </c>
      <c r="I2376" s="168" t="s">
        <v>866</v>
      </c>
      <c r="J2376" s="169" t="s">
        <v>9367</v>
      </c>
    </row>
    <row r="2377" spans="1:12">
      <c r="A2377" s="154" t="s">
        <v>95</v>
      </c>
      <c r="B2377" s="155" t="s">
        <v>14495</v>
      </c>
      <c r="C2377" s="132" t="s">
        <v>97</v>
      </c>
      <c r="D2377" s="132" t="s">
        <v>14496</v>
      </c>
      <c r="E2377" s="132" t="s">
        <v>14497</v>
      </c>
      <c r="F2377" s="132" t="s">
        <v>40</v>
      </c>
      <c r="G2377" s="156" t="s">
        <v>14498</v>
      </c>
      <c r="H2377" s="156" t="s">
        <v>14499</v>
      </c>
      <c r="I2377" s="168" t="s">
        <v>14500</v>
      </c>
      <c r="J2377" s="169" t="s">
        <v>9367</v>
      </c>
    </row>
    <row r="2378" spans="1:12">
      <c r="A2378" s="154" t="s">
        <v>95</v>
      </c>
      <c r="B2378" s="155" t="s">
        <v>14501</v>
      </c>
      <c r="C2378" s="132" t="s">
        <v>97</v>
      </c>
      <c r="D2378" s="132" t="s">
        <v>14502</v>
      </c>
      <c r="E2378" s="132" t="s">
        <v>14503</v>
      </c>
      <c r="F2378" s="132" t="s">
        <v>40</v>
      </c>
      <c r="G2378" s="156" t="s">
        <v>14494</v>
      </c>
      <c r="H2378" s="156" t="s">
        <v>14499</v>
      </c>
      <c r="I2378" s="168" t="s">
        <v>14500</v>
      </c>
      <c r="J2378" s="169" t="s">
        <v>9367</v>
      </c>
    </row>
    <row r="2379" spans="1:12">
      <c r="A2379" s="154" t="s">
        <v>95</v>
      </c>
      <c r="B2379" s="155" t="s">
        <v>14504</v>
      </c>
      <c r="C2379" s="132" t="s">
        <v>97</v>
      </c>
      <c r="D2379" s="132" t="s">
        <v>14505</v>
      </c>
      <c r="E2379" s="132" t="s">
        <v>14506</v>
      </c>
      <c r="F2379" s="132" t="s">
        <v>40</v>
      </c>
      <c r="G2379" s="156" t="s">
        <v>14507</v>
      </c>
      <c r="H2379" s="156" t="s">
        <v>14499</v>
      </c>
      <c r="I2379" s="168" t="s">
        <v>1268</v>
      </c>
      <c r="J2379" s="169" t="s">
        <v>72</v>
      </c>
    </row>
    <row r="2380" spans="1:12" ht="72.5">
      <c r="A2380" s="154" t="s">
        <v>106</v>
      </c>
      <c r="B2380" s="155" t="s">
        <v>14508</v>
      </c>
      <c r="C2380" s="132" t="s">
        <v>108</v>
      </c>
      <c r="D2380" s="132" t="s">
        <v>14509</v>
      </c>
      <c r="E2380" s="137" t="s">
        <v>14510</v>
      </c>
      <c r="F2380" s="132" t="s">
        <v>40</v>
      </c>
      <c r="G2380" s="156" t="s">
        <v>14511</v>
      </c>
      <c r="H2380" s="156" t="s">
        <v>14512</v>
      </c>
      <c r="I2380" s="168" t="s">
        <v>2168</v>
      </c>
      <c r="J2380" s="169" t="s">
        <v>72</v>
      </c>
    </row>
    <row r="2381" spans="1:12">
      <c r="A2381" s="154" t="s">
        <v>95</v>
      </c>
      <c r="B2381" s="155" t="s">
        <v>14513</v>
      </c>
      <c r="C2381" s="132" t="s">
        <v>97</v>
      </c>
      <c r="D2381" s="132" t="s">
        <v>14514</v>
      </c>
      <c r="E2381" s="132" t="s">
        <v>14515</v>
      </c>
      <c r="F2381" s="132" t="s">
        <v>40</v>
      </c>
      <c r="G2381" s="156" t="s">
        <v>14516</v>
      </c>
      <c r="H2381" s="156" t="s">
        <v>14517</v>
      </c>
      <c r="I2381" s="168" t="s">
        <v>1251</v>
      </c>
      <c r="J2381" s="169" t="s">
        <v>72</v>
      </c>
    </row>
    <row r="2382" spans="1:12">
      <c r="A2382" s="154" t="s">
        <v>106</v>
      </c>
      <c r="B2382" s="155" t="s">
        <v>14518</v>
      </c>
      <c r="C2382" s="132" t="s">
        <v>108</v>
      </c>
      <c r="D2382" s="132" t="s">
        <v>8467</v>
      </c>
      <c r="E2382" s="132" t="s">
        <v>11862</v>
      </c>
      <c r="F2382" s="132" t="s">
        <v>40</v>
      </c>
      <c r="G2382" s="156" t="s">
        <v>14519</v>
      </c>
      <c r="H2382" s="156" t="s">
        <v>14520</v>
      </c>
      <c r="I2382" s="168" t="s">
        <v>32</v>
      </c>
      <c r="J2382" s="169" t="s">
        <v>72</v>
      </c>
    </row>
    <row r="2383" spans="1:12">
      <c r="A2383" s="154" t="s">
        <v>95</v>
      </c>
      <c r="B2383" s="155" t="s">
        <v>14521</v>
      </c>
      <c r="C2383" s="132" t="s">
        <v>97</v>
      </c>
      <c r="D2383" s="132" t="s">
        <v>14522</v>
      </c>
      <c r="E2383" s="132" t="s">
        <v>14523</v>
      </c>
      <c r="F2383" s="132" t="s">
        <v>40</v>
      </c>
      <c r="G2383" s="156" t="s">
        <v>14524</v>
      </c>
      <c r="H2383" s="156" t="s">
        <v>14525</v>
      </c>
      <c r="I2383" s="168" t="s">
        <v>2168</v>
      </c>
      <c r="J2383" s="169" t="s">
        <v>72</v>
      </c>
    </row>
    <row r="2384" spans="1:12">
      <c r="A2384" s="154" t="s">
        <v>20</v>
      </c>
      <c r="B2384" s="155" t="s">
        <v>14526</v>
      </c>
      <c r="C2384" s="132" t="s">
        <v>49</v>
      </c>
      <c r="D2384" s="132" t="s">
        <v>14527</v>
      </c>
      <c r="E2384" s="132" t="s">
        <v>14528</v>
      </c>
      <c r="F2384" s="132" t="s">
        <v>40</v>
      </c>
      <c r="G2384" s="156" t="s">
        <v>14529</v>
      </c>
      <c r="H2384" s="156" t="s">
        <v>14530</v>
      </c>
      <c r="I2384" s="168" t="s">
        <v>2912</v>
      </c>
      <c r="J2384" s="169" t="s">
        <v>72</v>
      </c>
    </row>
    <row r="2385" spans="1:10">
      <c r="A2385" s="154" t="s">
        <v>20</v>
      </c>
      <c r="B2385" s="155" t="s">
        <v>14531</v>
      </c>
      <c r="C2385" s="132" t="s">
        <v>13</v>
      </c>
      <c r="D2385" s="132" t="s">
        <v>14532</v>
      </c>
      <c r="E2385" s="132" t="s">
        <v>14533</v>
      </c>
      <c r="F2385" s="132" t="s">
        <v>40</v>
      </c>
      <c r="G2385" s="156" t="s">
        <v>14534</v>
      </c>
      <c r="H2385" s="156" t="s">
        <v>14535</v>
      </c>
      <c r="I2385" s="168" t="s">
        <v>11612</v>
      </c>
      <c r="J2385" s="169" t="s">
        <v>9367</v>
      </c>
    </row>
    <row r="2386" spans="1:10">
      <c r="A2386" s="154" t="s">
        <v>95</v>
      </c>
      <c r="B2386" s="155" t="s">
        <v>14536</v>
      </c>
      <c r="C2386" s="132" t="s">
        <v>118</v>
      </c>
      <c r="D2386" s="132" t="s">
        <v>14537</v>
      </c>
      <c r="E2386" s="132" t="s">
        <v>14538</v>
      </c>
      <c r="F2386" s="132" t="s">
        <v>40</v>
      </c>
      <c r="G2386" s="156" t="s">
        <v>14539</v>
      </c>
      <c r="H2386" s="156" t="s">
        <v>14540</v>
      </c>
      <c r="I2386" s="168" t="s">
        <v>1999</v>
      </c>
      <c r="J2386" s="169" t="s">
        <v>9367</v>
      </c>
    </row>
    <row r="2387" spans="1:10">
      <c r="A2387" s="154" t="s">
        <v>20</v>
      </c>
      <c r="B2387" s="155" t="s">
        <v>14541</v>
      </c>
      <c r="C2387" s="132" t="s">
        <v>13</v>
      </c>
      <c r="D2387" s="132" t="s">
        <v>14542</v>
      </c>
      <c r="E2387" s="132" t="s">
        <v>14543</v>
      </c>
      <c r="F2387" s="132" t="s">
        <v>40</v>
      </c>
      <c r="G2387" s="156" t="s">
        <v>14544</v>
      </c>
      <c r="H2387" s="156" t="s">
        <v>14545</v>
      </c>
      <c r="I2387" s="168" t="s">
        <v>11612</v>
      </c>
      <c r="J2387" s="169" t="s">
        <v>9367</v>
      </c>
    </row>
    <row r="2388" spans="1:10">
      <c r="A2388" s="154" t="s">
        <v>95</v>
      </c>
      <c r="B2388" s="155" t="s">
        <v>14546</v>
      </c>
      <c r="C2388" s="132" t="s">
        <v>97</v>
      </c>
      <c r="D2388" s="132" t="s">
        <v>14547</v>
      </c>
      <c r="E2388" s="132" t="s">
        <v>14548</v>
      </c>
      <c r="F2388" s="132" t="s">
        <v>40</v>
      </c>
      <c r="G2388" s="156" t="s">
        <v>14549</v>
      </c>
      <c r="H2388" s="156" t="s">
        <v>14550</v>
      </c>
      <c r="I2388" s="168" t="s">
        <v>14551</v>
      </c>
      <c r="J2388" s="169" t="s">
        <v>9367</v>
      </c>
    </row>
    <row r="2389" spans="1:10">
      <c r="A2389" s="154" t="s">
        <v>20</v>
      </c>
      <c r="B2389" s="155" t="s">
        <v>14552</v>
      </c>
      <c r="C2389" s="132" t="s">
        <v>21</v>
      </c>
      <c r="D2389" s="132" t="s">
        <v>14553</v>
      </c>
      <c r="E2389" s="132" t="s">
        <v>14554</v>
      </c>
      <c r="F2389" s="132" t="s">
        <v>40</v>
      </c>
      <c r="G2389" s="156" t="s">
        <v>14555</v>
      </c>
      <c r="H2389" s="156" t="s">
        <v>14556</v>
      </c>
      <c r="I2389" s="168" t="s">
        <v>64</v>
      </c>
      <c r="J2389" s="169" t="s">
        <v>9367</v>
      </c>
    </row>
    <row r="2390" spans="1:10">
      <c r="A2390" s="154" t="s">
        <v>20</v>
      </c>
      <c r="B2390" s="155" t="s">
        <v>14557</v>
      </c>
      <c r="C2390" s="132" t="s">
        <v>21</v>
      </c>
      <c r="D2390" s="132" t="s">
        <v>14558</v>
      </c>
      <c r="E2390" s="132" t="s">
        <v>14559</v>
      </c>
      <c r="F2390" s="132" t="s">
        <v>40</v>
      </c>
      <c r="G2390" s="156" t="s">
        <v>14560</v>
      </c>
      <c r="H2390" s="156" t="s">
        <v>14560</v>
      </c>
      <c r="I2390" s="168" t="s">
        <v>64</v>
      </c>
      <c r="J2390" s="169" t="s">
        <v>9367</v>
      </c>
    </row>
    <row r="2391" spans="1:10" hidden="1">
      <c r="A2391" s="154" t="s">
        <v>106</v>
      </c>
      <c r="B2391" s="155" t="s">
        <v>14561</v>
      </c>
      <c r="C2391" s="132" t="s">
        <v>37</v>
      </c>
      <c r="D2391" s="132" t="s">
        <v>14562</v>
      </c>
      <c r="F2391" s="132" t="s">
        <v>308</v>
      </c>
      <c r="G2391" s="156" t="s">
        <v>14563</v>
      </c>
      <c r="I2391" s="168" t="s">
        <v>13570</v>
      </c>
      <c r="J2391" s="169" t="s">
        <v>72</v>
      </c>
    </row>
    <row r="2392" spans="1:10">
      <c r="A2392" s="154" t="s">
        <v>106</v>
      </c>
      <c r="B2392" s="155" t="s">
        <v>14564</v>
      </c>
      <c r="C2392" s="132" t="s">
        <v>108</v>
      </c>
      <c r="D2392" s="132" t="s">
        <v>14565</v>
      </c>
      <c r="E2392" s="132" t="s">
        <v>14566</v>
      </c>
      <c r="F2392" s="132" t="s">
        <v>40</v>
      </c>
      <c r="G2392" s="156" t="s">
        <v>14567</v>
      </c>
      <c r="H2392" s="156" t="s">
        <v>14568</v>
      </c>
      <c r="I2392" s="168" t="s">
        <v>2168</v>
      </c>
      <c r="J2392" s="169" t="s">
        <v>72</v>
      </c>
    </row>
    <row r="2393" spans="1:10">
      <c r="A2393" s="154" t="s">
        <v>20</v>
      </c>
      <c r="B2393" s="155" t="s">
        <v>14569</v>
      </c>
      <c r="C2393" s="132" t="s">
        <v>13</v>
      </c>
      <c r="D2393" s="132" t="s">
        <v>14570</v>
      </c>
      <c r="E2393" s="132" t="s">
        <v>14571</v>
      </c>
      <c r="F2393" s="132" t="s">
        <v>40</v>
      </c>
      <c r="G2393" s="156" t="s">
        <v>14572</v>
      </c>
      <c r="H2393" s="156" t="s">
        <v>14573</v>
      </c>
      <c r="I2393" s="168" t="s">
        <v>299</v>
      </c>
      <c r="J2393" s="169" t="s">
        <v>72</v>
      </c>
    </row>
    <row r="2394" spans="1:10">
      <c r="A2394" s="154" t="s">
        <v>95</v>
      </c>
      <c r="B2394" s="155" t="s">
        <v>14574</v>
      </c>
      <c r="C2394" s="132" t="s">
        <v>6047</v>
      </c>
      <c r="D2394" s="132" t="s">
        <v>14575</v>
      </c>
      <c r="E2394" s="132" t="s">
        <v>14576</v>
      </c>
      <c r="F2394" s="132" t="s">
        <v>40</v>
      </c>
      <c r="G2394" s="156" t="s">
        <v>14577</v>
      </c>
      <c r="H2394" s="156" t="s">
        <v>14578</v>
      </c>
      <c r="I2394" s="168" t="s">
        <v>13921</v>
      </c>
      <c r="J2394" s="169" t="s">
        <v>72</v>
      </c>
    </row>
    <row r="2395" spans="1:10">
      <c r="A2395" s="154" t="s">
        <v>106</v>
      </c>
      <c r="B2395" s="155" t="s">
        <v>14579</v>
      </c>
      <c r="C2395" s="132" t="s">
        <v>37</v>
      </c>
      <c r="D2395" s="132" t="s">
        <v>14580</v>
      </c>
      <c r="E2395" s="132" t="s">
        <v>14581</v>
      </c>
      <c r="F2395" s="132" t="s">
        <v>40</v>
      </c>
      <c r="G2395" s="156" t="s">
        <v>14582</v>
      </c>
      <c r="H2395" s="156" t="s">
        <v>14583</v>
      </c>
      <c r="I2395" s="168" t="s">
        <v>13570</v>
      </c>
      <c r="J2395" s="169" t="s">
        <v>72</v>
      </c>
    </row>
    <row r="2396" spans="1:10">
      <c r="A2396" s="154" t="s">
        <v>20</v>
      </c>
      <c r="B2396" s="155" t="s">
        <v>14584</v>
      </c>
      <c r="C2396" s="132" t="s">
        <v>13</v>
      </c>
      <c r="D2396" s="132" t="s">
        <v>14134</v>
      </c>
      <c r="E2396" s="132" t="s">
        <v>14585</v>
      </c>
      <c r="F2396" s="132" t="s">
        <v>40</v>
      </c>
      <c r="G2396" s="156" t="s">
        <v>14586</v>
      </c>
      <c r="H2396" s="156" t="s">
        <v>14587</v>
      </c>
      <c r="I2396" s="168" t="s">
        <v>2618</v>
      </c>
      <c r="J2396" s="169" t="s">
        <v>72</v>
      </c>
    </row>
    <row r="2397" spans="1:10">
      <c r="A2397" s="154" t="s">
        <v>95</v>
      </c>
      <c r="B2397" s="155" t="s">
        <v>14588</v>
      </c>
      <c r="C2397" s="132" t="s">
        <v>97</v>
      </c>
      <c r="D2397" s="132" t="s">
        <v>14589</v>
      </c>
      <c r="E2397" s="132" t="s">
        <v>14590</v>
      </c>
      <c r="F2397" s="132" t="s">
        <v>40</v>
      </c>
      <c r="G2397" s="156" t="s">
        <v>14591</v>
      </c>
      <c r="H2397" s="156" t="s">
        <v>14592</v>
      </c>
      <c r="I2397" s="168" t="s">
        <v>1268</v>
      </c>
      <c r="J2397" s="169" t="s">
        <v>72</v>
      </c>
    </row>
    <row r="2398" spans="1:10">
      <c r="A2398" s="154" t="s">
        <v>20</v>
      </c>
      <c r="B2398" s="155" t="s">
        <v>14593</v>
      </c>
      <c r="C2398" s="132" t="s">
        <v>21</v>
      </c>
      <c r="D2398" s="132" t="s">
        <v>14594</v>
      </c>
      <c r="E2398" s="132" t="s">
        <v>14595</v>
      </c>
      <c r="F2398" s="132" t="s">
        <v>40</v>
      </c>
      <c r="G2398" s="156" t="s">
        <v>14596</v>
      </c>
      <c r="H2398" s="156" t="s">
        <v>14597</v>
      </c>
      <c r="I2398" s="168" t="s">
        <v>64</v>
      </c>
      <c r="J2398" s="169" t="s">
        <v>9367</v>
      </c>
    </row>
    <row r="2399" spans="1:10">
      <c r="A2399" s="154" t="s">
        <v>20</v>
      </c>
      <c r="B2399" s="155" t="s">
        <v>14598</v>
      </c>
      <c r="C2399" s="132" t="s">
        <v>13</v>
      </c>
      <c r="D2399" s="132" t="s">
        <v>14599</v>
      </c>
      <c r="E2399" s="132" t="s">
        <v>14595</v>
      </c>
      <c r="F2399" s="132" t="s">
        <v>40</v>
      </c>
      <c r="G2399" s="156" t="s">
        <v>14600</v>
      </c>
      <c r="H2399" s="156" t="s">
        <v>14601</v>
      </c>
      <c r="I2399" s="168" t="s">
        <v>11612</v>
      </c>
      <c r="J2399" s="169" t="s">
        <v>9367</v>
      </c>
    </row>
    <row r="2400" spans="1:10">
      <c r="A2400" s="154" t="s">
        <v>95</v>
      </c>
      <c r="B2400" s="155" t="s">
        <v>14602</v>
      </c>
      <c r="C2400" s="132" t="s">
        <v>97</v>
      </c>
      <c r="D2400" s="132" t="s">
        <v>14603</v>
      </c>
      <c r="E2400" s="132" t="s">
        <v>14595</v>
      </c>
      <c r="F2400" s="132" t="s">
        <v>40</v>
      </c>
      <c r="G2400" s="156" t="s">
        <v>14604</v>
      </c>
      <c r="H2400" s="156" t="s">
        <v>14605</v>
      </c>
      <c r="I2400" s="168" t="s">
        <v>14551</v>
      </c>
      <c r="J2400" s="169" t="s">
        <v>9367</v>
      </c>
    </row>
    <row r="2401" spans="1:10">
      <c r="A2401" s="154" t="s">
        <v>95</v>
      </c>
      <c r="B2401" s="155" t="s">
        <v>14606</v>
      </c>
      <c r="C2401" s="132" t="s">
        <v>97</v>
      </c>
      <c r="D2401" s="132" t="s">
        <v>14502</v>
      </c>
      <c r="E2401" s="132" t="s">
        <v>14607</v>
      </c>
      <c r="F2401" s="132" t="s">
        <v>40</v>
      </c>
      <c r="G2401" s="156" t="s">
        <v>14608</v>
      </c>
      <c r="H2401" s="156" t="s">
        <v>14609</v>
      </c>
      <c r="I2401" s="168" t="s">
        <v>14551</v>
      </c>
      <c r="J2401" s="169" t="s">
        <v>9367</v>
      </c>
    </row>
    <row r="2402" spans="1:10">
      <c r="A2402" s="154" t="s">
        <v>20</v>
      </c>
      <c r="B2402" s="155" t="s">
        <v>14610</v>
      </c>
      <c r="C2402" s="132" t="s">
        <v>49</v>
      </c>
      <c r="D2402" s="132" t="s">
        <v>8771</v>
      </c>
      <c r="E2402" s="132" t="s">
        <v>14611</v>
      </c>
      <c r="F2402" s="132" t="s">
        <v>40</v>
      </c>
      <c r="G2402" s="156" t="s">
        <v>14612</v>
      </c>
      <c r="H2402" s="156" t="s">
        <v>14613</v>
      </c>
      <c r="I2402" s="168" t="s">
        <v>32</v>
      </c>
      <c r="J2402" s="169" t="s">
        <v>72</v>
      </c>
    </row>
    <row r="2403" spans="1:10">
      <c r="A2403" s="154" t="s">
        <v>106</v>
      </c>
      <c r="B2403" s="155" t="s">
        <v>14614</v>
      </c>
      <c r="C2403" s="132" t="s">
        <v>108</v>
      </c>
      <c r="D2403" s="132" t="s">
        <v>8467</v>
      </c>
      <c r="E2403" s="132" t="s">
        <v>11862</v>
      </c>
      <c r="F2403" s="132" t="s">
        <v>40</v>
      </c>
      <c r="G2403" s="156" t="s">
        <v>14615</v>
      </c>
      <c r="H2403" s="156" t="s">
        <v>14616</v>
      </c>
      <c r="I2403" s="168" t="s">
        <v>32</v>
      </c>
      <c r="J2403" s="169" t="s">
        <v>72</v>
      </c>
    </row>
    <row r="2404" spans="1:10">
      <c r="A2404" s="154" t="s">
        <v>106</v>
      </c>
      <c r="B2404" s="155" t="s">
        <v>14617</v>
      </c>
      <c r="C2404" s="132" t="s">
        <v>108</v>
      </c>
      <c r="D2404" s="132" t="s">
        <v>14618</v>
      </c>
      <c r="E2404" s="132" t="s">
        <v>14619</v>
      </c>
      <c r="F2404" s="132" t="s">
        <v>40</v>
      </c>
      <c r="G2404" s="156" t="s">
        <v>14620</v>
      </c>
      <c r="H2404" s="156" t="s">
        <v>14621</v>
      </c>
      <c r="I2404" s="168" t="s">
        <v>11644</v>
      </c>
      <c r="J2404" s="169" t="s">
        <v>72</v>
      </c>
    </row>
    <row r="2405" spans="1:10">
      <c r="A2405" s="154" t="s">
        <v>106</v>
      </c>
      <c r="B2405" s="155" t="s">
        <v>14622</v>
      </c>
      <c r="C2405" s="132" t="s">
        <v>108</v>
      </c>
      <c r="D2405" s="132" t="s">
        <v>14623</v>
      </c>
      <c r="E2405" s="195" t="s">
        <v>14624</v>
      </c>
      <c r="F2405" s="132" t="s">
        <v>40</v>
      </c>
      <c r="G2405" s="156" t="s">
        <v>14625</v>
      </c>
      <c r="H2405" s="156" t="s">
        <v>14626</v>
      </c>
      <c r="I2405" s="168" t="s">
        <v>1470</v>
      </c>
      <c r="J2405" s="169" t="s">
        <v>9367</v>
      </c>
    </row>
    <row r="2406" spans="1:10">
      <c r="A2406" s="154" t="s">
        <v>95</v>
      </c>
      <c r="B2406" s="155" t="s">
        <v>14627</v>
      </c>
      <c r="C2406" s="132" t="s">
        <v>97</v>
      </c>
      <c r="D2406" s="132" t="s">
        <v>14628</v>
      </c>
      <c r="E2406" s="194" t="s">
        <v>14629</v>
      </c>
      <c r="F2406" s="132" t="s">
        <v>40</v>
      </c>
      <c r="G2406" s="156" t="s">
        <v>14630</v>
      </c>
      <c r="H2406" s="156" t="s">
        <v>14631</v>
      </c>
      <c r="I2406" s="168" t="s">
        <v>8036</v>
      </c>
      <c r="J2406" s="169" t="s">
        <v>9367</v>
      </c>
    </row>
    <row r="2407" spans="1:10">
      <c r="A2407" s="154" t="s">
        <v>20</v>
      </c>
      <c r="B2407" s="155" t="s">
        <v>14632</v>
      </c>
      <c r="C2407" s="132" t="s">
        <v>21</v>
      </c>
      <c r="D2407" s="132" t="s">
        <v>14633</v>
      </c>
      <c r="E2407" s="194" t="s">
        <v>14634</v>
      </c>
      <c r="F2407" s="132" t="s">
        <v>40</v>
      </c>
      <c r="G2407" s="156" t="s">
        <v>14635</v>
      </c>
      <c r="H2407" s="156" t="s">
        <v>14636</v>
      </c>
      <c r="I2407" s="168" t="s">
        <v>64</v>
      </c>
      <c r="J2407" s="169" t="s">
        <v>9367</v>
      </c>
    </row>
    <row r="2408" spans="1:10">
      <c r="A2408" s="154" t="s">
        <v>95</v>
      </c>
      <c r="B2408" s="155" t="s">
        <v>14637</v>
      </c>
      <c r="C2408" s="132" t="s">
        <v>108</v>
      </c>
      <c r="D2408" s="132" t="s">
        <v>14638</v>
      </c>
      <c r="E2408" s="194" t="s">
        <v>14639</v>
      </c>
      <c r="F2408" s="132" t="s">
        <v>40</v>
      </c>
      <c r="G2408" s="156" t="s">
        <v>14640</v>
      </c>
      <c r="H2408" s="156" t="s">
        <v>14641</v>
      </c>
      <c r="I2408" s="168" t="s">
        <v>14551</v>
      </c>
      <c r="J2408" s="169" t="s">
        <v>9367</v>
      </c>
    </row>
    <row r="2409" spans="1:10" hidden="1">
      <c r="A2409" s="154"/>
      <c r="B2409" s="155"/>
    </row>
    <row r="2410" spans="1:10" hidden="1">
      <c r="A2410" s="154"/>
      <c r="B2410" s="155"/>
    </row>
    <row r="2411" spans="1:10" hidden="1">
      <c r="A2411" s="154"/>
      <c r="B2411" s="155"/>
    </row>
    <row r="2412" spans="1:10" hidden="1">
      <c r="A2412" s="154"/>
      <c r="B2412" s="155"/>
    </row>
    <row r="2413" spans="1:10" hidden="1">
      <c r="A2413" s="154"/>
      <c r="B2413" s="155"/>
    </row>
    <row r="2414" spans="1:10" hidden="1">
      <c r="A2414" s="154"/>
      <c r="B2414" s="155"/>
    </row>
    <row r="2415" spans="1:10" hidden="1">
      <c r="A2415" s="154"/>
      <c r="B2415" s="155"/>
    </row>
    <row r="2416" spans="1:10" hidden="1">
      <c r="A2416" s="154"/>
      <c r="B2416" s="155"/>
    </row>
    <row r="2417" spans="1:2" hidden="1">
      <c r="A2417" s="154"/>
      <c r="B2417" s="155"/>
    </row>
    <row r="2418" spans="1:2" hidden="1">
      <c r="A2418" s="154"/>
      <c r="B2418" s="155"/>
    </row>
    <row r="2419" spans="1:2" hidden="1">
      <c r="A2419" s="154"/>
      <c r="B2419" s="155"/>
    </row>
    <row r="2420" spans="1:2" hidden="1">
      <c r="A2420" s="154"/>
      <c r="B2420" s="155"/>
    </row>
    <row r="2421" spans="1:2" hidden="1">
      <c r="A2421" s="154"/>
      <c r="B2421" s="155"/>
    </row>
    <row r="2422" spans="1:2" hidden="1">
      <c r="A2422" s="154"/>
      <c r="B2422" s="155"/>
    </row>
    <row r="2423" spans="1:2" hidden="1">
      <c r="A2423" s="154"/>
      <c r="B2423" s="155"/>
    </row>
    <row r="2424" spans="1:2" hidden="1">
      <c r="A2424" s="154"/>
      <c r="B2424" s="155"/>
    </row>
    <row r="2425" spans="1:2" hidden="1">
      <c r="A2425" s="154"/>
      <c r="B2425" s="155"/>
    </row>
    <row r="2426" spans="1:2" hidden="1">
      <c r="A2426" s="154"/>
      <c r="B2426" s="155"/>
    </row>
    <row r="2427" spans="1:2" hidden="1">
      <c r="A2427" s="154"/>
      <c r="B2427" s="155"/>
    </row>
    <row r="2428" spans="1:2" hidden="1">
      <c r="A2428" s="154"/>
      <c r="B2428" s="155"/>
    </row>
    <row r="2429" spans="1:2" hidden="1">
      <c r="A2429" s="154"/>
      <c r="B2429" s="155"/>
    </row>
    <row r="2430" spans="1:2" hidden="1">
      <c r="A2430" s="154"/>
      <c r="B2430" s="155"/>
    </row>
    <row r="2431" spans="1:2" hidden="1">
      <c r="A2431" s="154"/>
      <c r="B2431" s="155"/>
    </row>
    <row r="2432" spans="1:2" hidden="1">
      <c r="A2432" s="154"/>
      <c r="B2432" s="155"/>
    </row>
    <row r="2433" spans="1:2" hidden="1">
      <c r="A2433" s="154"/>
      <c r="B2433" s="155"/>
    </row>
    <row r="2434" spans="1:2" hidden="1">
      <c r="A2434" s="154"/>
      <c r="B2434" s="155"/>
    </row>
    <row r="2435" spans="1:2" hidden="1">
      <c r="A2435" s="154"/>
      <c r="B2435" s="155"/>
    </row>
    <row r="2436" spans="1:2" hidden="1">
      <c r="A2436" s="154"/>
      <c r="B2436" s="155"/>
    </row>
    <row r="2437" spans="1:2" hidden="1">
      <c r="A2437" s="154"/>
      <c r="B2437" s="155"/>
    </row>
    <row r="2438" spans="1:2" hidden="1">
      <c r="A2438" s="154"/>
      <c r="B2438" s="155"/>
    </row>
    <row r="2439" spans="1:2" hidden="1">
      <c r="A2439" s="154"/>
      <c r="B2439" s="155"/>
    </row>
    <row r="2440" spans="1:2" hidden="1">
      <c r="A2440" s="154"/>
      <c r="B2440" s="155"/>
    </row>
    <row r="2441" spans="1:2" hidden="1">
      <c r="A2441" s="154"/>
      <c r="B2441" s="155"/>
    </row>
    <row r="2442" spans="1:2" hidden="1">
      <c r="A2442" s="154"/>
      <c r="B2442" s="155"/>
    </row>
    <row r="2443" spans="1:2" hidden="1">
      <c r="A2443" s="154"/>
      <c r="B2443" s="155"/>
    </row>
    <row r="2444" spans="1:2" hidden="1">
      <c r="A2444" s="154"/>
      <c r="B2444" s="155"/>
    </row>
    <row r="2445" spans="1:2" hidden="1">
      <c r="A2445" s="154"/>
      <c r="B2445" s="155"/>
    </row>
    <row r="2446" spans="1:2" hidden="1">
      <c r="A2446" s="154"/>
      <c r="B2446" s="155"/>
    </row>
    <row r="2447" spans="1:2" hidden="1">
      <c r="A2447" s="154"/>
      <c r="B2447" s="155"/>
    </row>
    <row r="2448" spans="1:2" hidden="1">
      <c r="A2448" s="154"/>
      <c r="B2448" s="155"/>
    </row>
    <row r="2449" spans="1:2" hidden="1">
      <c r="A2449" s="154"/>
      <c r="B2449" s="155"/>
    </row>
    <row r="2450" spans="1:2" hidden="1">
      <c r="A2450" s="154"/>
      <c r="B2450" s="155"/>
    </row>
    <row r="2451" spans="1:2" hidden="1">
      <c r="A2451" s="154"/>
      <c r="B2451" s="155"/>
    </row>
    <row r="2452" spans="1:2" hidden="1">
      <c r="A2452" s="154"/>
      <c r="B2452" s="155"/>
    </row>
    <row r="2453" spans="1:2" hidden="1">
      <c r="A2453" s="154"/>
      <c r="B2453" s="155"/>
    </row>
    <row r="2454" spans="1:2" hidden="1">
      <c r="A2454" s="154"/>
      <c r="B2454" s="155"/>
    </row>
    <row r="2455" spans="1:2" hidden="1">
      <c r="A2455" s="154"/>
      <c r="B2455" s="155"/>
    </row>
    <row r="2456" spans="1:2" hidden="1">
      <c r="A2456" s="154"/>
      <c r="B2456" s="155"/>
    </row>
    <row r="2457" spans="1:2" hidden="1">
      <c r="A2457" s="154"/>
      <c r="B2457" s="155"/>
    </row>
    <row r="2458" spans="1:2" hidden="1">
      <c r="A2458" s="154"/>
      <c r="B2458" s="155"/>
    </row>
    <row r="2459" spans="1:2" hidden="1">
      <c r="A2459" s="154"/>
      <c r="B2459" s="155"/>
    </row>
    <row r="2460" spans="1:2" hidden="1">
      <c r="A2460" s="154"/>
      <c r="B2460" s="155"/>
    </row>
    <row r="2461" spans="1:2" hidden="1">
      <c r="A2461" s="154"/>
      <c r="B2461" s="155"/>
    </row>
    <row r="2462" spans="1:2" hidden="1">
      <c r="A2462" s="154"/>
      <c r="B2462" s="155"/>
    </row>
    <row r="2463" spans="1:2" hidden="1">
      <c r="A2463" s="154"/>
      <c r="B2463" s="155"/>
    </row>
    <row r="2464" spans="1:2" hidden="1">
      <c r="A2464" s="154"/>
      <c r="B2464" s="155"/>
    </row>
    <row r="2465" spans="1:2" hidden="1">
      <c r="A2465" s="154"/>
      <c r="B2465" s="155"/>
    </row>
    <row r="2466" spans="1:2" hidden="1">
      <c r="A2466" s="154"/>
      <c r="B2466" s="155"/>
    </row>
    <row r="2467" spans="1:2" hidden="1">
      <c r="A2467" s="154"/>
      <c r="B2467" s="155"/>
    </row>
    <row r="2468" spans="1:2" hidden="1">
      <c r="A2468" s="154"/>
      <c r="B2468" s="155"/>
    </row>
    <row r="2469" spans="1:2" hidden="1">
      <c r="A2469" s="154"/>
      <c r="B2469" s="155"/>
    </row>
    <row r="2470" spans="1:2" hidden="1">
      <c r="A2470" s="154"/>
      <c r="B2470" s="155"/>
    </row>
    <row r="2471" spans="1:2" hidden="1">
      <c r="A2471" s="154"/>
      <c r="B2471" s="155"/>
    </row>
    <row r="2472" spans="1:2" hidden="1">
      <c r="A2472" s="154"/>
      <c r="B2472" s="155"/>
    </row>
    <row r="2473" spans="1:2" hidden="1">
      <c r="A2473" s="154"/>
      <c r="B2473" s="155"/>
    </row>
    <row r="2474" spans="1:2" hidden="1">
      <c r="A2474" s="154"/>
      <c r="B2474" s="155"/>
    </row>
    <row r="2475" spans="1:2" hidden="1">
      <c r="A2475" s="154"/>
      <c r="B2475" s="155"/>
    </row>
    <row r="2476" spans="1:2" hidden="1">
      <c r="A2476" s="154"/>
      <c r="B2476" s="155"/>
    </row>
    <row r="2477" spans="1:2" hidden="1">
      <c r="A2477" s="154"/>
      <c r="B2477" s="155"/>
    </row>
    <row r="2478" spans="1:2" hidden="1">
      <c r="A2478" s="154"/>
      <c r="B2478" s="155"/>
    </row>
    <row r="2479" spans="1:2" hidden="1">
      <c r="A2479" s="154"/>
      <c r="B2479" s="155"/>
    </row>
    <row r="2480" spans="1:2" hidden="1">
      <c r="A2480" s="154"/>
      <c r="B2480" s="155"/>
    </row>
    <row r="2481" spans="1:2" hidden="1">
      <c r="A2481" s="154"/>
      <c r="B2481" s="155"/>
    </row>
    <row r="2482" spans="1:2" hidden="1">
      <c r="A2482" s="154"/>
      <c r="B2482" s="155"/>
    </row>
    <row r="2483" spans="1:2" hidden="1">
      <c r="A2483" s="154"/>
      <c r="B2483" s="155"/>
    </row>
    <row r="2484" spans="1:2" hidden="1">
      <c r="A2484" s="154"/>
      <c r="B2484" s="155"/>
    </row>
    <row r="2485" spans="1:2" hidden="1">
      <c r="A2485" s="154"/>
      <c r="B2485" s="155"/>
    </row>
    <row r="2486" spans="1:2" hidden="1">
      <c r="A2486" s="154"/>
      <c r="B2486" s="155"/>
    </row>
    <row r="2487" spans="1:2" hidden="1">
      <c r="A2487" s="154"/>
      <c r="B2487" s="155"/>
    </row>
    <row r="2488" spans="1:2" hidden="1">
      <c r="A2488" s="154"/>
      <c r="B2488" s="155"/>
    </row>
    <row r="2489" spans="1:2" hidden="1">
      <c r="A2489" s="154"/>
      <c r="B2489" s="155"/>
    </row>
    <row r="2490" spans="1:2" hidden="1">
      <c r="A2490" s="154"/>
      <c r="B2490" s="155"/>
    </row>
    <row r="2491" spans="1:2" hidden="1">
      <c r="A2491" s="154"/>
      <c r="B2491" s="155"/>
    </row>
    <row r="2492" spans="1:2" hidden="1">
      <c r="A2492" s="154"/>
      <c r="B2492" s="155"/>
    </row>
    <row r="2493" spans="1:2" hidden="1">
      <c r="A2493" s="154"/>
      <c r="B2493" s="155"/>
    </row>
    <row r="2494" spans="1:2" hidden="1">
      <c r="A2494" s="154"/>
      <c r="B2494" s="155"/>
    </row>
    <row r="2495" spans="1:2" hidden="1">
      <c r="A2495" s="154"/>
      <c r="B2495" s="155"/>
    </row>
    <row r="2496" spans="1:2" hidden="1">
      <c r="A2496" s="154"/>
      <c r="B2496" s="155"/>
    </row>
    <row r="2497" spans="1:2" hidden="1">
      <c r="A2497" s="154"/>
      <c r="B2497" s="155"/>
    </row>
    <row r="2498" spans="1:2" hidden="1">
      <c r="A2498" s="154"/>
      <c r="B2498" s="155"/>
    </row>
    <row r="2499" spans="1:2" hidden="1">
      <c r="A2499" s="154"/>
      <c r="B2499" s="155"/>
    </row>
    <row r="2500" spans="1:2" hidden="1">
      <c r="A2500" s="154"/>
      <c r="B2500" s="155"/>
    </row>
    <row r="2501" spans="1:2" hidden="1">
      <c r="A2501" s="154"/>
      <c r="B2501" s="155"/>
    </row>
    <row r="2502" spans="1:2" hidden="1">
      <c r="A2502" s="154"/>
      <c r="B2502" s="155"/>
    </row>
    <row r="2503" spans="1:2" hidden="1">
      <c r="A2503" s="154"/>
      <c r="B2503" s="155"/>
    </row>
    <row r="2504" spans="1:2" hidden="1">
      <c r="A2504" s="154"/>
      <c r="B2504" s="155"/>
    </row>
    <row r="2505" spans="1:2" hidden="1">
      <c r="A2505" s="154"/>
      <c r="B2505" s="155"/>
    </row>
    <row r="2506" spans="1:2" hidden="1">
      <c r="A2506" s="154"/>
      <c r="B2506" s="155"/>
    </row>
    <row r="2507" spans="1:2" hidden="1">
      <c r="A2507" s="154"/>
      <c r="B2507" s="155"/>
    </row>
    <row r="2508" spans="1:2" hidden="1">
      <c r="A2508" s="154"/>
      <c r="B2508" s="155"/>
    </row>
    <row r="2509" spans="1:2" hidden="1">
      <c r="A2509" s="154"/>
      <c r="B2509" s="155"/>
    </row>
    <row r="2510" spans="1:2" hidden="1">
      <c r="A2510" s="154"/>
      <c r="B2510" s="155"/>
    </row>
    <row r="2511" spans="1:2" hidden="1">
      <c r="A2511" s="154"/>
      <c r="B2511" s="155"/>
    </row>
    <row r="2512" spans="1:2" hidden="1">
      <c r="A2512" s="154"/>
      <c r="B2512" s="155"/>
    </row>
    <row r="2513" spans="1:2" hidden="1">
      <c r="A2513" s="154"/>
      <c r="B2513" s="155"/>
    </row>
    <row r="2514" spans="1:2" hidden="1">
      <c r="A2514" s="154"/>
      <c r="B2514" s="155"/>
    </row>
    <row r="2515" spans="1:2" hidden="1">
      <c r="A2515" s="154"/>
      <c r="B2515" s="155"/>
    </row>
    <row r="2516" spans="1:2" hidden="1">
      <c r="A2516" s="154"/>
      <c r="B2516" s="155"/>
    </row>
    <row r="2517" spans="1:2" hidden="1">
      <c r="A2517" s="154"/>
      <c r="B2517" s="155"/>
    </row>
    <row r="2518" spans="1:2" hidden="1">
      <c r="A2518" s="154"/>
      <c r="B2518" s="155"/>
    </row>
    <row r="2519" spans="1:2" hidden="1">
      <c r="A2519" s="154"/>
      <c r="B2519" s="155"/>
    </row>
    <row r="2520" spans="1:2" hidden="1">
      <c r="A2520" s="154"/>
      <c r="B2520" s="155"/>
    </row>
    <row r="2521" spans="1:2" hidden="1">
      <c r="A2521" s="154"/>
      <c r="B2521" s="155"/>
    </row>
    <row r="2522" spans="1:2" hidden="1">
      <c r="A2522" s="154"/>
      <c r="B2522" s="155"/>
    </row>
    <row r="2523" spans="1:2" hidden="1">
      <c r="A2523" s="154"/>
      <c r="B2523" s="155"/>
    </row>
    <row r="2524" spans="1:2" hidden="1">
      <c r="A2524" s="154"/>
      <c r="B2524" s="155"/>
    </row>
    <row r="2525" spans="1:2" hidden="1">
      <c r="A2525" s="154"/>
      <c r="B2525" s="155"/>
    </row>
    <row r="2526" spans="1:2" hidden="1">
      <c r="A2526" s="154"/>
      <c r="B2526" s="155"/>
    </row>
    <row r="2527" spans="1:2" hidden="1">
      <c r="A2527" s="154"/>
      <c r="B2527" s="155"/>
    </row>
    <row r="2528" spans="1:2" hidden="1">
      <c r="A2528" s="154"/>
      <c r="B2528" s="155"/>
    </row>
    <row r="2529" spans="1:2" hidden="1">
      <c r="A2529" s="154"/>
      <c r="B2529" s="155"/>
    </row>
    <row r="2530" spans="1:2" hidden="1">
      <c r="A2530" s="154"/>
      <c r="B2530" s="155"/>
    </row>
    <row r="2531" spans="1:2" hidden="1">
      <c r="A2531" s="154"/>
      <c r="B2531" s="155"/>
    </row>
    <row r="2532" spans="1:2" hidden="1">
      <c r="A2532" s="154"/>
      <c r="B2532" s="155"/>
    </row>
    <row r="2533" spans="1:2" hidden="1">
      <c r="A2533" s="154"/>
      <c r="B2533" s="155"/>
    </row>
    <row r="2534" spans="1:2" hidden="1">
      <c r="A2534" s="154"/>
      <c r="B2534" s="155"/>
    </row>
    <row r="2535" spans="1:2" hidden="1">
      <c r="A2535" s="154"/>
      <c r="B2535" s="155"/>
    </row>
    <row r="2536" spans="1:2" hidden="1">
      <c r="A2536" s="154"/>
      <c r="B2536" s="155"/>
    </row>
    <row r="2537" spans="1:2" hidden="1">
      <c r="A2537" s="154"/>
      <c r="B2537" s="155"/>
    </row>
    <row r="2538" spans="1:2" hidden="1">
      <c r="A2538" s="154"/>
      <c r="B2538" s="155"/>
    </row>
    <row r="2539" spans="1:2" hidden="1">
      <c r="A2539" s="154"/>
      <c r="B2539" s="155"/>
    </row>
    <row r="2540" spans="1:2" hidden="1">
      <c r="A2540" s="154"/>
      <c r="B2540" s="155"/>
    </row>
    <row r="2541" spans="1:2" hidden="1">
      <c r="A2541" s="154"/>
      <c r="B2541" s="155"/>
    </row>
    <row r="2542" spans="1:2" hidden="1">
      <c r="A2542" s="154"/>
      <c r="B2542" s="155"/>
    </row>
    <row r="2543" spans="1:2" hidden="1">
      <c r="A2543" s="154"/>
      <c r="B2543" s="155"/>
    </row>
    <row r="2544" spans="1:2" hidden="1">
      <c r="A2544" s="154"/>
      <c r="B2544" s="155"/>
    </row>
    <row r="2545" spans="1:2" hidden="1">
      <c r="A2545" s="154"/>
      <c r="B2545" s="155"/>
    </row>
    <row r="2546" spans="1:2" hidden="1">
      <c r="A2546" s="154"/>
      <c r="B2546" s="155"/>
    </row>
    <row r="2547" spans="1:2" hidden="1">
      <c r="A2547" s="154"/>
      <c r="B2547" s="155"/>
    </row>
    <row r="2548" spans="1:2" hidden="1">
      <c r="A2548" s="154"/>
      <c r="B2548" s="155"/>
    </row>
    <row r="2549" spans="1:2" hidden="1">
      <c r="A2549" s="154"/>
      <c r="B2549" s="155"/>
    </row>
    <row r="2550" spans="1:2" hidden="1">
      <c r="A2550" s="154"/>
      <c r="B2550" s="155"/>
    </row>
    <row r="2551" spans="1:2" hidden="1">
      <c r="A2551" s="154"/>
      <c r="B2551" s="155"/>
    </row>
    <row r="2552" spans="1:2" hidden="1">
      <c r="A2552" s="154"/>
      <c r="B2552" s="155"/>
    </row>
    <row r="2553" spans="1:2" hidden="1">
      <c r="A2553" s="154"/>
      <c r="B2553" s="155"/>
    </row>
    <row r="2554" spans="1:2" hidden="1">
      <c r="A2554" s="154"/>
      <c r="B2554" s="155"/>
    </row>
    <row r="2555" spans="1:2" hidden="1">
      <c r="A2555" s="154"/>
      <c r="B2555" s="155"/>
    </row>
    <row r="2556" spans="1:2" hidden="1">
      <c r="A2556" s="154"/>
      <c r="B2556" s="155"/>
    </row>
    <row r="2557" spans="1:2" hidden="1">
      <c r="A2557" s="154"/>
      <c r="B2557" s="155"/>
    </row>
    <row r="2558" spans="1:2" hidden="1">
      <c r="A2558" s="154"/>
      <c r="B2558" s="155"/>
    </row>
    <row r="2559" spans="1:2" hidden="1">
      <c r="A2559" s="154"/>
      <c r="B2559" s="155"/>
    </row>
    <row r="2560" spans="1:2" hidden="1">
      <c r="A2560" s="154"/>
      <c r="B2560" s="155"/>
    </row>
    <row r="2561" spans="1:2" hidden="1">
      <c r="A2561" s="154"/>
      <c r="B2561" s="155"/>
    </row>
    <row r="2562" spans="1:2" hidden="1">
      <c r="A2562" s="154"/>
      <c r="B2562" s="155"/>
    </row>
    <row r="2563" spans="1:2" hidden="1">
      <c r="A2563" s="154"/>
      <c r="B2563" s="155"/>
    </row>
    <row r="2564" spans="1:2" hidden="1">
      <c r="A2564" s="154"/>
      <c r="B2564" s="155"/>
    </row>
    <row r="2565" spans="1:2" hidden="1">
      <c r="A2565" s="154"/>
      <c r="B2565" s="155"/>
    </row>
    <row r="2566" spans="1:2" hidden="1">
      <c r="A2566" s="154"/>
      <c r="B2566" s="155"/>
    </row>
    <row r="2567" spans="1:2" hidden="1">
      <c r="A2567" s="154"/>
      <c r="B2567" s="155"/>
    </row>
    <row r="2568" spans="1:2" hidden="1">
      <c r="A2568" s="154"/>
      <c r="B2568" s="155"/>
    </row>
    <row r="2569" spans="1:2" hidden="1">
      <c r="A2569" s="154"/>
      <c r="B2569" s="155"/>
    </row>
    <row r="2570" spans="1:2" hidden="1">
      <c r="A2570" s="154"/>
      <c r="B2570" s="155"/>
    </row>
    <row r="2571" spans="1:2" hidden="1">
      <c r="A2571" s="154"/>
      <c r="B2571" s="155"/>
    </row>
    <row r="2572" spans="1:2" hidden="1">
      <c r="A2572" s="154"/>
      <c r="B2572" s="155"/>
    </row>
    <row r="2573" spans="1:2" hidden="1">
      <c r="A2573" s="154"/>
      <c r="B2573" s="155"/>
    </row>
    <row r="2574" spans="1:2" hidden="1">
      <c r="A2574" s="154"/>
      <c r="B2574" s="155"/>
    </row>
    <row r="2575" spans="1:2" hidden="1">
      <c r="A2575" s="154"/>
      <c r="B2575" s="155"/>
    </row>
    <row r="2576" spans="1:2" hidden="1">
      <c r="A2576" s="154"/>
      <c r="B2576" s="155"/>
    </row>
    <row r="2577" spans="1:2" hidden="1">
      <c r="A2577" s="154"/>
      <c r="B2577" s="155"/>
    </row>
    <row r="2578" spans="1:2" hidden="1">
      <c r="A2578" s="154"/>
      <c r="B2578" s="155"/>
    </row>
    <row r="2579" spans="1:2" hidden="1">
      <c r="A2579" s="154"/>
      <c r="B2579" s="155"/>
    </row>
    <row r="2580" spans="1:2" hidden="1">
      <c r="A2580" s="154"/>
      <c r="B2580" s="155"/>
    </row>
    <row r="2581" spans="1:2" hidden="1">
      <c r="A2581" s="154"/>
      <c r="B2581" s="155"/>
    </row>
    <row r="2582" spans="1:2" hidden="1">
      <c r="A2582" s="154"/>
      <c r="B2582" s="155"/>
    </row>
    <row r="2583" spans="1:2" hidden="1">
      <c r="A2583" s="154"/>
      <c r="B2583" s="155"/>
    </row>
    <row r="2584" spans="1:2" hidden="1">
      <c r="A2584" s="154"/>
      <c r="B2584" s="155"/>
    </row>
    <row r="2585" spans="1:2" hidden="1">
      <c r="A2585" s="154"/>
      <c r="B2585" s="155"/>
    </row>
    <row r="2586" spans="1:2" hidden="1">
      <c r="A2586" s="154"/>
      <c r="B2586" s="155"/>
    </row>
    <row r="2587" spans="1:2" hidden="1">
      <c r="A2587" s="154"/>
      <c r="B2587" s="155"/>
    </row>
    <row r="2588" spans="1:2" hidden="1">
      <c r="A2588" s="154"/>
      <c r="B2588" s="155"/>
    </row>
    <row r="2589" spans="1:2" hidden="1">
      <c r="A2589" s="154"/>
      <c r="B2589" s="155"/>
    </row>
    <row r="2590" spans="1:2" hidden="1">
      <c r="A2590" s="154"/>
      <c r="B2590" s="155"/>
    </row>
    <row r="2591" spans="1:2" hidden="1">
      <c r="A2591" s="154"/>
      <c r="B2591" s="155"/>
    </row>
    <row r="2592" spans="1:2" hidden="1">
      <c r="A2592" s="154"/>
      <c r="B2592" s="155"/>
    </row>
    <row r="2593" spans="1:2" hidden="1">
      <c r="A2593" s="154"/>
      <c r="B2593" s="155"/>
    </row>
    <row r="2594" spans="1:2" hidden="1">
      <c r="A2594" s="154"/>
      <c r="B2594" s="155"/>
    </row>
    <row r="2595" spans="1:2" hidden="1">
      <c r="A2595" s="154"/>
      <c r="B2595" s="155"/>
    </row>
    <row r="2596" spans="1:2" hidden="1">
      <c r="A2596" s="154"/>
      <c r="B2596" s="155"/>
    </row>
    <row r="2597" spans="1:2" hidden="1">
      <c r="A2597" s="154"/>
      <c r="B2597" s="155"/>
    </row>
    <row r="2598" spans="1:2" hidden="1">
      <c r="A2598" s="154"/>
      <c r="B2598" s="155"/>
    </row>
    <row r="2599" spans="1:2" hidden="1">
      <c r="A2599" s="154"/>
      <c r="B2599" s="155"/>
    </row>
    <row r="2600" spans="1:2" hidden="1">
      <c r="A2600" s="154"/>
      <c r="B2600" s="155"/>
    </row>
    <row r="2601" spans="1:2" hidden="1">
      <c r="A2601" s="154"/>
      <c r="B2601" s="155"/>
    </row>
    <row r="2602" spans="1:2" hidden="1">
      <c r="A2602" s="154"/>
      <c r="B2602" s="155"/>
    </row>
    <row r="2603" spans="1:2" hidden="1">
      <c r="A2603" s="154"/>
      <c r="B2603" s="155"/>
    </row>
    <row r="2604" spans="1:2" hidden="1">
      <c r="A2604" s="154"/>
      <c r="B2604" s="155"/>
    </row>
    <row r="2605" spans="1:2" hidden="1">
      <c r="A2605" s="154"/>
      <c r="B2605" s="155"/>
    </row>
    <row r="2606" spans="1:2" hidden="1">
      <c r="A2606" s="154"/>
      <c r="B2606" s="155"/>
    </row>
    <row r="2607" spans="1:2" hidden="1">
      <c r="A2607" s="154"/>
      <c r="B2607" s="155"/>
    </row>
    <row r="2608" spans="1:2" hidden="1">
      <c r="A2608" s="154"/>
      <c r="B2608" s="155"/>
    </row>
    <row r="2609" spans="1:2" hidden="1">
      <c r="A2609" s="154"/>
      <c r="B2609" s="155"/>
    </row>
    <row r="2610" spans="1:2" hidden="1">
      <c r="A2610" s="154"/>
      <c r="B2610" s="155"/>
    </row>
    <row r="2611" spans="1:2" hidden="1">
      <c r="A2611" s="154"/>
      <c r="B2611" s="155"/>
    </row>
    <row r="2612" spans="1:2" hidden="1">
      <c r="A2612" s="154"/>
      <c r="B2612" s="155"/>
    </row>
    <row r="2613" spans="1:2" hidden="1">
      <c r="A2613" s="154"/>
      <c r="B2613" s="155"/>
    </row>
    <row r="2614" spans="1:2" hidden="1">
      <c r="A2614" s="154"/>
      <c r="B2614" s="155"/>
    </row>
    <row r="2615" spans="1:2" hidden="1">
      <c r="A2615" s="154"/>
      <c r="B2615" s="155"/>
    </row>
    <row r="2616" spans="1:2" hidden="1">
      <c r="A2616" s="154"/>
      <c r="B2616" s="155"/>
    </row>
    <row r="2617" spans="1:2" hidden="1">
      <c r="A2617" s="154"/>
      <c r="B2617" s="155"/>
    </row>
    <row r="2618" spans="1:2" hidden="1">
      <c r="A2618" s="154"/>
      <c r="B2618" s="155"/>
    </row>
    <row r="2619" spans="1:2" hidden="1">
      <c r="A2619" s="154"/>
      <c r="B2619" s="155"/>
    </row>
    <row r="2620" spans="1:2" hidden="1">
      <c r="A2620" s="154"/>
      <c r="B2620" s="155"/>
    </row>
    <row r="2621" spans="1:2" hidden="1">
      <c r="A2621" s="154"/>
      <c r="B2621" s="155"/>
    </row>
    <row r="2622" spans="1:2" hidden="1">
      <c r="A2622" s="154"/>
      <c r="B2622" s="155"/>
    </row>
    <row r="2623" spans="1:2" hidden="1">
      <c r="A2623" s="154"/>
      <c r="B2623" s="155"/>
    </row>
    <row r="2624" spans="1:2" hidden="1">
      <c r="A2624" s="154"/>
      <c r="B2624" s="155"/>
    </row>
    <row r="2625" spans="1:2" hidden="1">
      <c r="A2625" s="154"/>
      <c r="B2625" s="155"/>
    </row>
    <row r="2626" spans="1:2" hidden="1">
      <c r="A2626" s="154"/>
      <c r="B2626" s="155"/>
    </row>
    <row r="2627" spans="1:2" hidden="1">
      <c r="A2627" s="154"/>
      <c r="B2627" s="155"/>
    </row>
    <row r="2628" spans="1:2" hidden="1">
      <c r="A2628" s="154"/>
      <c r="B2628" s="155"/>
    </row>
    <row r="2629" spans="1:2" hidden="1">
      <c r="A2629" s="154"/>
      <c r="B2629" s="155"/>
    </row>
    <row r="2630" spans="1:2" hidden="1">
      <c r="A2630" s="154"/>
      <c r="B2630" s="155"/>
    </row>
    <row r="2631" spans="1:2" hidden="1">
      <c r="A2631" s="154"/>
      <c r="B2631" s="155"/>
    </row>
    <row r="2632" spans="1:2" hidden="1">
      <c r="A2632" s="154"/>
      <c r="B2632" s="155"/>
    </row>
    <row r="2633" spans="1:2" hidden="1">
      <c r="A2633" s="154"/>
      <c r="B2633" s="155"/>
    </row>
    <row r="2634" spans="1:2" hidden="1">
      <c r="A2634" s="154"/>
      <c r="B2634" s="155"/>
    </row>
    <row r="2635" spans="1:2" hidden="1">
      <c r="A2635" s="154"/>
      <c r="B2635" s="155"/>
    </row>
    <row r="2636" spans="1:2" hidden="1">
      <c r="A2636" s="154"/>
      <c r="B2636" s="155"/>
    </row>
    <row r="2637" spans="1:2" hidden="1">
      <c r="A2637" s="154"/>
      <c r="B2637" s="155"/>
    </row>
    <row r="2638" spans="1:2" hidden="1">
      <c r="A2638" s="154"/>
      <c r="B2638" s="155"/>
    </row>
    <row r="2639" spans="1:2" hidden="1">
      <c r="A2639" s="154"/>
      <c r="B2639" s="155"/>
    </row>
    <row r="2640" spans="1:2" hidden="1">
      <c r="A2640" s="154"/>
      <c r="B2640" s="155"/>
    </row>
    <row r="2641" spans="1:2" hidden="1">
      <c r="A2641" s="154"/>
      <c r="B2641" s="155"/>
    </row>
    <row r="2642" spans="1:2" hidden="1">
      <c r="A2642" s="154"/>
      <c r="B2642" s="155"/>
    </row>
    <row r="2643" spans="1:2" hidden="1">
      <c r="A2643" s="154"/>
      <c r="B2643" s="155"/>
    </row>
    <row r="2644" spans="1:2" hidden="1">
      <c r="A2644" s="154"/>
      <c r="B2644" s="155"/>
    </row>
    <row r="2645" spans="1:2" hidden="1">
      <c r="A2645" s="154"/>
      <c r="B2645" s="155"/>
    </row>
    <row r="2646" spans="1:2" hidden="1">
      <c r="A2646" s="154"/>
      <c r="B2646" s="155"/>
    </row>
    <row r="2647" spans="1:2" hidden="1">
      <c r="A2647" s="154"/>
      <c r="B2647" s="155"/>
    </row>
    <row r="2648" spans="1:2" hidden="1">
      <c r="A2648" s="154"/>
      <c r="B2648" s="155"/>
    </row>
    <row r="2649" spans="1:2" hidden="1">
      <c r="A2649" s="154"/>
      <c r="B2649" s="155"/>
    </row>
    <row r="2650" spans="1:2" hidden="1">
      <c r="A2650" s="154"/>
      <c r="B2650" s="155"/>
    </row>
    <row r="2651" spans="1:2" hidden="1">
      <c r="A2651" s="154"/>
      <c r="B2651" s="155"/>
    </row>
    <row r="2652" spans="1:2" hidden="1">
      <c r="A2652" s="154"/>
      <c r="B2652" s="155"/>
    </row>
    <row r="2653" spans="1:2" hidden="1">
      <c r="A2653" s="154"/>
      <c r="B2653" s="155"/>
    </row>
    <row r="2654" spans="1:2" hidden="1">
      <c r="A2654" s="154"/>
      <c r="B2654" s="155"/>
    </row>
    <row r="2655" spans="1:2" hidden="1">
      <c r="A2655" s="154"/>
      <c r="B2655" s="155"/>
    </row>
    <row r="2656" spans="1:2" hidden="1">
      <c r="A2656" s="154"/>
      <c r="B2656" s="155"/>
    </row>
    <row r="2657" spans="1:2" hidden="1">
      <c r="A2657" s="154"/>
      <c r="B2657" s="155"/>
    </row>
    <row r="2658" spans="1:2" hidden="1">
      <c r="A2658" s="154"/>
      <c r="B2658" s="155"/>
    </row>
    <row r="2659" spans="1:2" hidden="1">
      <c r="A2659" s="154"/>
      <c r="B2659" s="155"/>
    </row>
    <row r="2660" spans="1:2" hidden="1">
      <c r="A2660" s="154"/>
      <c r="B2660" s="155"/>
    </row>
    <row r="2661" spans="1:2" hidden="1">
      <c r="A2661" s="154"/>
      <c r="B2661" s="155"/>
    </row>
    <row r="2662" spans="1:2" hidden="1">
      <c r="A2662" s="154"/>
      <c r="B2662" s="155"/>
    </row>
    <row r="2663" spans="1:2" hidden="1">
      <c r="A2663" s="154"/>
      <c r="B2663" s="155"/>
    </row>
    <row r="2664" spans="1:2" hidden="1">
      <c r="A2664" s="154"/>
      <c r="B2664" s="155"/>
    </row>
    <row r="2665" spans="1:2" hidden="1">
      <c r="A2665" s="154"/>
      <c r="B2665" s="155"/>
    </row>
    <row r="2666" spans="1:2" hidden="1">
      <c r="A2666" s="154"/>
      <c r="B2666" s="155"/>
    </row>
    <row r="2667" spans="1:2" hidden="1">
      <c r="A2667" s="154"/>
      <c r="B2667" s="155"/>
    </row>
    <row r="2668" spans="1:2" hidden="1">
      <c r="A2668" s="154"/>
      <c r="B2668" s="155"/>
    </row>
    <row r="2669" spans="1:2" hidden="1">
      <c r="A2669" s="154"/>
      <c r="B2669" s="155"/>
    </row>
    <row r="2670" spans="1:2" hidden="1">
      <c r="A2670" s="154"/>
      <c r="B2670" s="155"/>
    </row>
    <row r="2671" spans="1:2" hidden="1">
      <c r="A2671" s="154"/>
      <c r="B2671" s="155"/>
    </row>
    <row r="2672" spans="1:2" hidden="1">
      <c r="A2672" s="154"/>
      <c r="B2672" s="155"/>
    </row>
    <row r="2673" spans="1:2" hidden="1">
      <c r="A2673" s="154"/>
      <c r="B2673" s="155"/>
    </row>
    <row r="2674" spans="1:2" hidden="1">
      <c r="A2674" s="154"/>
      <c r="B2674" s="155"/>
    </row>
    <row r="2675" spans="1:2" hidden="1">
      <c r="A2675" s="154"/>
      <c r="B2675" s="155"/>
    </row>
    <row r="2676" spans="1:2" hidden="1">
      <c r="A2676" s="154"/>
      <c r="B2676" s="155"/>
    </row>
    <row r="2677" spans="1:2" hidden="1">
      <c r="A2677" s="154"/>
      <c r="B2677" s="155"/>
    </row>
    <row r="2678" spans="1:2" hidden="1">
      <c r="A2678" s="154"/>
      <c r="B2678" s="155"/>
    </row>
    <row r="2679" spans="1:2" hidden="1">
      <c r="A2679" s="154"/>
      <c r="B2679" s="155"/>
    </row>
    <row r="2680" spans="1:2" hidden="1">
      <c r="A2680" s="154"/>
      <c r="B2680" s="155"/>
    </row>
    <row r="2681" spans="1:2" hidden="1">
      <c r="A2681" s="154"/>
      <c r="B2681" s="155"/>
    </row>
    <row r="2682" spans="1:2" hidden="1">
      <c r="A2682" s="154"/>
      <c r="B2682" s="155"/>
    </row>
    <row r="2683" spans="1:2" hidden="1">
      <c r="A2683" s="154"/>
      <c r="B2683" s="155"/>
    </row>
    <row r="2684" spans="1:2" hidden="1">
      <c r="A2684" s="154"/>
      <c r="B2684" s="155"/>
    </row>
    <row r="2685" spans="1:2" hidden="1">
      <c r="A2685" s="154"/>
      <c r="B2685" s="155"/>
    </row>
    <row r="2686" spans="1:2" hidden="1">
      <c r="A2686" s="154"/>
      <c r="B2686" s="155"/>
    </row>
    <row r="2687" spans="1:2" hidden="1">
      <c r="A2687" s="154"/>
      <c r="B2687" s="155"/>
    </row>
    <row r="2688" spans="1:2" hidden="1">
      <c r="A2688" s="154"/>
      <c r="B2688" s="155"/>
    </row>
    <row r="2689" spans="1:2" hidden="1">
      <c r="A2689" s="154"/>
      <c r="B2689" s="155"/>
    </row>
    <row r="2690" spans="1:2" hidden="1">
      <c r="A2690" s="154"/>
      <c r="B2690" s="155"/>
    </row>
    <row r="2691" spans="1:2" hidden="1">
      <c r="A2691" s="154"/>
      <c r="B2691" s="155"/>
    </row>
    <row r="2692" spans="1:2" hidden="1">
      <c r="A2692" s="154"/>
      <c r="B2692" s="155"/>
    </row>
    <row r="2693" spans="1:2" hidden="1">
      <c r="A2693" s="154"/>
      <c r="B2693" s="155"/>
    </row>
    <row r="2694" spans="1:2" hidden="1">
      <c r="A2694" s="154"/>
      <c r="B2694" s="155"/>
    </row>
    <row r="2695" spans="1:2" hidden="1">
      <c r="A2695" s="154"/>
      <c r="B2695" s="155"/>
    </row>
    <row r="2696" spans="1:2" hidden="1">
      <c r="A2696" s="154"/>
      <c r="B2696" s="155"/>
    </row>
    <row r="2697" spans="1:2" hidden="1">
      <c r="A2697" s="154"/>
      <c r="B2697" s="155"/>
    </row>
    <row r="2698" spans="1:2" hidden="1">
      <c r="A2698" s="154"/>
      <c r="B2698" s="155"/>
    </row>
    <row r="2699" spans="1:2" hidden="1">
      <c r="A2699" s="154"/>
      <c r="B2699" s="155"/>
    </row>
    <row r="2700" spans="1:2" hidden="1">
      <c r="A2700" s="154"/>
      <c r="B2700" s="155"/>
    </row>
    <row r="2701" spans="1:2" hidden="1">
      <c r="A2701" s="154"/>
      <c r="B2701" s="155"/>
    </row>
    <row r="2702" spans="1:2" hidden="1">
      <c r="A2702" s="154"/>
      <c r="B2702" s="155"/>
    </row>
    <row r="2703" spans="1:2" hidden="1">
      <c r="A2703" s="154"/>
      <c r="B2703" s="155"/>
    </row>
    <row r="2704" spans="1:2" hidden="1">
      <c r="A2704" s="154"/>
      <c r="B2704" s="155"/>
    </row>
    <row r="2705" spans="1:2" hidden="1">
      <c r="A2705" s="154"/>
      <c r="B2705" s="155"/>
    </row>
    <row r="2706" spans="1:2" hidden="1">
      <c r="A2706" s="154"/>
      <c r="B2706" s="155"/>
    </row>
    <row r="2707" spans="1:2" hidden="1">
      <c r="A2707" s="154"/>
      <c r="B2707" s="155"/>
    </row>
    <row r="2708" spans="1:2" hidden="1">
      <c r="A2708" s="154"/>
      <c r="B2708" s="155"/>
    </row>
    <row r="2709" spans="1:2" hidden="1">
      <c r="A2709" s="154"/>
      <c r="B2709" s="155"/>
    </row>
    <row r="2710" spans="1:2" hidden="1">
      <c r="A2710" s="154"/>
      <c r="B2710" s="155"/>
    </row>
    <row r="2711" spans="1:2" hidden="1">
      <c r="A2711" s="154"/>
      <c r="B2711" s="155"/>
    </row>
    <row r="2712" spans="1:2" hidden="1">
      <c r="A2712" s="154"/>
      <c r="B2712" s="155"/>
    </row>
    <row r="2713" spans="1:2" hidden="1">
      <c r="A2713" s="154"/>
      <c r="B2713" s="155"/>
    </row>
    <row r="2714" spans="1:2" hidden="1">
      <c r="A2714" s="154"/>
      <c r="B2714" s="155"/>
    </row>
    <row r="2715" spans="1:2" hidden="1">
      <c r="A2715" s="154"/>
      <c r="B2715" s="155"/>
    </row>
    <row r="2716" spans="1:2" hidden="1">
      <c r="A2716" s="154"/>
      <c r="B2716" s="155"/>
    </row>
    <row r="2717" spans="1:2" hidden="1">
      <c r="A2717" s="154"/>
      <c r="B2717" s="155"/>
    </row>
    <row r="2718" spans="1:2" hidden="1">
      <c r="A2718" s="154"/>
      <c r="B2718" s="155"/>
    </row>
    <row r="2719" spans="1:2" hidden="1">
      <c r="A2719" s="154"/>
      <c r="B2719" s="155"/>
    </row>
    <row r="2720" spans="1:2" hidden="1">
      <c r="A2720" s="154"/>
      <c r="B2720" s="155"/>
    </row>
    <row r="2721" spans="1:2" hidden="1">
      <c r="A2721" s="154"/>
      <c r="B2721" s="155"/>
    </row>
    <row r="2722" spans="1:2" hidden="1">
      <c r="A2722" s="154"/>
      <c r="B2722" s="155"/>
    </row>
    <row r="2723" spans="1:2" hidden="1">
      <c r="A2723" s="154"/>
      <c r="B2723" s="155"/>
    </row>
    <row r="2724" spans="1:2" hidden="1">
      <c r="A2724" s="154"/>
      <c r="B2724" s="155"/>
    </row>
    <row r="2725" spans="1:2" hidden="1">
      <c r="A2725" s="154"/>
      <c r="B2725" s="155"/>
    </row>
    <row r="2726" spans="1:2" hidden="1">
      <c r="A2726" s="154"/>
      <c r="B2726" s="155"/>
    </row>
    <row r="2727" spans="1:2" hidden="1">
      <c r="A2727" s="154"/>
      <c r="B2727" s="155"/>
    </row>
    <row r="2728" spans="1:2" hidden="1">
      <c r="A2728" s="154"/>
      <c r="B2728" s="155"/>
    </row>
    <row r="2729" spans="1:2" hidden="1">
      <c r="A2729" s="154"/>
      <c r="B2729" s="155"/>
    </row>
    <row r="2730" spans="1:2" hidden="1">
      <c r="A2730" s="154"/>
      <c r="B2730" s="155"/>
    </row>
    <row r="2731" spans="1:2" hidden="1">
      <c r="A2731" s="154"/>
      <c r="B2731" s="155"/>
    </row>
    <row r="2732" spans="1:2" hidden="1">
      <c r="A2732" s="154"/>
      <c r="B2732" s="155"/>
    </row>
    <row r="2733" spans="1:2" hidden="1">
      <c r="A2733" s="154"/>
      <c r="B2733" s="155"/>
    </row>
    <row r="2734" spans="1:2" hidden="1">
      <c r="A2734" s="154"/>
      <c r="B2734" s="155"/>
    </row>
    <row r="2735" spans="1:2" hidden="1">
      <c r="A2735" s="154"/>
      <c r="B2735" s="155"/>
    </row>
    <row r="2736" spans="1:2" hidden="1">
      <c r="A2736" s="154"/>
      <c r="B2736" s="155"/>
    </row>
    <row r="2737" spans="1:2" hidden="1">
      <c r="A2737" s="154"/>
      <c r="B2737" s="155"/>
    </row>
    <row r="2738" spans="1:2" hidden="1">
      <c r="A2738" s="154"/>
      <c r="B2738" s="155"/>
    </row>
    <row r="2739" spans="1:2" hidden="1">
      <c r="A2739" s="154"/>
      <c r="B2739" s="155"/>
    </row>
    <row r="2740" spans="1:2" hidden="1">
      <c r="A2740" s="154"/>
      <c r="B2740" s="155"/>
    </row>
    <row r="2741" spans="1:2" hidden="1">
      <c r="A2741" s="154"/>
      <c r="B2741" s="155"/>
    </row>
    <row r="2742" spans="1:2" hidden="1">
      <c r="A2742" s="154"/>
      <c r="B2742" s="155"/>
    </row>
    <row r="2743" spans="1:2" hidden="1">
      <c r="A2743" s="154"/>
      <c r="B2743" s="155"/>
    </row>
    <row r="2744" spans="1:2" hidden="1">
      <c r="A2744" s="154"/>
      <c r="B2744" s="155"/>
    </row>
    <row r="2745" spans="1:2" hidden="1">
      <c r="A2745" s="154"/>
      <c r="B2745" s="155"/>
    </row>
    <row r="2746" spans="1:2" hidden="1">
      <c r="A2746" s="154"/>
      <c r="B2746" s="155"/>
    </row>
    <row r="2747" spans="1:2" hidden="1">
      <c r="A2747" s="154"/>
      <c r="B2747" s="155"/>
    </row>
    <row r="2748" spans="1:2" hidden="1">
      <c r="A2748" s="154"/>
      <c r="B2748" s="155"/>
    </row>
    <row r="2749" spans="1:2" hidden="1">
      <c r="A2749" s="154"/>
      <c r="B2749" s="155"/>
    </row>
    <row r="2750" spans="1:2" hidden="1">
      <c r="A2750" s="154"/>
      <c r="B2750" s="155"/>
    </row>
    <row r="2751" spans="1:2" hidden="1">
      <c r="A2751" s="154"/>
      <c r="B2751" s="155"/>
    </row>
    <row r="2752" spans="1:2" hidden="1">
      <c r="A2752" s="154"/>
      <c r="B2752" s="155"/>
    </row>
    <row r="2753" spans="1:2" hidden="1">
      <c r="A2753" s="154"/>
      <c r="B2753" s="155"/>
    </row>
    <row r="2754" spans="1:2" hidden="1">
      <c r="A2754" s="154"/>
      <c r="B2754" s="155"/>
    </row>
    <row r="2755" spans="1:2" hidden="1">
      <c r="A2755" s="154"/>
      <c r="B2755" s="155"/>
    </row>
    <row r="2756" spans="1:2" hidden="1">
      <c r="A2756" s="154"/>
      <c r="B2756" s="155"/>
    </row>
    <row r="2757" spans="1:2" hidden="1">
      <c r="A2757" s="154"/>
      <c r="B2757" s="155"/>
    </row>
    <row r="2758" spans="1:2" hidden="1">
      <c r="A2758" s="154"/>
      <c r="B2758" s="155"/>
    </row>
    <row r="2759" spans="1:2" hidden="1">
      <c r="A2759" s="154"/>
      <c r="B2759" s="155"/>
    </row>
    <row r="2760" spans="1:2" hidden="1">
      <c r="A2760" s="154"/>
      <c r="B2760" s="155"/>
    </row>
    <row r="2761" spans="1:2" hidden="1">
      <c r="A2761" s="154"/>
      <c r="B2761" s="155"/>
    </row>
    <row r="2762" spans="1:2" hidden="1">
      <c r="A2762" s="154"/>
      <c r="B2762" s="155"/>
    </row>
    <row r="2763" spans="1:2" hidden="1">
      <c r="A2763" s="154"/>
      <c r="B2763" s="155"/>
    </row>
    <row r="2764" spans="1:2" hidden="1">
      <c r="A2764" s="154"/>
      <c r="B2764" s="155"/>
    </row>
    <row r="2765" spans="1:2" hidden="1">
      <c r="A2765" s="154"/>
      <c r="B2765" s="155"/>
    </row>
    <row r="2766" spans="1:2" hidden="1">
      <c r="A2766" s="154"/>
      <c r="B2766" s="155"/>
    </row>
    <row r="2767" spans="1:2" hidden="1">
      <c r="A2767" s="154"/>
      <c r="B2767" s="155"/>
    </row>
    <row r="2768" spans="1:2" hidden="1">
      <c r="A2768" s="154"/>
      <c r="B2768" s="155"/>
    </row>
    <row r="2769" spans="1:2" hidden="1">
      <c r="A2769" s="154"/>
      <c r="B2769" s="155"/>
    </row>
    <row r="2770" spans="1:2" hidden="1">
      <c r="A2770" s="154"/>
      <c r="B2770" s="155"/>
    </row>
    <row r="2771" spans="1:2" hidden="1">
      <c r="A2771" s="154"/>
      <c r="B2771" s="155"/>
    </row>
    <row r="2772" spans="1:2" hidden="1">
      <c r="A2772" s="154"/>
      <c r="B2772" s="155"/>
    </row>
    <row r="2773" spans="1:2" hidden="1">
      <c r="A2773" s="154"/>
      <c r="B2773" s="155"/>
    </row>
    <row r="2774" spans="1:2" hidden="1">
      <c r="A2774" s="154"/>
      <c r="B2774" s="155"/>
    </row>
    <row r="2775" spans="1:2" hidden="1">
      <c r="A2775" s="154"/>
      <c r="B2775" s="155"/>
    </row>
    <row r="2776" spans="1:2" hidden="1">
      <c r="A2776" s="154"/>
      <c r="B2776" s="155"/>
    </row>
    <row r="2777" spans="1:2" hidden="1">
      <c r="A2777" s="154"/>
      <c r="B2777" s="155"/>
    </row>
    <row r="2778" spans="1:2" hidden="1">
      <c r="A2778" s="154"/>
      <c r="B2778" s="155"/>
    </row>
    <row r="2779" spans="1:2" hidden="1">
      <c r="A2779" s="154"/>
      <c r="B2779" s="155"/>
    </row>
    <row r="2780" spans="1:2" hidden="1">
      <c r="A2780" s="154"/>
      <c r="B2780" s="155"/>
    </row>
    <row r="2781" spans="1:2" hidden="1">
      <c r="A2781" s="154"/>
      <c r="B2781" s="155"/>
    </row>
    <row r="2782" spans="1:2" hidden="1">
      <c r="A2782" s="154"/>
      <c r="B2782" s="155"/>
    </row>
    <row r="2783" spans="1:2" hidden="1">
      <c r="A2783" s="154"/>
      <c r="B2783" s="155"/>
    </row>
    <row r="2784" spans="1:2" hidden="1">
      <c r="A2784" s="154"/>
      <c r="B2784" s="155"/>
    </row>
    <row r="2785" spans="1:2" hidden="1">
      <c r="A2785" s="154"/>
      <c r="B2785" s="155"/>
    </row>
    <row r="2786" spans="1:2" hidden="1">
      <c r="A2786" s="154"/>
      <c r="B2786" s="155"/>
    </row>
    <row r="2787" spans="1:2" hidden="1">
      <c r="A2787" s="154"/>
      <c r="B2787" s="155"/>
    </row>
    <row r="2788" spans="1:2" hidden="1">
      <c r="A2788" s="154"/>
      <c r="B2788" s="155"/>
    </row>
    <row r="2789" spans="1:2" hidden="1">
      <c r="A2789" s="154"/>
      <c r="B2789" s="155"/>
    </row>
    <row r="2790" spans="1:2" hidden="1">
      <c r="A2790" s="154"/>
      <c r="B2790" s="155"/>
    </row>
    <row r="2791" spans="1:2" hidden="1">
      <c r="A2791" s="154"/>
      <c r="B2791" s="155"/>
    </row>
    <row r="2792" spans="1:2" hidden="1">
      <c r="A2792" s="154"/>
      <c r="B2792" s="155"/>
    </row>
    <row r="2793" spans="1:2" hidden="1">
      <c r="A2793" s="154"/>
      <c r="B2793" s="155"/>
    </row>
    <row r="2794" spans="1:2" hidden="1">
      <c r="A2794" s="154"/>
      <c r="B2794" s="155"/>
    </row>
    <row r="2795" spans="1:2" hidden="1">
      <c r="A2795" s="154"/>
      <c r="B2795" s="155"/>
    </row>
    <row r="2796" spans="1:2" hidden="1">
      <c r="A2796" s="154"/>
      <c r="B2796" s="155"/>
    </row>
    <row r="2797" spans="1:2" hidden="1">
      <c r="A2797" s="154"/>
      <c r="B2797" s="155"/>
    </row>
    <row r="2798" spans="1:2" hidden="1">
      <c r="A2798" s="154"/>
      <c r="B2798" s="155"/>
    </row>
    <row r="2799" spans="1:2" hidden="1">
      <c r="A2799" s="154"/>
      <c r="B2799" s="155"/>
    </row>
    <row r="2800" spans="1:2" hidden="1">
      <c r="A2800" s="154"/>
      <c r="B2800" s="155"/>
    </row>
    <row r="2801" spans="1:2" hidden="1">
      <c r="A2801" s="154"/>
      <c r="B2801" s="155"/>
    </row>
    <row r="2802" spans="1:2" hidden="1">
      <c r="A2802" s="154"/>
      <c r="B2802" s="155"/>
    </row>
    <row r="2803" spans="1:2" hidden="1">
      <c r="A2803" s="154"/>
      <c r="B2803" s="155"/>
    </row>
    <row r="2804" spans="1:2" hidden="1">
      <c r="A2804" s="154"/>
      <c r="B2804" s="155"/>
    </row>
    <row r="2805" spans="1:2" hidden="1">
      <c r="A2805" s="154"/>
      <c r="B2805" s="155"/>
    </row>
    <row r="2806" spans="1:2" hidden="1">
      <c r="A2806" s="154"/>
      <c r="B2806" s="155"/>
    </row>
    <row r="2807" spans="1:2" hidden="1">
      <c r="A2807" s="154"/>
      <c r="B2807" s="155"/>
    </row>
    <row r="2808" spans="1:2" hidden="1">
      <c r="A2808" s="154"/>
      <c r="B2808" s="155"/>
    </row>
    <row r="2809" spans="1:2" hidden="1">
      <c r="A2809" s="154"/>
      <c r="B2809" s="155"/>
    </row>
    <row r="2810" spans="1:2" hidden="1">
      <c r="A2810" s="154"/>
      <c r="B2810" s="155"/>
    </row>
    <row r="2811" spans="1:2" hidden="1">
      <c r="A2811" s="154"/>
      <c r="B2811" s="155"/>
    </row>
    <row r="2812" spans="1:2" hidden="1">
      <c r="A2812" s="154"/>
      <c r="B2812" s="155"/>
    </row>
    <row r="2813" spans="1:2" hidden="1">
      <c r="A2813" s="154"/>
      <c r="B2813" s="155"/>
    </row>
    <row r="2814" spans="1:2" hidden="1">
      <c r="A2814" s="154"/>
      <c r="B2814" s="155"/>
    </row>
    <row r="2815" spans="1:2" hidden="1">
      <c r="A2815" s="154"/>
      <c r="B2815" s="155"/>
    </row>
    <row r="2816" spans="1:2" hidden="1">
      <c r="A2816" s="154"/>
      <c r="B2816" s="155"/>
    </row>
    <row r="2817" spans="1:2" hidden="1">
      <c r="A2817" s="154"/>
      <c r="B2817" s="155"/>
    </row>
    <row r="2818" spans="1:2" hidden="1">
      <c r="A2818" s="154"/>
      <c r="B2818" s="155"/>
    </row>
    <row r="2819" spans="1:2" hidden="1">
      <c r="A2819" s="154"/>
      <c r="B2819" s="155"/>
    </row>
    <row r="2820" spans="1:2" hidden="1">
      <c r="A2820" s="154"/>
      <c r="B2820" s="155"/>
    </row>
    <row r="2821" spans="1:2" hidden="1">
      <c r="A2821" s="154"/>
      <c r="B2821" s="155"/>
    </row>
    <row r="2822" spans="1:2" hidden="1">
      <c r="A2822" s="154"/>
      <c r="B2822" s="155"/>
    </row>
    <row r="2823" spans="1:2" hidden="1">
      <c r="A2823" s="154"/>
      <c r="B2823" s="155"/>
    </row>
    <row r="2824" spans="1:2" hidden="1">
      <c r="A2824" s="154"/>
      <c r="B2824" s="155"/>
    </row>
    <row r="2825" spans="1:2" hidden="1">
      <c r="A2825" s="154"/>
      <c r="B2825" s="155"/>
    </row>
    <row r="2826" spans="1:2" hidden="1">
      <c r="A2826" s="154"/>
      <c r="B2826" s="155"/>
    </row>
    <row r="2827" spans="1:2" hidden="1">
      <c r="A2827" s="154"/>
      <c r="B2827" s="155"/>
    </row>
    <row r="2828" spans="1:2" hidden="1">
      <c r="A2828" s="154"/>
      <c r="B2828" s="155"/>
    </row>
    <row r="2829" spans="1:2" hidden="1">
      <c r="A2829" s="154"/>
      <c r="B2829" s="155"/>
    </row>
    <row r="2830" spans="1:2" hidden="1">
      <c r="A2830" s="154"/>
      <c r="B2830" s="155"/>
    </row>
    <row r="2831" spans="1:2" hidden="1">
      <c r="A2831" s="154"/>
      <c r="B2831" s="155"/>
    </row>
    <row r="2832" spans="1:2" hidden="1">
      <c r="A2832" s="154"/>
      <c r="B2832" s="155"/>
    </row>
    <row r="2833" spans="1:2" hidden="1">
      <c r="A2833" s="154"/>
      <c r="B2833" s="155"/>
    </row>
    <row r="2834" spans="1:2" hidden="1">
      <c r="A2834" s="154"/>
      <c r="B2834" s="155"/>
    </row>
    <row r="2835" spans="1:2" hidden="1">
      <c r="A2835" s="154"/>
      <c r="B2835" s="155"/>
    </row>
    <row r="2836" spans="1:2" hidden="1">
      <c r="A2836" s="154"/>
      <c r="B2836" s="155"/>
    </row>
    <row r="2837" spans="1:2" hidden="1">
      <c r="A2837" s="154"/>
      <c r="B2837" s="155"/>
    </row>
    <row r="2838" spans="1:2" hidden="1">
      <c r="A2838" s="154"/>
      <c r="B2838" s="155"/>
    </row>
    <row r="2839" spans="1:2" hidden="1">
      <c r="A2839" s="154"/>
      <c r="B2839" s="155"/>
    </row>
    <row r="2840" spans="1:2" hidden="1">
      <c r="A2840" s="154"/>
      <c r="B2840" s="155"/>
    </row>
    <row r="2841" spans="1:2" hidden="1">
      <c r="A2841" s="154"/>
      <c r="B2841" s="155"/>
    </row>
    <row r="2842" spans="1:2" hidden="1">
      <c r="A2842" s="154"/>
      <c r="B2842" s="155"/>
    </row>
    <row r="2843" spans="1:2" hidden="1">
      <c r="A2843" s="154"/>
      <c r="B2843" s="155"/>
    </row>
    <row r="2844" spans="1:2" hidden="1">
      <c r="A2844" s="154"/>
      <c r="B2844" s="155"/>
    </row>
    <row r="2845" spans="1:2" hidden="1">
      <c r="A2845" s="154"/>
      <c r="B2845" s="155"/>
    </row>
    <row r="2846" spans="1:2" hidden="1">
      <c r="A2846" s="154"/>
      <c r="B2846" s="155"/>
    </row>
    <row r="2847" spans="1:2" hidden="1">
      <c r="A2847" s="154"/>
      <c r="B2847" s="155"/>
    </row>
    <row r="2848" spans="1:2" hidden="1">
      <c r="A2848" s="154"/>
      <c r="B2848" s="155"/>
    </row>
    <row r="2849" spans="1:2" hidden="1">
      <c r="A2849" s="154"/>
      <c r="B2849" s="155"/>
    </row>
    <row r="2850" spans="1:2" hidden="1">
      <c r="A2850" s="154"/>
      <c r="B2850" s="155"/>
    </row>
    <row r="2851" spans="1:2" hidden="1">
      <c r="A2851" s="154"/>
      <c r="B2851" s="155"/>
    </row>
    <row r="2852" spans="1:2" hidden="1">
      <c r="A2852" s="154"/>
      <c r="B2852" s="155"/>
    </row>
    <row r="2853" spans="1:2" hidden="1">
      <c r="A2853" s="154"/>
      <c r="B2853" s="155"/>
    </row>
    <row r="2854" spans="1:2" hidden="1">
      <c r="A2854" s="154"/>
      <c r="B2854" s="155"/>
    </row>
    <row r="2855" spans="1:2" hidden="1">
      <c r="A2855" s="154"/>
      <c r="B2855" s="155"/>
    </row>
    <row r="2856" spans="1:2" hidden="1">
      <c r="A2856" s="154"/>
      <c r="B2856" s="155"/>
    </row>
    <row r="2857" spans="1:2" hidden="1">
      <c r="A2857" s="154"/>
      <c r="B2857" s="155"/>
    </row>
    <row r="2858" spans="1:2" hidden="1">
      <c r="A2858" s="154"/>
      <c r="B2858" s="155"/>
    </row>
    <row r="2859" spans="1:2" hidden="1">
      <c r="A2859" s="154"/>
      <c r="B2859" s="155"/>
    </row>
    <row r="2860" spans="1:2" hidden="1">
      <c r="A2860" s="154"/>
      <c r="B2860" s="155"/>
    </row>
    <row r="2861" spans="1:2" hidden="1">
      <c r="A2861" s="154"/>
      <c r="B2861" s="155"/>
    </row>
    <row r="2862" spans="1:2" hidden="1">
      <c r="A2862" s="154"/>
      <c r="B2862" s="155"/>
    </row>
    <row r="2863" spans="1:2" hidden="1">
      <c r="A2863" s="154"/>
      <c r="B2863" s="155"/>
    </row>
    <row r="2864" spans="1:2" hidden="1">
      <c r="A2864" s="154"/>
      <c r="B2864" s="155"/>
    </row>
    <row r="2865" spans="1:2" hidden="1">
      <c r="A2865" s="154"/>
      <c r="B2865" s="155"/>
    </row>
    <row r="2866" spans="1:2" hidden="1">
      <c r="A2866" s="154"/>
      <c r="B2866" s="155"/>
    </row>
    <row r="2867" spans="1:2" hidden="1">
      <c r="A2867" s="154"/>
      <c r="B2867" s="155"/>
    </row>
    <row r="2868" spans="1:2" hidden="1">
      <c r="A2868" s="154"/>
      <c r="B2868" s="155"/>
    </row>
    <row r="2869" spans="1:2" hidden="1">
      <c r="A2869" s="154"/>
      <c r="B2869" s="155"/>
    </row>
    <row r="2870" spans="1:2" hidden="1">
      <c r="A2870" s="154"/>
      <c r="B2870" s="155"/>
    </row>
    <row r="2871" spans="1:2" hidden="1">
      <c r="A2871" s="154"/>
      <c r="B2871" s="155"/>
    </row>
    <row r="2872" spans="1:2" hidden="1">
      <c r="A2872" s="154"/>
      <c r="B2872" s="155"/>
    </row>
    <row r="2873" spans="1:2" hidden="1">
      <c r="A2873" s="154"/>
      <c r="B2873" s="155"/>
    </row>
    <row r="2874" spans="1:2" hidden="1">
      <c r="A2874" s="154"/>
      <c r="B2874" s="155"/>
    </row>
    <row r="2875" spans="1:2" hidden="1">
      <c r="A2875" s="154"/>
      <c r="B2875" s="155"/>
    </row>
    <row r="2876" spans="1:2" hidden="1">
      <c r="A2876" s="154"/>
      <c r="B2876" s="155"/>
    </row>
    <row r="2877" spans="1:2" hidden="1">
      <c r="A2877" s="154"/>
      <c r="B2877" s="155"/>
    </row>
    <row r="2878" spans="1:2" hidden="1">
      <c r="A2878" s="154"/>
      <c r="B2878" s="155"/>
    </row>
    <row r="2879" spans="1:2" hidden="1">
      <c r="A2879" s="154"/>
      <c r="B2879" s="155"/>
    </row>
    <row r="2880" spans="1:2" hidden="1">
      <c r="A2880" s="154"/>
      <c r="B2880" s="155"/>
    </row>
    <row r="2881" spans="1:2" hidden="1">
      <c r="A2881" s="154"/>
      <c r="B2881" s="155"/>
    </row>
    <row r="2882" spans="1:2" hidden="1">
      <c r="A2882" s="154"/>
      <c r="B2882" s="155"/>
    </row>
    <row r="2883" spans="1:2" hidden="1">
      <c r="A2883" s="154"/>
      <c r="B2883" s="155"/>
    </row>
    <row r="2884" spans="1:2" hidden="1">
      <c r="A2884" s="154"/>
      <c r="B2884" s="155"/>
    </row>
    <row r="2885" spans="1:2" hidden="1">
      <c r="A2885" s="154"/>
      <c r="B2885" s="155"/>
    </row>
    <row r="2886" spans="1:2" hidden="1">
      <c r="A2886" s="154"/>
      <c r="B2886" s="155"/>
    </row>
    <row r="2887" spans="1:2" hidden="1">
      <c r="A2887" s="154"/>
      <c r="B2887" s="155"/>
    </row>
    <row r="2888" spans="1:2" hidden="1">
      <c r="A2888" s="154"/>
      <c r="B2888" s="155"/>
    </row>
    <row r="2889" spans="1:2" hidden="1">
      <c r="A2889" s="154"/>
      <c r="B2889" s="155"/>
    </row>
    <row r="2890" spans="1:2" hidden="1">
      <c r="A2890" s="154"/>
      <c r="B2890" s="155"/>
    </row>
    <row r="2891" spans="1:2" hidden="1">
      <c r="A2891" s="154"/>
      <c r="B2891" s="155"/>
    </row>
    <row r="2892" spans="1:2" hidden="1">
      <c r="A2892" s="154"/>
      <c r="B2892" s="155"/>
    </row>
    <row r="2893" spans="1:2" hidden="1">
      <c r="A2893" s="154"/>
      <c r="B2893" s="155"/>
    </row>
    <row r="2894" spans="1:2" hidden="1">
      <c r="A2894" s="154"/>
      <c r="B2894" s="155"/>
    </row>
    <row r="2895" spans="1:2" hidden="1">
      <c r="A2895" s="154"/>
      <c r="B2895" s="155"/>
    </row>
    <row r="2896" spans="1:2" hidden="1">
      <c r="A2896" s="154"/>
      <c r="B2896" s="155"/>
    </row>
    <row r="2897" spans="1:2" hidden="1">
      <c r="A2897" s="154"/>
      <c r="B2897" s="155"/>
    </row>
    <row r="2898" spans="1:2" hidden="1">
      <c r="A2898" s="154"/>
      <c r="B2898" s="155"/>
    </row>
    <row r="2899" spans="1:2" hidden="1">
      <c r="A2899" s="154"/>
      <c r="B2899" s="155"/>
    </row>
    <row r="2900" spans="1:2" hidden="1">
      <c r="A2900" s="154"/>
      <c r="B2900" s="155"/>
    </row>
    <row r="2901" spans="1:2" hidden="1">
      <c r="A2901" s="154"/>
      <c r="B2901" s="155"/>
    </row>
    <row r="2902" spans="1:2" hidden="1">
      <c r="A2902" s="154"/>
      <c r="B2902" s="155"/>
    </row>
    <row r="2903" spans="1:2" hidden="1">
      <c r="A2903" s="154"/>
      <c r="B2903" s="155"/>
    </row>
    <row r="2904" spans="1:2" hidden="1">
      <c r="A2904" s="154"/>
      <c r="B2904" s="155"/>
    </row>
    <row r="2905" spans="1:2" hidden="1">
      <c r="A2905" s="154"/>
      <c r="B2905" s="155"/>
    </row>
    <row r="2906" spans="1:2" hidden="1">
      <c r="A2906" s="154"/>
      <c r="B2906" s="155"/>
    </row>
    <row r="2907" spans="1:2" hidden="1">
      <c r="A2907" s="154"/>
      <c r="B2907" s="155"/>
    </row>
    <row r="2908" spans="1:2" hidden="1">
      <c r="A2908" s="154"/>
      <c r="B2908" s="155"/>
    </row>
    <row r="2909" spans="1:2" hidden="1">
      <c r="A2909" s="154"/>
      <c r="B2909" s="155"/>
    </row>
    <row r="2910" spans="1:2" hidden="1">
      <c r="A2910" s="154"/>
      <c r="B2910" s="155"/>
    </row>
    <row r="2911" spans="1:2" hidden="1">
      <c r="A2911" s="154"/>
      <c r="B2911" s="155"/>
    </row>
    <row r="2912" spans="1:2" hidden="1">
      <c r="A2912" s="154"/>
      <c r="B2912" s="155"/>
    </row>
    <row r="2913" spans="1:2" hidden="1">
      <c r="A2913" s="154"/>
      <c r="B2913" s="155"/>
    </row>
    <row r="2914" spans="1:2" hidden="1">
      <c r="A2914" s="154"/>
      <c r="B2914" s="155"/>
    </row>
    <row r="2915" spans="1:2" hidden="1">
      <c r="A2915" s="154"/>
      <c r="B2915" s="155"/>
    </row>
    <row r="2916" spans="1:2" hidden="1">
      <c r="A2916" s="154"/>
      <c r="B2916" s="155"/>
    </row>
    <row r="2917" spans="1:2" hidden="1">
      <c r="A2917" s="154"/>
      <c r="B2917" s="155"/>
    </row>
    <row r="2918" spans="1:2" hidden="1">
      <c r="A2918" s="154"/>
      <c r="B2918" s="155"/>
    </row>
    <row r="2919" spans="1:2" hidden="1">
      <c r="A2919" s="154"/>
      <c r="B2919" s="155"/>
    </row>
    <row r="2920" spans="1:2" hidden="1">
      <c r="A2920" s="154"/>
      <c r="B2920" s="155"/>
    </row>
    <row r="2921" spans="1:2" hidden="1">
      <c r="A2921" s="154"/>
      <c r="B2921" s="155"/>
    </row>
    <row r="2922" spans="1:2" hidden="1">
      <c r="A2922" s="154"/>
      <c r="B2922" s="155"/>
    </row>
    <row r="2923" spans="1:2" hidden="1">
      <c r="A2923" s="154"/>
      <c r="B2923" s="155"/>
    </row>
    <row r="2924" spans="1:2" hidden="1">
      <c r="A2924" s="154"/>
      <c r="B2924" s="155"/>
    </row>
    <row r="2925" spans="1:2" hidden="1">
      <c r="A2925" s="154"/>
      <c r="B2925" s="155"/>
    </row>
    <row r="2926" spans="1:2" hidden="1">
      <c r="A2926" s="154"/>
      <c r="B2926" s="155"/>
    </row>
    <row r="2927" spans="1:2" hidden="1">
      <c r="A2927" s="154"/>
      <c r="B2927" s="155"/>
    </row>
    <row r="2928" spans="1:2" hidden="1">
      <c r="A2928" s="154"/>
      <c r="B2928" s="155"/>
    </row>
    <row r="2929" spans="1:2" hidden="1">
      <c r="A2929" s="154"/>
      <c r="B2929" s="155"/>
    </row>
    <row r="2930" spans="1:2" hidden="1">
      <c r="A2930" s="154"/>
      <c r="B2930" s="155"/>
    </row>
    <row r="2931" spans="1:2" hidden="1">
      <c r="A2931" s="154"/>
      <c r="B2931" s="155"/>
    </row>
    <row r="2932" spans="1:2" hidden="1">
      <c r="A2932" s="154"/>
      <c r="B2932" s="155"/>
    </row>
    <row r="2933" spans="1:2" hidden="1">
      <c r="A2933" s="154"/>
      <c r="B2933" s="155"/>
    </row>
    <row r="2934" spans="1:2" hidden="1">
      <c r="A2934" s="154"/>
      <c r="B2934" s="155"/>
    </row>
    <row r="2935" spans="1:2" hidden="1">
      <c r="A2935" s="154"/>
      <c r="B2935" s="155"/>
    </row>
    <row r="2936" spans="1:2" hidden="1">
      <c r="A2936" s="154"/>
      <c r="B2936" s="155"/>
    </row>
    <row r="2937" spans="1:2" hidden="1">
      <c r="A2937" s="154"/>
      <c r="B2937" s="155"/>
    </row>
    <row r="2938" spans="1:2" hidden="1">
      <c r="A2938" s="154"/>
      <c r="B2938" s="155"/>
    </row>
    <row r="2939" spans="1:2" hidden="1">
      <c r="A2939" s="154"/>
      <c r="B2939" s="155"/>
    </row>
    <row r="2940" spans="1:2" hidden="1">
      <c r="A2940" s="154"/>
      <c r="B2940" s="155"/>
    </row>
    <row r="2941" spans="1:2" hidden="1">
      <c r="A2941" s="154"/>
      <c r="B2941" s="155"/>
    </row>
    <row r="2942" spans="1:2" hidden="1">
      <c r="A2942" s="154"/>
      <c r="B2942" s="155"/>
    </row>
    <row r="2943" spans="1:2" hidden="1">
      <c r="A2943" s="154"/>
      <c r="B2943" s="155"/>
    </row>
    <row r="2944" spans="1:2" hidden="1">
      <c r="A2944" s="154"/>
      <c r="B2944" s="155"/>
    </row>
    <row r="2945" spans="1:2" hidden="1">
      <c r="A2945" s="154"/>
      <c r="B2945" s="155"/>
    </row>
    <row r="2946" spans="1:2" hidden="1">
      <c r="A2946" s="154"/>
      <c r="B2946" s="155"/>
    </row>
    <row r="2947" spans="1:2" hidden="1">
      <c r="A2947" s="154"/>
      <c r="B2947" s="155"/>
    </row>
    <row r="2948" spans="1:2" hidden="1">
      <c r="A2948" s="154"/>
      <c r="B2948" s="155"/>
    </row>
    <row r="2949" spans="1:2" hidden="1">
      <c r="A2949" s="154"/>
      <c r="B2949" s="155"/>
    </row>
    <row r="2950" spans="1:2" hidden="1">
      <c r="A2950" s="154"/>
      <c r="B2950" s="155"/>
    </row>
    <row r="2951" spans="1:2" hidden="1">
      <c r="A2951" s="154"/>
      <c r="B2951" s="155"/>
    </row>
    <row r="2952" spans="1:2" hidden="1">
      <c r="A2952" s="154"/>
      <c r="B2952" s="155"/>
    </row>
    <row r="2953" spans="1:2" hidden="1">
      <c r="A2953" s="154"/>
      <c r="B2953" s="155"/>
    </row>
    <row r="2954" spans="1:2" hidden="1">
      <c r="A2954" s="154"/>
      <c r="B2954" s="155"/>
    </row>
    <row r="2955" spans="1:2" hidden="1">
      <c r="A2955" s="154"/>
      <c r="B2955" s="155"/>
    </row>
    <row r="2956" spans="1:2" hidden="1">
      <c r="A2956" s="154"/>
      <c r="B2956" s="155"/>
    </row>
    <row r="2957" spans="1:2" hidden="1">
      <c r="A2957" s="154"/>
      <c r="B2957" s="155"/>
    </row>
    <row r="2958" spans="1:2" hidden="1">
      <c r="A2958" s="154"/>
      <c r="B2958" s="155"/>
    </row>
    <row r="2959" spans="1:2" hidden="1">
      <c r="A2959" s="154"/>
      <c r="B2959" s="155"/>
    </row>
    <row r="2960" spans="1:2" hidden="1">
      <c r="A2960" s="154"/>
      <c r="B2960" s="155"/>
    </row>
    <row r="2961" spans="1:2" hidden="1">
      <c r="A2961" s="154"/>
      <c r="B2961" s="155"/>
    </row>
    <row r="2962" spans="1:2" hidden="1">
      <c r="A2962" s="154"/>
      <c r="B2962" s="155"/>
    </row>
    <row r="2963" spans="1:2" hidden="1">
      <c r="A2963" s="154"/>
      <c r="B2963" s="155"/>
    </row>
    <row r="2964" spans="1:2" hidden="1">
      <c r="A2964" s="154"/>
      <c r="B2964" s="155"/>
    </row>
    <row r="2965" spans="1:2" hidden="1">
      <c r="A2965" s="154"/>
      <c r="B2965" s="155"/>
    </row>
    <row r="2966" spans="1:2" hidden="1">
      <c r="A2966" s="154"/>
      <c r="B2966" s="155"/>
    </row>
    <row r="2967" spans="1:2" hidden="1">
      <c r="A2967" s="154"/>
      <c r="B2967" s="155"/>
    </row>
    <row r="2968" spans="1:2" hidden="1">
      <c r="A2968" s="154"/>
      <c r="B2968" s="155"/>
    </row>
    <row r="2969" spans="1:2" hidden="1">
      <c r="A2969" s="154"/>
      <c r="B2969" s="155"/>
    </row>
    <row r="2970" spans="1:2" hidden="1">
      <c r="A2970" s="154"/>
      <c r="B2970" s="155"/>
    </row>
    <row r="2971" spans="1:2" hidden="1">
      <c r="A2971" s="154"/>
      <c r="B2971" s="155"/>
    </row>
    <row r="2972" spans="1:2" hidden="1">
      <c r="A2972" s="154"/>
      <c r="B2972" s="155"/>
    </row>
    <row r="2973" spans="1:2" hidden="1">
      <c r="A2973" s="154"/>
      <c r="B2973" s="155"/>
    </row>
    <row r="2974" spans="1:2" hidden="1">
      <c r="A2974" s="154"/>
      <c r="B2974" s="155"/>
    </row>
    <row r="2975" spans="1:2" hidden="1">
      <c r="A2975" s="154"/>
      <c r="B2975" s="155"/>
    </row>
    <row r="2976" spans="1:2" hidden="1">
      <c r="A2976" s="154"/>
      <c r="B2976" s="155"/>
    </row>
    <row r="2977" spans="1:2" hidden="1">
      <c r="A2977" s="154"/>
      <c r="B2977" s="155"/>
    </row>
    <row r="2978" spans="1:2" hidden="1">
      <c r="A2978" s="154"/>
      <c r="B2978" s="155"/>
    </row>
    <row r="2979" spans="1:2" hidden="1">
      <c r="A2979" s="154"/>
      <c r="B2979" s="155"/>
    </row>
    <row r="2980" spans="1:2" hidden="1">
      <c r="A2980" s="154"/>
      <c r="B2980" s="155"/>
    </row>
    <row r="2981" spans="1:2" hidden="1">
      <c r="A2981" s="154"/>
      <c r="B2981" s="155"/>
    </row>
    <row r="2982" spans="1:2" hidden="1">
      <c r="A2982" s="154"/>
      <c r="B2982" s="155"/>
    </row>
    <row r="2983" spans="1:2" hidden="1">
      <c r="A2983" s="154"/>
      <c r="B2983" s="155"/>
    </row>
    <row r="2984" spans="1:2" hidden="1">
      <c r="A2984" s="154"/>
      <c r="B2984" s="155"/>
    </row>
    <row r="2985" spans="1:2" hidden="1">
      <c r="A2985" s="154"/>
      <c r="B2985" s="155"/>
    </row>
    <row r="2986" spans="1:2" hidden="1">
      <c r="A2986" s="154"/>
      <c r="B2986" s="155"/>
    </row>
    <row r="2987" spans="1:2" hidden="1">
      <c r="A2987" s="154"/>
      <c r="B2987" s="155"/>
    </row>
    <row r="2988" spans="1:2" hidden="1">
      <c r="A2988" s="154"/>
      <c r="B2988" s="155"/>
    </row>
    <row r="2989" spans="1:2" hidden="1">
      <c r="A2989" s="154"/>
      <c r="B2989" s="155"/>
    </row>
    <row r="2990" spans="1:2" hidden="1">
      <c r="A2990" s="154"/>
      <c r="B2990" s="155"/>
    </row>
    <row r="2991" spans="1:2" hidden="1">
      <c r="A2991" s="154"/>
      <c r="B2991" s="155"/>
    </row>
    <row r="2992" spans="1:2" hidden="1">
      <c r="A2992" s="154"/>
      <c r="B2992" s="155"/>
    </row>
    <row r="2993" spans="1:2" hidden="1">
      <c r="A2993" s="154"/>
      <c r="B2993" s="155"/>
    </row>
    <row r="2994" spans="1:2" hidden="1">
      <c r="A2994" s="154"/>
      <c r="B2994" s="155"/>
    </row>
    <row r="2995" spans="1:2" hidden="1">
      <c r="A2995" s="154"/>
      <c r="B2995" s="155"/>
    </row>
    <row r="2996" spans="1:2" hidden="1">
      <c r="A2996" s="154"/>
      <c r="B2996" s="155"/>
    </row>
    <row r="2997" spans="1:2" hidden="1">
      <c r="A2997" s="154"/>
      <c r="B2997" s="155"/>
    </row>
    <row r="2998" spans="1:2" hidden="1">
      <c r="A2998" s="154"/>
      <c r="B2998" s="155"/>
    </row>
    <row r="2999" spans="1:2" hidden="1">
      <c r="A2999" s="154"/>
      <c r="B2999" s="155"/>
    </row>
    <row r="3000" spans="1:2" hidden="1">
      <c r="A3000" s="154"/>
      <c r="B3000" s="155"/>
    </row>
    <row r="3001" spans="1:2" hidden="1">
      <c r="A3001" s="154"/>
      <c r="B3001" s="155"/>
    </row>
    <row r="3002" spans="1:2" hidden="1">
      <c r="A3002" s="154"/>
      <c r="B3002" s="155"/>
    </row>
    <row r="3003" spans="1:2" hidden="1">
      <c r="A3003" s="154"/>
      <c r="B3003" s="155"/>
    </row>
    <row r="3004" spans="1:2" hidden="1">
      <c r="A3004" s="154"/>
      <c r="B3004" s="155"/>
    </row>
    <row r="3005" spans="1:2" hidden="1">
      <c r="A3005" s="154"/>
      <c r="B3005" s="155"/>
    </row>
    <row r="3006" spans="1:2" hidden="1">
      <c r="A3006" s="154"/>
      <c r="B3006" s="155"/>
    </row>
    <row r="3007" spans="1:2" hidden="1">
      <c r="A3007" s="154"/>
      <c r="B3007" s="155"/>
    </row>
    <row r="3008" spans="1:2" hidden="1">
      <c r="A3008" s="154"/>
      <c r="B3008" s="155"/>
    </row>
    <row r="3009" spans="1:2" hidden="1">
      <c r="A3009" s="154"/>
      <c r="B3009" s="155"/>
    </row>
    <row r="3010" spans="1:2" hidden="1">
      <c r="A3010" s="154"/>
      <c r="B3010" s="155"/>
    </row>
    <row r="3011" spans="1:2" hidden="1">
      <c r="A3011" s="154"/>
      <c r="B3011" s="155"/>
    </row>
    <row r="3012" spans="1:2" hidden="1">
      <c r="A3012" s="154"/>
      <c r="B3012" s="155"/>
    </row>
    <row r="3013" spans="1:2" hidden="1">
      <c r="A3013" s="154"/>
      <c r="B3013" s="155"/>
    </row>
    <row r="3014" spans="1:2" hidden="1">
      <c r="A3014" s="154"/>
      <c r="B3014" s="155"/>
    </row>
    <row r="3015" spans="1:2" hidden="1">
      <c r="A3015" s="154"/>
      <c r="B3015" s="155"/>
    </row>
    <row r="3016" spans="1:2" hidden="1">
      <c r="A3016" s="154"/>
      <c r="B3016" s="155"/>
    </row>
    <row r="3017" spans="1:2" hidden="1">
      <c r="A3017" s="154"/>
      <c r="B3017" s="155"/>
    </row>
    <row r="3018" spans="1:2" hidden="1">
      <c r="A3018" s="154"/>
      <c r="B3018" s="155"/>
    </row>
    <row r="3019" spans="1:2" hidden="1">
      <c r="A3019" s="154"/>
      <c r="B3019" s="155"/>
    </row>
    <row r="3020" spans="1:2" hidden="1">
      <c r="A3020" s="154"/>
      <c r="B3020" s="155"/>
    </row>
    <row r="3021" spans="1:2" hidden="1">
      <c r="A3021" s="154"/>
      <c r="B3021" s="155"/>
    </row>
    <row r="3022" spans="1:2" hidden="1">
      <c r="A3022" s="154"/>
      <c r="B3022" s="155"/>
    </row>
    <row r="3023" spans="1:2" hidden="1">
      <c r="A3023" s="154"/>
      <c r="B3023" s="155"/>
    </row>
    <row r="3024" spans="1:2" hidden="1">
      <c r="A3024" s="154"/>
      <c r="B3024" s="155"/>
    </row>
    <row r="3025" spans="1:2" hidden="1">
      <c r="A3025" s="154"/>
      <c r="B3025" s="155"/>
    </row>
    <row r="3026" spans="1:2" hidden="1">
      <c r="A3026" s="154"/>
      <c r="B3026" s="155"/>
    </row>
    <row r="3027" spans="1:2" hidden="1">
      <c r="A3027" s="154"/>
      <c r="B3027" s="155"/>
    </row>
    <row r="3028" spans="1:2" hidden="1">
      <c r="A3028" s="154"/>
      <c r="B3028" s="155"/>
    </row>
    <row r="3029" spans="1:2" hidden="1">
      <c r="A3029" s="154"/>
      <c r="B3029" s="155"/>
    </row>
    <row r="3030" spans="1:2" hidden="1">
      <c r="A3030" s="154"/>
      <c r="B3030" s="155"/>
    </row>
    <row r="3031" spans="1:2" hidden="1">
      <c r="A3031" s="154"/>
      <c r="B3031" s="155"/>
    </row>
    <row r="3032" spans="1:2" hidden="1">
      <c r="A3032" s="154"/>
      <c r="B3032" s="155"/>
    </row>
    <row r="3033" spans="1:2" hidden="1">
      <c r="A3033" s="154"/>
      <c r="B3033" s="155"/>
    </row>
    <row r="3034" spans="1:2" hidden="1">
      <c r="A3034" s="154"/>
      <c r="B3034" s="155"/>
    </row>
    <row r="3035" spans="1:2" hidden="1">
      <c r="A3035" s="154"/>
      <c r="B3035" s="155"/>
    </row>
    <row r="3036" spans="1:2" hidden="1">
      <c r="A3036" s="154"/>
      <c r="B3036" s="155"/>
    </row>
    <row r="3037" spans="1:2" hidden="1">
      <c r="A3037" s="154"/>
      <c r="B3037" s="155"/>
    </row>
    <row r="3038" spans="1:2" hidden="1">
      <c r="A3038" s="154"/>
      <c r="B3038" s="155"/>
    </row>
    <row r="3039" spans="1:2" hidden="1">
      <c r="A3039" s="154"/>
      <c r="B3039" s="155"/>
    </row>
    <row r="3040" spans="1:2" hidden="1">
      <c r="A3040" s="154"/>
      <c r="B3040" s="155"/>
    </row>
    <row r="3041" spans="1:2" hidden="1">
      <c r="A3041" s="154"/>
      <c r="B3041" s="155"/>
    </row>
    <row r="3042" spans="1:2" hidden="1">
      <c r="A3042" s="154"/>
      <c r="B3042" s="155"/>
    </row>
    <row r="3043" spans="1:2" hidden="1">
      <c r="A3043" s="154"/>
      <c r="B3043" s="155"/>
    </row>
    <row r="3044" spans="1:2" hidden="1">
      <c r="A3044" s="154"/>
      <c r="B3044" s="155"/>
    </row>
    <row r="3045" spans="1:2" hidden="1">
      <c r="A3045" s="154"/>
      <c r="B3045" s="155"/>
    </row>
    <row r="3046" spans="1:2" hidden="1">
      <c r="A3046" s="154"/>
      <c r="B3046" s="155"/>
    </row>
    <row r="3047" spans="1:2" hidden="1">
      <c r="A3047" s="154"/>
      <c r="B3047" s="155"/>
    </row>
    <row r="3048" spans="1:2" hidden="1">
      <c r="A3048" s="154"/>
      <c r="B3048" s="155"/>
    </row>
    <row r="3049" spans="1:2" hidden="1">
      <c r="A3049" s="154"/>
      <c r="B3049" s="155"/>
    </row>
    <row r="3050" spans="1:2" hidden="1">
      <c r="A3050" s="154"/>
      <c r="B3050" s="155"/>
    </row>
    <row r="3051" spans="1:2" hidden="1">
      <c r="A3051" s="154"/>
      <c r="B3051" s="155"/>
    </row>
    <row r="3052" spans="1:2" hidden="1">
      <c r="A3052" s="154"/>
      <c r="B3052" s="155"/>
    </row>
    <row r="3053" spans="1:2" hidden="1">
      <c r="A3053" s="154"/>
      <c r="B3053" s="155"/>
    </row>
    <row r="3054" spans="1:2" hidden="1">
      <c r="A3054" s="154"/>
      <c r="B3054" s="155"/>
    </row>
    <row r="3055" spans="1:2" hidden="1">
      <c r="A3055" s="154"/>
      <c r="B3055" s="155"/>
    </row>
    <row r="3056" spans="1:2" hidden="1">
      <c r="A3056" s="154"/>
      <c r="B3056" s="155"/>
    </row>
    <row r="3057" spans="1:2" hidden="1">
      <c r="A3057" s="154"/>
      <c r="B3057" s="155"/>
    </row>
    <row r="3058" spans="1:2" hidden="1">
      <c r="A3058" s="154"/>
      <c r="B3058" s="155"/>
    </row>
    <row r="3059" spans="1:2" hidden="1">
      <c r="A3059" s="154"/>
      <c r="B3059" s="155"/>
    </row>
    <row r="3060" spans="1:2" hidden="1">
      <c r="A3060" s="154"/>
      <c r="B3060" s="155"/>
    </row>
    <row r="3061" spans="1:2" hidden="1">
      <c r="A3061" s="154"/>
      <c r="B3061" s="155"/>
    </row>
    <row r="3062" spans="1:2" hidden="1">
      <c r="A3062" s="154"/>
      <c r="B3062" s="155"/>
    </row>
    <row r="3063" spans="1:2" hidden="1">
      <c r="A3063" s="154"/>
      <c r="B3063" s="155"/>
    </row>
    <row r="3064" spans="1:2" hidden="1">
      <c r="A3064" s="154"/>
      <c r="B3064" s="155"/>
    </row>
    <row r="3065" spans="1:2" hidden="1">
      <c r="A3065" s="154"/>
      <c r="B3065" s="155"/>
    </row>
    <row r="3066" spans="1:2" hidden="1">
      <c r="A3066" s="154"/>
      <c r="B3066" s="155"/>
    </row>
    <row r="3067" spans="1:2" hidden="1">
      <c r="A3067" s="154"/>
      <c r="B3067" s="155"/>
    </row>
    <row r="3068" spans="1:2" hidden="1">
      <c r="A3068" s="154"/>
      <c r="B3068" s="155"/>
    </row>
    <row r="3069" spans="1:2" hidden="1">
      <c r="A3069" s="154"/>
      <c r="B3069" s="155"/>
    </row>
    <row r="3070" spans="1:2" hidden="1">
      <c r="A3070" s="154"/>
      <c r="B3070" s="155"/>
    </row>
    <row r="3071" spans="1:2" hidden="1">
      <c r="A3071" s="154"/>
      <c r="B3071" s="155"/>
    </row>
    <row r="3072" spans="1:2" hidden="1">
      <c r="A3072" s="154"/>
      <c r="B3072" s="155"/>
    </row>
    <row r="3073" spans="1:2" hidden="1">
      <c r="A3073" s="154"/>
      <c r="B3073" s="155"/>
    </row>
    <row r="3074" spans="1:2" hidden="1">
      <c r="A3074" s="154"/>
      <c r="B3074" s="155"/>
    </row>
    <row r="3075" spans="1:2" hidden="1">
      <c r="A3075" s="154"/>
      <c r="B3075" s="155"/>
    </row>
    <row r="3076" spans="1:2" hidden="1">
      <c r="A3076" s="154"/>
      <c r="B3076" s="155"/>
    </row>
    <row r="3077" spans="1:2" hidden="1">
      <c r="A3077" s="154"/>
      <c r="B3077" s="155"/>
    </row>
    <row r="3078" spans="1:2" hidden="1">
      <c r="A3078" s="154"/>
      <c r="B3078" s="155"/>
    </row>
    <row r="3079" spans="1:2" hidden="1">
      <c r="A3079" s="154"/>
      <c r="B3079" s="155"/>
    </row>
    <row r="3080" spans="1:2" hidden="1">
      <c r="A3080" s="154"/>
      <c r="B3080" s="155"/>
    </row>
    <row r="3081" spans="1:2" hidden="1">
      <c r="A3081" s="154"/>
      <c r="B3081" s="155"/>
    </row>
    <row r="3082" spans="1:2" hidden="1">
      <c r="A3082" s="154"/>
      <c r="B3082" s="155"/>
    </row>
    <row r="3083" spans="1:2" hidden="1">
      <c r="A3083" s="154"/>
      <c r="B3083" s="155"/>
    </row>
    <row r="3084" spans="1:2" hidden="1">
      <c r="A3084" s="154"/>
      <c r="B3084" s="155"/>
    </row>
    <row r="3085" spans="1:2" hidden="1">
      <c r="A3085" s="154"/>
      <c r="B3085" s="155"/>
    </row>
    <row r="3086" spans="1:2" hidden="1">
      <c r="A3086" s="154"/>
      <c r="B3086" s="155"/>
    </row>
    <row r="3087" spans="1:2" hidden="1">
      <c r="A3087" s="154"/>
      <c r="B3087" s="155"/>
    </row>
    <row r="3088" spans="1:2" hidden="1">
      <c r="A3088" s="154"/>
      <c r="B3088" s="155"/>
    </row>
    <row r="3089" spans="1:2" hidden="1">
      <c r="A3089" s="154"/>
      <c r="B3089" s="155"/>
    </row>
    <row r="3090" spans="1:2" hidden="1">
      <c r="A3090" s="154"/>
      <c r="B3090" s="155"/>
    </row>
    <row r="3091" spans="1:2" hidden="1">
      <c r="A3091" s="154"/>
      <c r="B3091" s="155"/>
    </row>
    <row r="3092" spans="1:2" hidden="1">
      <c r="A3092" s="154"/>
      <c r="B3092" s="155"/>
    </row>
    <row r="3093" spans="1:2" hidden="1">
      <c r="A3093" s="154"/>
      <c r="B3093" s="155"/>
    </row>
    <row r="3094" spans="1:2" hidden="1">
      <c r="A3094" s="154"/>
      <c r="B3094" s="155"/>
    </row>
    <row r="3095" spans="1:2" hidden="1">
      <c r="A3095" s="154"/>
      <c r="B3095" s="155"/>
    </row>
    <row r="3096" spans="1:2" hidden="1">
      <c r="A3096" s="154"/>
      <c r="B3096" s="155"/>
    </row>
    <row r="3097" spans="1:2" hidden="1">
      <c r="A3097" s="154"/>
      <c r="B3097" s="155"/>
    </row>
    <row r="3098" spans="1:2" hidden="1">
      <c r="A3098" s="154"/>
      <c r="B3098" s="155"/>
    </row>
    <row r="3099" spans="1:2" hidden="1">
      <c r="A3099" s="154"/>
      <c r="B3099" s="155"/>
    </row>
    <row r="3100" spans="1:2" hidden="1">
      <c r="A3100" s="154"/>
      <c r="B3100" s="155"/>
    </row>
    <row r="3101" spans="1:2" hidden="1">
      <c r="A3101" s="154"/>
      <c r="B3101" s="155"/>
    </row>
    <row r="3102" spans="1:2" hidden="1">
      <c r="A3102" s="154"/>
      <c r="B3102" s="155"/>
    </row>
    <row r="3103" spans="1:2" hidden="1">
      <c r="A3103" s="154"/>
      <c r="B3103" s="155"/>
    </row>
    <row r="3104" spans="1:2" hidden="1">
      <c r="A3104" s="154"/>
      <c r="B3104" s="155"/>
    </row>
    <row r="3105" spans="1:2" hidden="1">
      <c r="A3105" s="154"/>
      <c r="B3105" s="155"/>
    </row>
    <row r="3106" spans="1:2" hidden="1">
      <c r="A3106" s="154"/>
      <c r="B3106" s="155"/>
    </row>
    <row r="3107" spans="1:2" hidden="1">
      <c r="A3107" s="154"/>
      <c r="B3107" s="155"/>
    </row>
    <row r="3108" spans="1:2" hidden="1">
      <c r="A3108" s="154"/>
      <c r="B3108" s="155"/>
    </row>
    <row r="3109" spans="1:2" hidden="1">
      <c r="A3109" s="154"/>
      <c r="B3109" s="155"/>
    </row>
    <row r="3110" spans="1:2" hidden="1">
      <c r="A3110" s="154"/>
      <c r="B3110" s="155"/>
    </row>
    <row r="3111" spans="1:2" hidden="1">
      <c r="A3111" s="154"/>
      <c r="B3111" s="155"/>
    </row>
    <row r="3112" spans="1:2" hidden="1">
      <c r="A3112" s="154"/>
      <c r="B3112" s="155"/>
    </row>
    <row r="3113" spans="1:2" hidden="1">
      <c r="A3113" s="154"/>
      <c r="B3113" s="155"/>
    </row>
    <row r="3114" spans="1:2" hidden="1">
      <c r="A3114" s="154"/>
      <c r="B3114" s="155"/>
    </row>
    <row r="3115" spans="1:2" hidden="1">
      <c r="A3115" s="154"/>
      <c r="B3115" s="155"/>
    </row>
    <row r="3116" spans="1:2" hidden="1">
      <c r="A3116" s="154"/>
      <c r="B3116" s="155"/>
    </row>
    <row r="3117" spans="1:2" ht="14.25" hidden="1" customHeight="1">
      <c r="A3117" s="154"/>
      <c r="B3117" s="155"/>
    </row>
    <row r="3118" spans="1:2" ht="14.25" hidden="1" customHeight="1">
      <c r="A3118" s="154"/>
      <c r="B3118" s="155"/>
    </row>
    <row r="3119" spans="1:2" ht="14.25" hidden="1" customHeight="1">
      <c r="A3119" s="154"/>
      <c r="B3119" s="155"/>
    </row>
    <row r="3120" spans="1:2" ht="14.25" hidden="1" customHeight="1">
      <c r="A3120" s="154"/>
      <c r="B3120" s="155"/>
    </row>
    <row r="3121" spans="1:2" ht="14.25" hidden="1" customHeight="1">
      <c r="A3121" s="154"/>
      <c r="B3121" s="155"/>
    </row>
    <row r="3122" spans="1:2" ht="14.25" hidden="1" customHeight="1">
      <c r="A3122" s="154"/>
      <c r="B3122" s="155"/>
    </row>
    <row r="3123" spans="1:2" ht="14.25" hidden="1" customHeight="1">
      <c r="A3123" s="154"/>
      <c r="B3123" s="155"/>
    </row>
    <row r="3124" spans="1:2" ht="14.25" hidden="1" customHeight="1">
      <c r="A3124" s="154"/>
      <c r="B3124" s="155"/>
    </row>
    <row r="3125" spans="1:2" ht="14.25" hidden="1" customHeight="1">
      <c r="A3125" s="154"/>
      <c r="B3125" s="155"/>
    </row>
    <row r="3126" spans="1:2" ht="14.25" hidden="1" customHeight="1">
      <c r="A3126" s="154"/>
      <c r="B3126" s="155"/>
    </row>
    <row r="3127" spans="1:2" ht="14.25" hidden="1" customHeight="1">
      <c r="A3127" s="154"/>
      <c r="B3127" s="155"/>
    </row>
    <row r="3128" spans="1:2" ht="14.25" hidden="1" customHeight="1">
      <c r="A3128" s="154"/>
      <c r="B3128" s="155"/>
    </row>
    <row r="3129" spans="1:2" ht="14.25" hidden="1" customHeight="1">
      <c r="A3129" s="154"/>
      <c r="B3129" s="155"/>
    </row>
    <row r="3130" spans="1:2" ht="14.25" hidden="1" customHeight="1">
      <c r="A3130" s="154"/>
      <c r="B3130" s="155"/>
    </row>
    <row r="3131" spans="1:2" ht="14.25" hidden="1" customHeight="1">
      <c r="A3131" s="154"/>
      <c r="B3131" s="155"/>
    </row>
    <row r="3132" spans="1:2" ht="14.25" hidden="1" customHeight="1">
      <c r="A3132" s="154"/>
      <c r="B3132" s="155"/>
    </row>
    <row r="3133" spans="1:2" ht="14.25" hidden="1" customHeight="1">
      <c r="A3133" s="154"/>
      <c r="B3133" s="155"/>
    </row>
    <row r="3134" spans="1:2" ht="14.25" hidden="1" customHeight="1">
      <c r="A3134" s="154"/>
      <c r="B3134" s="155"/>
    </row>
    <row r="3135" spans="1:2" ht="14.25" hidden="1" customHeight="1">
      <c r="A3135" s="154"/>
      <c r="B3135" s="155"/>
    </row>
    <row r="3136" spans="1:2" ht="14.25" hidden="1" customHeight="1">
      <c r="A3136" s="154"/>
      <c r="B3136" s="155"/>
    </row>
    <row r="3137" spans="1:2" ht="14.25" hidden="1" customHeight="1">
      <c r="A3137" s="154"/>
      <c r="B3137" s="155"/>
    </row>
    <row r="3138" spans="1:2" ht="14.25" hidden="1" customHeight="1">
      <c r="A3138" s="154"/>
      <c r="B3138" s="155"/>
    </row>
    <row r="3139" spans="1:2" ht="14.25" hidden="1" customHeight="1">
      <c r="A3139" s="154"/>
      <c r="B3139" s="155"/>
    </row>
    <row r="3140" spans="1:2" ht="14.25" hidden="1" customHeight="1">
      <c r="A3140" s="154"/>
      <c r="B3140" s="155"/>
    </row>
    <row r="3141" spans="1:2" ht="14.25" hidden="1" customHeight="1">
      <c r="A3141" s="154"/>
      <c r="B3141" s="155"/>
    </row>
    <row r="3142" spans="1:2" ht="14.25" hidden="1" customHeight="1">
      <c r="A3142" s="154"/>
      <c r="B3142" s="155"/>
    </row>
    <row r="3143" spans="1:2" ht="14.25" hidden="1" customHeight="1">
      <c r="A3143" s="154"/>
      <c r="B3143" s="155"/>
    </row>
    <row r="3144" spans="1:2" ht="14.25" hidden="1" customHeight="1">
      <c r="A3144" s="154"/>
      <c r="B3144" s="155"/>
    </row>
    <row r="3145" spans="1:2" ht="14.25" hidden="1" customHeight="1">
      <c r="A3145" s="154"/>
      <c r="B3145" s="155"/>
    </row>
    <row r="3146" spans="1:2" ht="14.25" hidden="1" customHeight="1">
      <c r="A3146" s="154"/>
      <c r="B3146" s="155"/>
    </row>
    <row r="3147" spans="1:2" ht="14.25" hidden="1" customHeight="1">
      <c r="A3147" s="154"/>
      <c r="B3147" s="155"/>
    </row>
    <row r="3148" spans="1:2" ht="14.25" hidden="1" customHeight="1">
      <c r="A3148" s="154"/>
      <c r="B3148" s="155"/>
    </row>
    <row r="3149" spans="1:2" ht="14.25" hidden="1" customHeight="1">
      <c r="A3149" s="154"/>
      <c r="B3149" s="155"/>
    </row>
    <row r="3150" spans="1:2" ht="14.25" hidden="1" customHeight="1">
      <c r="A3150" s="154"/>
      <c r="B3150" s="155"/>
    </row>
    <row r="3151" spans="1:2" ht="14.25" hidden="1" customHeight="1">
      <c r="A3151" s="154"/>
      <c r="B3151" s="155"/>
    </row>
    <row r="3152" spans="1:2" ht="14.25" hidden="1" customHeight="1">
      <c r="A3152" s="154"/>
      <c r="B3152" s="155"/>
    </row>
    <row r="3153" spans="1:2" ht="14.25" hidden="1" customHeight="1">
      <c r="A3153" s="154"/>
      <c r="B3153" s="155"/>
    </row>
    <row r="3154" spans="1:2" ht="14.25" hidden="1" customHeight="1">
      <c r="A3154" s="154"/>
      <c r="B3154" s="155"/>
    </row>
    <row r="3155" spans="1:2" ht="14.25" hidden="1" customHeight="1">
      <c r="A3155" s="154"/>
      <c r="B3155" s="155"/>
    </row>
    <row r="3156" spans="1:2" ht="14.25" hidden="1" customHeight="1">
      <c r="A3156" s="154"/>
      <c r="B3156" s="155"/>
    </row>
    <row r="3157" spans="1:2" ht="14.25" hidden="1" customHeight="1">
      <c r="A3157" s="154"/>
      <c r="B3157" s="155"/>
    </row>
    <row r="3158" spans="1:2" ht="14.25" hidden="1" customHeight="1">
      <c r="A3158" s="154"/>
      <c r="B3158" s="155"/>
    </row>
    <row r="3159" spans="1:2" ht="14.25" hidden="1" customHeight="1">
      <c r="A3159" s="154"/>
      <c r="B3159" s="155"/>
    </row>
    <row r="3160" spans="1:2" ht="14.25" hidden="1" customHeight="1">
      <c r="A3160" s="154"/>
      <c r="B3160" s="155"/>
    </row>
    <row r="3161" spans="1:2" ht="14.25" hidden="1" customHeight="1">
      <c r="A3161" s="154"/>
      <c r="B3161" s="155"/>
    </row>
    <row r="3162" spans="1:2" ht="14.25" hidden="1" customHeight="1">
      <c r="A3162" s="154"/>
      <c r="B3162" s="155"/>
    </row>
    <row r="3163" spans="1:2" ht="14.25" hidden="1" customHeight="1">
      <c r="A3163" s="154"/>
      <c r="B3163" s="155"/>
    </row>
    <row r="3164" spans="1:2" ht="14.25" hidden="1" customHeight="1">
      <c r="A3164" s="154"/>
      <c r="B3164" s="155"/>
    </row>
    <row r="3165" spans="1:2" ht="14.25" hidden="1" customHeight="1">
      <c r="A3165" s="154"/>
      <c r="B3165" s="155"/>
    </row>
    <row r="3166" spans="1:2" ht="14.25" hidden="1" customHeight="1">
      <c r="A3166" s="154"/>
      <c r="B3166" s="155"/>
    </row>
    <row r="3167" spans="1:2" ht="14.25" hidden="1" customHeight="1">
      <c r="A3167" s="154"/>
      <c r="B3167" s="155"/>
    </row>
    <row r="3168" spans="1:2" ht="14.25" hidden="1" customHeight="1">
      <c r="A3168" s="154"/>
      <c r="B3168" s="155"/>
    </row>
    <row r="3169" spans="1:2" ht="14.25" hidden="1" customHeight="1">
      <c r="A3169" s="154"/>
      <c r="B3169" s="155"/>
    </row>
    <row r="3170" spans="1:2" ht="14.25" hidden="1" customHeight="1">
      <c r="A3170" s="154"/>
      <c r="B3170" s="155"/>
    </row>
    <row r="3171" spans="1:2" ht="14.25" hidden="1" customHeight="1">
      <c r="A3171" s="154"/>
      <c r="B3171" s="155"/>
    </row>
    <row r="3172" spans="1:2" ht="14.25" hidden="1" customHeight="1">
      <c r="A3172" s="154"/>
      <c r="B3172" s="155"/>
    </row>
    <row r="3173" spans="1:2" ht="14.25" hidden="1" customHeight="1">
      <c r="A3173" s="154"/>
      <c r="B3173" s="155"/>
    </row>
    <row r="3174" spans="1:2" ht="14.25" hidden="1" customHeight="1">
      <c r="A3174" s="154"/>
      <c r="B3174" s="155"/>
    </row>
    <row r="3175" spans="1:2" ht="14.25" hidden="1" customHeight="1">
      <c r="A3175" s="154"/>
      <c r="B3175" s="155"/>
    </row>
    <row r="3176" spans="1:2" ht="14.25" hidden="1" customHeight="1">
      <c r="A3176" s="154"/>
      <c r="B3176" s="155"/>
    </row>
    <row r="3177" spans="1:2" ht="14.25" hidden="1" customHeight="1">
      <c r="A3177" s="154"/>
      <c r="B3177" s="155"/>
    </row>
    <row r="3178" spans="1:2" ht="14.25" hidden="1" customHeight="1">
      <c r="A3178" s="154"/>
      <c r="B3178" s="155"/>
    </row>
    <row r="3179" spans="1:2" ht="14.25" hidden="1" customHeight="1">
      <c r="A3179" s="154"/>
      <c r="B3179" s="155"/>
    </row>
    <row r="3180" spans="1:2" ht="14.25" hidden="1" customHeight="1">
      <c r="A3180" s="154"/>
      <c r="B3180" s="155"/>
    </row>
    <row r="3181" spans="1:2" ht="14.25" hidden="1" customHeight="1">
      <c r="A3181" s="154"/>
      <c r="B3181" s="155"/>
    </row>
    <row r="3182" spans="1:2" ht="14.25" hidden="1" customHeight="1">
      <c r="A3182" s="154"/>
      <c r="B3182" s="155"/>
    </row>
    <row r="3183" spans="1:2" ht="14.25" hidden="1" customHeight="1">
      <c r="A3183" s="154"/>
      <c r="B3183" s="155"/>
    </row>
    <row r="3184" spans="1:2" ht="14.25" hidden="1" customHeight="1">
      <c r="A3184" s="154"/>
      <c r="B3184" s="155"/>
    </row>
    <row r="3185" spans="1:2" ht="14.25" hidden="1" customHeight="1">
      <c r="A3185" s="154"/>
      <c r="B3185" s="155"/>
    </row>
    <row r="3186" spans="1:2" ht="14.25" hidden="1" customHeight="1">
      <c r="A3186" s="154"/>
      <c r="B3186" s="155"/>
    </row>
    <row r="3187" spans="1:2" ht="14.25" hidden="1" customHeight="1">
      <c r="A3187" s="154"/>
      <c r="B3187" s="155"/>
    </row>
    <row r="3188" spans="1:2" ht="14.25" hidden="1" customHeight="1">
      <c r="A3188" s="154"/>
      <c r="B3188" s="155"/>
    </row>
    <row r="3189" spans="1:2" ht="14.25" hidden="1" customHeight="1">
      <c r="A3189" s="154"/>
      <c r="B3189" s="155"/>
    </row>
    <row r="3190" spans="1:2" ht="14.25" hidden="1" customHeight="1">
      <c r="A3190" s="154"/>
      <c r="B3190" s="155"/>
    </row>
    <row r="3191" spans="1:2" ht="14.25" hidden="1" customHeight="1">
      <c r="A3191" s="154"/>
      <c r="B3191" s="155"/>
    </row>
    <row r="3192" spans="1:2" ht="14.25" hidden="1" customHeight="1">
      <c r="A3192" s="154"/>
      <c r="B3192" s="155"/>
    </row>
    <row r="3193" spans="1:2" ht="14.25" hidden="1" customHeight="1">
      <c r="A3193" s="154"/>
      <c r="B3193" s="155"/>
    </row>
    <row r="3194" spans="1:2" ht="14.25" hidden="1" customHeight="1">
      <c r="A3194" s="154"/>
      <c r="B3194" s="155"/>
    </row>
    <row r="3195" spans="1:2" ht="14.25" hidden="1" customHeight="1">
      <c r="A3195" s="154"/>
      <c r="B3195" s="155"/>
    </row>
    <row r="3196" spans="1:2" ht="14.25" hidden="1" customHeight="1">
      <c r="A3196" s="154"/>
      <c r="B3196" s="155"/>
    </row>
    <row r="3197" spans="1:2" ht="14.25" hidden="1" customHeight="1">
      <c r="A3197" s="154"/>
      <c r="B3197" s="155"/>
    </row>
    <row r="3198" spans="1:2" ht="14.25" hidden="1" customHeight="1">
      <c r="A3198" s="154"/>
      <c r="B3198" s="155"/>
    </row>
    <row r="3199" spans="1:2" ht="14.25" hidden="1" customHeight="1">
      <c r="A3199" s="154"/>
      <c r="B3199" s="155"/>
    </row>
    <row r="3200" spans="1:2" ht="14.25" hidden="1" customHeight="1">
      <c r="A3200" s="154"/>
      <c r="B3200" s="155"/>
    </row>
    <row r="3201" spans="1:2" ht="14.25" hidden="1" customHeight="1">
      <c r="A3201" s="154"/>
      <c r="B3201" s="155"/>
    </row>
    <row r="3202" spans="1:2" ht="14.25" hidden="1" customHeight="1">
      <c r="A3202" s="154"/>
      <c r="B3202" s="155"/>
    </row>
    <row r="3203" spans="1:2" ht="14.25" hidden="1" customHeight="1">
      <c r="A3203" s="154"/>
      <c r="B3203" s="155"/>
    </row>
    <row r="3204" spans="1:2" ht="14.25" hidden="1" customHeight="1">
      <c r="A3204" s="154"/>
      <c r="B3204" s="155"/>
    </row>
    <row r="3205" spans="1:2" ht="14.25" hidden="1" customHeight="1">
      <c r="A3205" s="154"/>
      <c r="B3205" s="155"/>
    </row>
    <row r="3206" spans="1:2" ht="14.25" hidden="1" customHeight="1">
      <c r="A3206" s="154"/>
      <c r="B3206" s="155"/>
    </row>
    <row r="3207" spans="1:2" ht="14.25" hidden="1" customHeight="1">
      <c r="A3207" s="154"/>
      <c r="B3207" s="155"/>
    </row>
    <row r="3208" spans="1:2" ht="14.25" hidden="1" customHeight="1">
      <c r="A3208" s="154"/>
      <c r="B3208" s="155"/>
    </row>
    <row r="3209" spans="1:2" ht="14.25" hidden="1" customHeight="1">
      <c r="A3209" s="154"/>
      <c r="B3209" s="155"/>
    </row>
    <row r="3210" spans="1:2" ht="14.25" hidden="1" customHeight="1">
      <c r="A3210" s="154"/>
      <c r="B3210" s="155"/>
    </row>
    <row r="3211" spans="1:2" ht="14.25" hidden="1" customHeight="1">
      <c r="A3211" s="154"/>
      <c r="B3211" s="155"/>
    </row>
    <row r="3212" spans="1:2" ht="14.25" hidden="1" customHeight="1">
      <c r="A3212" s="154"/>
      <c r="B3212" s="155"/>
    </row>
    <row r="3213" spans="1:2" ht="14.25" hidden="1" customHeight="1">
      <c r="A3213" s="154"/>
      <c r="B3213" s="155"/>
    </row>
    <row r="3214" spans="1:2" ht="14.25" hidden="1" customHeight="1">
      <c r="A3214" s="154"/>
      <c r="B3214" s="155"/>
    </row>
    <row r="3215" spans="1:2" ht="14.25" hidden="1" customHeight="1">
      <c r="A3215" s="154"/>
      <c r="B3215" s="155"/>
    </row>
    <row r="3216" spans="1:2" ht="14.25" hidden="1" customHeight="1">
      <c r="A3216" s="154"/>
      <c r="B3216" s="155"/>
    </row>
    <row r="3217" spans="1:2" ht="14.25" hidden="1" customHeight="1">
      <c r="A3217" s="154"/>
      <c r="B3217" s="155"/>
    </row>
    <row r="3218" spans="1:2" ht="14.25" hidden="1" customHeight="1">
      <c r="A3218" s="154"/>
      <c r="B3218" s="155"/>
    </row>
    <row r="3219" spans="1:2" ht="14.25" hidden="1" customHeight="1">
      <c r="A3219" s="154"/>
      <c r="B3219" s="155"/>
    </row>
    <row r="3220" spans="1:2" ht="14.25" hidden="1" customHeight="1">
      <c r="A3220" s="154"/>
      <c r="B3220" s="155"/>
    </row>
    <row r="3221" spans="1:2" ht="14.25" hidden="1" customHeight="1">
      <c r="A3221" s="154"/>
      <c r="B3221" s="155"/>
    </row>
    <row r="3222" spans="1:2" ht="14.25" hidden="1" customHeight="1">
      <c r="A3222" s="154"/>
      <c r="B3222" s="155"/>
    </row>
    <row r="3223" spans="1:2" ht="14.25" hidden="1" customHeight="1">
      <c r="A3223" s="154"/>
      <c r="B3223" s="155"/>
    </row>
    <row r="3224" spans="1:2" ht="14.25" hidden="1" customHeight="1">
      <c r="A3224" s="154"/>
      <c r="B3224" s="155"/>
    </row>
    <row r="3225" spans="1:2" ht="14.25" hidden="1" customHeight="1">
      <c r="A3225" s="154"/>
      <c r="B3225" s="155"/>
    </row>
    <row r="3226" spans="1:2" ht="14.25" hidden="1" customHeight="1">
      <c r="A3226" s="154"/>
      <c r="B3226" s="155"/>
    </row>
    <row r="3227" spans="1:2" ht="14.25" hidden="1" customHeight="1">
      <c r="A3227" s="154"/>
      <c r="B3227" s="155"/>
    </row>
    <row r="3228" spans="1:2" ht="14.25" hidden="1" customHeight="1">
      <c r="A3228" s="154"/>
      <c r="B3228" s="155"/>
    </row>
    <row r="3229" spans="1:2" ht="14.25" hidden="1" customHeight="1">
      <c r="A3229" s="154"/>
      <c r="B3229" s="155"/>
    </row>
    <row r="3230" spans="1:2" ht="14.25" hidden="1" customHeight="1">
      <c r="A3230" s="154"/>
      <c r="B3230" s="155"/>
    </row>
    <row r="3231" spans="1:2" ht="14.25" hidden="1" customHeight="1">
      <c r="A3231" s="154"/>
      <c r="B3231" s="155"/>
    </row>
    <row r="3232" spans="1:2" ht="14.25" hidden="1" customHeight="1">
      <c r="A3232" s="154"/>
      <c r="B3232" s="155"/>
    </row>
    <row r="3233" spans="1:2" ht="14.25" hidden="1" customHeight="1">
      <c r="A3233" s="154"/>
      <c r="B3233" s="155"/>
    </row>
    <row r="3234" spans="1:2" ht="14.25" hidden="1" customHeight="1">
      <c r="A3234" s="154"/>
      <c r="B3234" s="155"/>
    </row>
    <row r="3235" spans="1:2" ht="14.25" hidden="1" customHeight="1">
      <c r="A3235" s="154"/>
      <c r="B3235" s="155"/>
    </row>
    <row r="3236" spans="1:2" ht="14.25" hidden="1" customHeight="1">
      <c r="A3236" s="154"/>
      <c r="B3236" s="155"/>
    </row>
    <row r="3237" spans="1:2" ht="14.25" hidden="1" customHeight="1">
      <c r="A3237" s="154"/>
      <c r="B3237" s="155"/>
    </row>
    <row r="3238" spans="1:2" ht="14.25" hidden="1" customHeight="1">
      <c r="A3238" s="154"/>
      <c r="B3238" s="155"/>
    </row>
    <row r="3239" spans="1:2" ht="14.25" hidden="1" customHeight="1">
      <c r="A3239" s="154"/>
      <c r="B3239" s="155"/>
    </row>
    <row r="3240" spans="1:2" ht="14.25" hidden="1" customHeight="1">
      <c r="A3240" s="154"/>
      <c r="B3240" s="155"/>
    </row>
    <row r="3241" spans="1:2" ht="14.25" hidden="1" customHeight="1">
      <c r="A3241" s="154"/>
      <c r="B3241" s="155"/>
    </row>
    <row r="3242" spans="1:2" ht="14.25" hidden="1" customHeight="1">
      <c r="A3242" s="154"/>
      <c r="B3242" s="155"/>
    </row>
    <row r="3243" spans="1:2" ht="14.25" hidden="1" customHeight="1">
      <c r="A3243" s="154"/>
      <c r="B3243" s="155"/>
    </row>
    <row r="3244" spans="1:2" ht="14.25" hidden="1" customHeight="1">
      <c r="A3244" s="154"/>
      <c r="B3244" s="155"/>
    </row>
    <row r="3245" spans="1:2" ht="14.25" hidden="1" customHeight="1">
      <c r="A3245" s="154"/>
      <c r="B3245" s="155"/>
    </row>
    <row r="3246" spans="1:2" ht="14.25" hidden="1" customHeight="1">
      <c r="A3246" s="154"/>
      <c r="B3246" s="155"/>
    </row>
    <row r="3247" spans="1:2" ht="14.25" hidden="1" customHeight="1">
      <c r="A3247" s="154"/>
      <c r="B3247" s="155"/>
    </row>
    <row r="3248" spans="1:2" ht="14.25" hidden="1" customHeight="1">
      <c r="A3248" s="154"/>
      <c r="B3248" s="155"/>
    </row>
    <row r="3249" spans="1:2" ht="14.25" hidden="1" customHeight="1">
      <c r="A3249" s="154"/>
      <c r="B3249" s="155"/>
    </row>
    <row r="3250" spans="1:2" ht="14.25" hidden="1" customHeight="1">
      <c r="A3250" s="154"/>
      <c r="B3250" s="155"/>
    </row>
    <row r="3251" spans="1:2" ht="14.25" hidden="1" customHeight="1">
      <c r="A3251" s="154"/>
      <c r="B3251" s="155"/>
    </row>
    <row r="3252" spans="1:2" ht="14.25" hidden="1" customHeight="1">
      <c r="A3252" s="154"/>
      <c r="B3252" s="155"/>
    </row>
    <row r="3253" spans="1:2" ht="14.25" hidden="1" customHeight="1">
      <c r="A3253" s="154"/>
      <c r="B3253" s="155"/>
    </row>
    <row r="3254" spans="1:2" ht="14.25" hidden="1" customHeight="1">
      <c r="A3254" s="154"/>
      <c r="B3254" s="155"/>
    </row>
    <row r="3255" spans="1:2" ht="14.25" hidden="1" customHeight="1">
      <c r="A3255" s="154"/>
      <c r="B3255" s="155"/>
    </row>
    <row r="3256" spans="1:2" ht="14.25" hidden="1" customHeight="1">
      <c r="A3256" s="154"/>
      <c r="B3256" s="155"/>
    </row>
    <row r="3257" spans="1:2" ht="14.25" hidden="1" customHeight="1">
      <c r="A3257" s="154"/>
      <c r="B3257" s="155"/>
    </row>
    <row r="3258" spans="1:2" ht="14.25" hidden="1" customHeight="1">
      <c r="A3258" s="154"/>
      <c r="B3258" s="155"/>
    </row>
    <row r="3259" spans="1:2" ht="14.25" hidden="1" customHeight="1">
      <c r="A3259" s="154"/>
      <c r="B3259" s="155"/>
    </row>
    <row r="3260" spans="1:2" ht="14.25" hidden="1" customHeight="1">
      <c r="A3260" s="154"/>
      <c r="B3260" s="155"/>
    </row>
    <row r="3261" spans="1:2" ht="14.25" hidden="1" customHeight="1">
      <c r="A3261" s="154"/>
      <c r="B3261" s="155"/>
    </row>
    <row r="3262" spans="1:2" ht="14.25" hidden="1" customHeight="1">
      <c r="A3262" s="154"/>
      <c r="B3262" s="155"/>
    </row>
    <row r="3263" spans="1:2" ht="14.25" hidden="1" customHeight="1">
      <c r="A3263" s="154"/>
      <c r="B3263" s="155"/>
    </row>
    <row r="3264" spans="1:2" ht="14.25" hidden="1" customHeight="1">
      <c r="A3264" s="154"/>
      <c r="B3264" s="155"/>
    </row>
    <row r="3265" spans="1:2" ht="14.25" hidden="1" customHeight="1">
      <c r="A3265" s="154"/>
      <c r="B3265" s="155"/>
    </row>
    <row r="3266" spans="1:2" ht="14.25" hidden="1" customHeight="1">
      <c r="A3266" s="154"/>
      <c r="B3266" s="155"/>
    </row>
    <row r="3267" spans="1:2" ht="14.25" hidden="1" customHeight="1">
      <c r="A3267" s="154"/>
      <c r="B3267" s="155"/>
    </row>
    <row r="3268" spans="1:2" ht="14.25" hidden="1" customHeight="1">
      <c r="A3268" s="154"/>
      <c r="B3268" s="155"/>
    </row>
    <row r="3269" spans="1:2" ht="14.25" hidden="1" customHeight="1">
      <c r="A3269" s="154"/>
      <c r="B3269" s="155"/>
    </row>
    <row r="3270" spans="1:2" ht="14.25" hidden="1" customHeight="1">
      <c r="A3270" s="154"/>
      <c r="B3270" s="155"/>
    </row>
    <row r="3271" spans="1:2" ht="14.25" hidden="1" customHeight="1">
      <c r="A3271" s="154"/>
      <c r="B3271" s="155"/>
    </row>
    <row r="3272" spans="1:2" ht="14.25" hidden="1" customHeight="1">
      <c r="A3272" s="154"/>
      <c r="B3272" s="155"/>
    </row>
    <row r="3273" spans="1:2" ht="14.25" hidden="1" customHeight="1">
      <c r="A3273" s="154"/>
      <c r="B3273" s="155"/>
    </row>
    <row r="3274" spans="1:2" ht="14.25" hidden="1" customHeight="1">
      <c r="A3274" s="154"/>
      <c r="B3274" s="155"/>
    </row>
    <row r="3275" spans="1:2" ht="14.25" hidden="1" customHeight="1">
      <c r="A3275" s="154"/>
      <c r="B3275" s="155"/>
    </row>
    <row r="3276" spans="1:2" ht="14.25" hidden="1" customHeight="1">
      <c r="A3276" s="154"/>
      <c r="B3276" s="155"/>
    </row>
    <row r="3277" spans="1:2" ht="14.25" hidden="1" customHeight="1">
      <c r="A3277" s="154"/>
      <c r="B3277" s="155"/>
    </row>
    <row r="3278" spans="1:2" ht="14.25" hidden="1" customHeight="1">
      <c r="A3278" s="154"/>
      <c r="B3278" s="155"/>
    </row>
    <row r="3279" spans="1:2" ht="14.25" hidden="1" customHeight="1">
      <c r="A3279" s="154"/>
      <c r="B3279" s="155"/>
    </row>
    <row r="3280" spans="1:2" ht="14.25" hidden="1" customHeight="1">
      <c r="A3280" s="154"/>
      <c r="B3280" s="155"/>
    </row>
    <row r="3281" spans="1:2" ht="14.25" hidden="1" customHeight="1">
      <c r="A3281" s="154"/>
      <c r="B3281" s="155"/>
    </row>
    <row r="3282" spans="1:2" ht="14.25" hidden="1" customHeight="1">
      <c r="A3282" s="154"/>
      <c r="B3282" s="155"/>
    </row>
    <row r="3283" spans="1:2" ht="14.25" hidden="1" customHeight="1">
      <c r="A3283" s="154"/>
      <c r="B3283" s="155"/>
    </row>
    <row r="3284" spans="1:2" ht="14.25" hidden="1" customHeight="1">
      <c r="A3284" s="154"/>
      <c r="B3284" s="155"/>
    </row>
    <row r="3285" spans="1:2" ht="14.25" hidden="1" customHeight="1">
      <c r="A3285" s="154"/>
      <c r="B3285" s="155"/>
    </row>
    <row r="3286" spans="1:2" ht="14.25" hidden="1" customHeight="1">
      <c r="A3286" s="154"/>
      <c r="B3286" s="155"/>
    </row>
    <row r="3287" spans="1:2" ht="14.25" hidden="1" customHeight="1">
      <c r="A3287" s="154"/>
      <c r="B3287" s="155"/>
    </row>
    <row r="3288" spans="1:2" ht="14.25" hidden="1" customHeight="1">
      <c r="A3288" s="154"/>
      <c r="B3288" s="155"/>
    </row>
    <row r="3289" spans="1:2" ht="14.25" hidden="1" customHeight="1">
      <c r="A3289" s="154"/>
      <c r="B3289" s="155"/>
    </row>
    <row r="3290" spans="1:2" ht="14.25" hidden="1" customHeight="1">
      <c r="A3290" s="154"/>
      <c r="B3290" s="155"/>
    </row>
    <row r="3291" spans="1:2" ht="14.25" hidden="1" customHeight="1">
      <c r="A3291" s="154"/>
      <c r="B3291" s="155"/>
    </row>
    <row r="3292" spans="1:2" ht="14.25" hidden="1" customHeight="1">
      <c r="A3292" s="154"/>
      <c r="B3292" s="155"/>
    </row>
    <row r="3293" spans="1:2" ht="14.25" hidden="1" customHeight="1">
      <c r="A3293" s="154"/>
      <c r="B3293" s="155"/>
    </row>
    <row r="3294" spans="1:2" ht="14.25" hidden="1" customHeight="1">
      <c r="A3294" s="154"/>
      <c r="B3294" s="155"/>
    </row>
    <row r="3295" spans="1:2" ht="14.25" hidden="1" customHeight="1">
      <c r="A3295" s="154"/>
      <c r="B3295" s="155"/>
    </row>
    <row r="3296" spans="1:2" ht="14.25" hidden="1" customHeight="1">
      <c r="A3296" s="154"/>
      <c r="B3296" s="155"/>
    </row>
    <row r="3297" spans="1:2" ht="14.25" hidden="1" customHeight="1">
      <c r="A3297" s="154"/>
      <c r="B3297" s="155"/>
    </row>
    <row r="3298" spans="1:2" ht="14.25" hidden="1" customHeight="1">
      <c r="A3298" s="154"/>
      <c r="B3298" s="155"/>
    </row>
    <row r="3299" spans="1:2" ht="14.25" hidden="1" customHeight="1">
      <c r="A3299" s="154"/>
      <c r="B3299" s="155"/>
    </row>
    <row r="3300" spans="1:2" ht="14.25" hidden="1" customHeight="1">
      <c r="A3300" s="154"/>
      <c r="B3300" s="155"/>
    </row>
    <row r="3301" spans="1:2" ht="14.25" hidden="1" customHeight="1">
      <c r="A3301" s="154"/>
      <c r="B3301" s="155"/>
    </row>
    <row r="3302" spans="1:2" ht="14.25" hidden="1" customHeight="1">
      <c r="A3302" s="154"/>
      <c r="B3302" s="155"/>
    </row>
    <row r="3303" spans="1:2" ht="14.25" hidden="1" customHeight="1">
      <c r="A3303" s="154"/>
      <c r="B3303" s="155"/>
    </row>
    <row r="3304" spans="1:2" ht="14.25" hidden="1" customHeight="1">
      <c r="A3304" s="154"/>
      <c r="B3304" s="155"/>
    </row>
    <row r="3305" spans="1:2" ht="14.25" hidden="1" customHeight="1">
      <c r="A3305" s="154"/>
      <c r="B3305" s="155"/>
    </row>
    <row r="3306" spans="1:2" ht="14.25" hidden="1" customHeight="1">
      <c r="A3306" s="154"/>
      <c r="B3306" s="155"/>
    </row>
    <row r="3307" spans="1:2" ht="14.25" hidden="1" customHeight="1">
      <c r="A3307" s="154"/>
      <c r="B3307" s="155"/>
    </row>
    <row r="3308" spans="1:2" ht="14.25" hidden="1" customHeight="1">
      <c r="A3308" s="154"/>
      <c r="B3308" s="155"/>
    </row>
    <row r="3309" spans="1:2" ht="14.25" hidden="1" customHeight="1">
      <c r="A3309" s="154"/>
      <c r="B3309" s="155"/>
    </row>
    <row r="3310" spans="1:2" ht="14.25" hidden="1" customHeight="1">
      <c r="A3310" s="154"/>
      <c r="B3310" s="155"/>
    </row>
    <row r="3311" spans="1:2" ht="14.25" hidden="1" customHeight="1">
      <c r="A3311" s="154"/>
      <c r="B3311" s="155"/>
    </row>
    <row r="3312" spans="1:2" ht="14.25" hidden="1" customHeight="1">
      <c r="A3312" s="154"/>
      <c r="B3312" s="155"/>
    </row>
    <row r="3313" spans="1:2" ht="14.25" hidden="1" customHeight="1">
      <c r="A3313" s="154"/>
      <c r="B3313" s="155"/>
    </row>
    <row r="3314" spans="1:2" ht="14.25" hidden="1" customHeight="1">
      <c r="A3314" s="154"/>
      <c r="B3314" s="155"/>
    </row>
    <row r="3315" spans="1:2" ht="14.25" hidden="1" customHeight="1">
      <c r="A3315" s="154"/>
      <c r="B3315" s="155"/>
    </row>
    <row r="3316" spans="1:2" ht="14.25" hidden="1" customHeight="1">
      <c r="A3316" s="154"/>
      <c r="B3316" s="155"/>
    </row>
    <row r="3317" spans="1:2" ht="14.25" hidden="1" customHeight="1">
      <c r="A3317" s="154"/>
      <c r="B3317" s="155"/>
    </row>
    <row r="3318" spans="1:2" ht="14.25" hidden="1" customHeight="1">
      <c r="A3318" s="154"/>
      <c r="B3318" s="155"/>
    </row>
    <row r="3319" spans="1:2" ht="14.25" hidden="1" customHeight="1">
      <c r="A3319" s="154"/>
      <c r="B3319" s="155"/>
    </row>
    <row r="3320" spans="1:2" ht="14.25" hidden="1" customHeight="1">
      <c r="A3320" s="154"/>
      <c r="B3320" s="155"/>
    </row>
    <row r="3321" spans="1:2" ht="14.25" hidden="1" customHeight="1">
      <c r="A3321" s="154"/>
      <c r="B3321" s="155"/>
    </row>
    <row r="3322" spans="1:2" ht="14.25" hidden="1" customHeight="1">
      <c r="A3322" s="154"/>
      <c r="B3322" s="155"/>
    </row>
    <row r="3323" spans="1:2" ht="14.25" hidden="1" customHeight="1">
      <c r="A3323" s="154"/>
      <c r="B3323" s="155"/>
    </row>
    <row r="3324" spans="1:2" ht="14.25" hidden="1" customHeight="1">
      <c r="A3324" s="154"/>
      <c r="B3324" s="155"/>
    </row>
    <row r="3325" spans="1:2" ht="14.25" hidden="1" customHeight="1">
      <c r="A3325" s="154"/>
      <c r="B3325" s="155"/>
    </row>
    <row r="3326" spans="1:2" ht="14.25" hidden="1" customHeight="1">
      <c r="A3326" s="154"/>
      <c r="B3326" s="155"/>
    </row>
    <row r="3327" spans="1:2" ht="14.25" hidden="1" customHeight="1">
      <c r="A3327" s="154"/>
      <c r="B3327" s="155"/>
    </row>
    <row r="3328" spans="1:2" ht="14.25" hidden="1" customHeight="1">
      <c r="A3328" s="154"/>
      <c r="B3328" s="155"/>
    </row>
    <row r="3329" spans="1:2" ht="14.25" hidden="1" customHeight="1">
      <c r="A3329" s="154"/>
      <c r="B3329" s="155"/>
    </row>
    <row r="3330" spans="1:2" ht="14.25" hidden="1" customHeight="1">
      <c r="A3330" s="154"/>
      <c r="B3330" s="155"/>
    </row>
    <row r="3331" spans="1:2" ht="14.25" hidden="1" customHeight="1">
      <c r="A3331" s="154"/>
      <c r="B3331" s="155"/>
    </row>
    <row r="3332" spans="1:2" ht="14.25" hidden="1" customHeight="1">
      <c r="A3332" s="154"/>
      <c r="B3332" s="155"/>
    </row>
    <row r="3333" spans="1:2" ht="14.25" hidden="1" customHeight="1">
      <c r="A3333" s="154"/>
      <c r="B3333" s="155"/>
    </row>
    <row r="3334" spans="1:2" ht="14.25" hidden="1" customHeight="1">
      <c r="A3334" s="154"/>
      <c r="B3334" s="155"/>
    </row>
    <row r="3335" spans="1:2" ht="14.25" hidden="1" customHeight="1">
      <c r="A3335" s="154"/>
      <c r="B3335" s="155"/>
    </row>
    <row r="3336" spans="1:2" ht="14.25" hidden="1" customHeight="1">
      <c r="A3336" s="154"/>
      <c r="B3336" s="155"/>
    </row>
    <row r="3337" spans="1:2" ht="14.25" hidden="1" customHeight="1">
      <c r="A3337" s="154"/>
      <c r="B3337" s="155"/>
    </row>
    <row r="3338" spans="1:2" ht="14.25" hidden="1" customHeight="1">
      <c r="A3338" s="154"/>
      <c r="B3338" s="155"/>
    </row>
    <row r="3339" spans="1:2" ht="14.25" hidden="1" customHeight="1">
      <c r="A3339" s="154"/>
      <c r="B3339" s="155"/>
    </row>
    <row r="3340" spans="1:2" ht="14.25" hidden="1" customHeight="1">
      <c r="A3340" s="154"/>
      <c r="B3340" s="155"/>
    </row>
    <row r="3341" spans="1:2" ht="14.25" hidden="1" customHeight="1">
      <c r="A3341" s="154"/>
      <c r="B3341" s="155"/>
    </row>
    <row r="3342" spans="1:2" ht="14.25" hidden="1" customHeight="1">
      <c r="A3342" s="154"/>
      <c r="B3342" s="155"/>
    </row>
    <row r="3343" spans="1:2" ht="14.25" hidden="1" customHeight="1">
      <c r="A3343" s="154"/>
      <c r="B3343" s="155"/>
    </row>
    <row r="3344" spans="1:2" ht="14.25" hidden="1" customHeight="1">
      <c r="A3344" s="154"/>
      <c r="B3344" s="155"/>
    </row>
    <row r="3345" spans="1:2" ht="14.25" hidden="1" customHeight="1">
      <c r="A3345" s="154"/>
      <c r="B3345" s="155"/>
    </row>
    <row r="3346" spans="1:2" ht="14.25" hidden="1" customHeight="1">
      <c r="A3346" s="154"/>
      <c r="B3346" s="155"/>
    </row>
    <row r="3347" spans="1:2" ht="14.25" hidden="1" customHeight="1">
      <c r="A3347" s="154"/>
      <c r="B3347" s="155"/>
    </row>
    <row r="3348" spans="1:2" ht="14.25" hidden="1" customHeight="1">
      <c r="A3348" s="154"/>
      <c r="B3348" s="155"/>
    </row>
    <row r="3349" spans="1:2" ht="14.25" hidden="1" customHeight="1">
      <c r="A3349" s="154"/>
      <c r="B3349" s="155"/>
    </row>
    <row r="3350" spans="1:2" ht="14.25" hidden="1" customHeight="1">
      <c r="A3350" s="154"/>
      <c r="B3350" s="155"/>
    </row>
    <row r="3351" spans="1:2" ht="14.25" hidden="1" customHeight="1">
      <c r="A3351" s="154"/>
      <c r="B3351" s="155"/>
    </row>
    <row r="3352" spans="1:2" ht="14.25" hidden="1" customHeight="1">
      <c r="A3352" s="154"/>
      <c r="B3352" s="155"/>
    </row>
    <row r="3353" spans="1:2" ht="14.25" hidden="1" customHeight="1">
      <c r="A3353" s="154"/>
      <c r="B3353" s="155"/>
    </row>
    <row r="3354" spans="1:2" ht="14.25" hidden="1" customHeight="1">
      <c r="A3354" s="154"/>
      <c r="B3354" s="155"/>
    </row>
    <row r="3355" spans="1:2" ht="14.25" hidden="1" customHeight="1">
      <c r="A3355" s="154"/>
      <c r="B3355" s="155"/>
    </row>
    <row r="3356" spans="1:2" ht="14.25" hidden="1" customHeight="1">
      <c r="A3356" s="154"/>
      <c r="B3356" s="155"/>
    </row>
    <row r="3357" spans="1:2" ht="14.25" hidden="1" customHeight="1">
      <c r="A3357" s="154"/>
      <c r="B3357" s="155"/>
    </row>
    <row r="3358" spans="1:2" ht="14.25" hidden="1" customHeight="1">
      <c r="A3358" s="154"/>
      <c r="B3358" s="155"/>
    </row>
    <row r="3359" spans="1:2" ht="14.25" hidden="1" customHeight="1">
      <c r="A3359" s="154"/>
      <c r="B3359" s="155"/>
    </row>
    <row r="3360" spans="1:2" ht="14.25" hidden="1" customHeight="1">
      <c r="A3360" s="154"/>
      <c r="B3360" s="155"/>
    </row>
    <row r="3361" spans="1:2" ht="14.25" hidden="1" customHeight="1">
      <c r="A3361" s="154"/>
      <c r="B3361" s="155"/>
    </row>
    <row r="3362" spans="1:2" ht="14.25" hidden="1" customHeight="1">
      <c r="A3362" s="154"/>
      <c r="B3362" s="155"/>
    </row>
    <row r="3363" spans="1:2" ht="14.25" hidden="1" customHeight="1">
      <c r="A3363" s="154"/>
      <c r="B3363" s="155"/>
    </row>
    <row r="3364" spans="1:2" ht="14.25" hidden="1" customHeight="1">
      <c r="A3364" s="154"/>
      <c r="B3364" s="155"/>
    </row>
    <row r="3365" spans="1:2" ht="14.25" hidden="1" customHeight="1">
      <c r="A3365" s="154"/>
      <c r="B3365" s="155"/>
    </row>
    <row r="3366" spans="1:2" ht="14.25" hidden="1" customHeight="1">
      <c r="A3366" s="154"/>
      <c r="B3366" s="155"/>
    </row>
    <row r="3367" spans="1:2" ht="14.25" hidden="1" customHeight="1">
      <c r="A3367" s="154"/>
      <c r="B3367" s="155"/>
    </row>
    <row r="3368" spans="1:2" ht="14.25" hidden="1" customHeight="1">
      <c r="A3368" s="154"/>
      <c r="B3368" s="155"/>
    </row>
    <row r="3369" spans="1:2" ht="14.25" hidden="1" customHeight="1">
      <c r="A3369" s="154"/>
      <c r="B3369" s="155"/>
    </row>
    <row r="3370" spans="1:2" ht="14.25" hidden="1" customHeight="1">
      <c r="A3370" s="154"/>
      <c r="B3370" s="155"/>
    </row>
    <row r="3371" spans="1:2" ht="14.25" hidden="1" customHeight="1">
      <c r="A3371" s="154"/>
      <c r="B3371" s="155"/>
    </row>
    <row r="3372" spans="1:2" ht="14.25" hidden="1" customHeight="1">
      <c r="A3372" s="154"/>
      <c r="B3372" s="155"/>
    </row>
    <row r="3373" spans="1:2" ht="14.25" hidden="1" customHeight="1">
      <c r="A3373" s="154"/>
      <c r="B3373" s="155"/>
    </row>
    <row r="3374" spans="1:2" ht="14.25" hidden="1" customHeight="1">
      <c r="A3374" s="154"/>
      <c r="B3374" s="155"/>
    </row>
    <row r="3375" spans="1:2" ht="14.25" hidden="1" customHeight="1">
      <c r="A3375" s="154"/>
      <c r="B3375" s="155"/>
    </row>
    <row r="3376" spans="1:2" ht="14.25" hidden="1" customHeight="1">
      <c r="A3376" s="154"/>
      <c r="B3376" s="155"/>
    </row>
    <row r="3377" spans="1:2" ht="14.25" hidden="1" customHeight="1">
      <c r="A3377" s="154"/>
      <c r="B3377" s="155"/>
    </row>
    <row r="3378" spans="1:2" ht="14.25" hidden="1" customHeight="1">
      <c r="A3378" s="154"/>
      <c r="B3378" s="155"/>
    </row>
    <row r="3379" spans="1:2" ht="14.25" hidden="1" customHeight="1">
      <c r="A3379" s="154"/>
      <c r="B3379" s="155"/>
    </row>
    <row r="3380" spans="1:2" ht="14.25" hidden="1" customHeight="1">
      <c r="A3380" s="154"/>
      <c r="B3380" s="155"/>
    </row>
    <row r="3381" spans="1:2" ht="14.25" hidden="1" customHeight="1">
      <c r="A3381" s="154"/>
      <c r="B3381" s="155"/>
    </row>
    <row r="3382" spans="1:2" ht="14.25" hidden="1" customHeight="1">
      <c r="A3382" s="154"/>
      <c r="B3382" s="155"/>
    </row>
    <row r="3383" spans="1:2" ht="14.25" hidden="1" customHeight="1">
      <c r="A3383" s="154"/>
      <c r="B3383" s="155"/>
    </row>
    <row r="3384" spans="1:2" ht="14.25" hidden="1" customHeight="1">
      <c r="A3384" s="154"/>
      <c r="B3384" s="155"/>
    </row>
    <row r="3385" spans="1:2" ht="14.25" hidden="1" customHeight="1">
      <c r="A3385" s="154"/>
      <c r="B3385" s="155"/>
    </row>
    <row r="3386" spans="1:2" ht="14.25" hidden="1" customHeight="1">
      <c r="A3386" s="154"/>
      <c r="B3386" s="155"/>
    </row>
    <row r="3387" spans="1:2" ht="14.25" hidden="1" customHeight="1">
      <c r="A3387" s="154"/>
      <c r="B3387" s="155"/>
    </row>
    <row r="3388" spans="1:2" ht="14.25" hidden="1" customHeight="1">
      <c r="A3388" s="154"/>
      <c r="B3388" s="155"/>
    </row>
    <row r="3389" spans="1:2" ht="14.25" hidden="1" customHeight="1">
      <c r="A3389" s="154"/>
      <c r="B3389" s="155"/>
    </row>
    <row r="3390" spans="1:2" ht="14.25" hidden="1" customHeight="1">
      <c r="A3390" s="154"/>
      <c r="B3390" s="155"/>
    </row>
    <row r="3391" spans="1:2" ht="14.25" hidden="1" customHeight="1">
      <c r="A3391" s="154"/>
      <c r="B3391" s="155"/>
    </row>
    <row r="3392" spans="1:2" ht="14.25" hidden="1" customHeight="1">
      <c r="A3392" s="154"/>
      <c r="B3392" s="155"/>
    </row>
    <row r="3393" spans="1:2" ht="14.25" hidden="1" customHeight="1">
      <c r="A3393" s="154"/>
      <c r="B3393" s="155"/>
    </row>
    <row r="3394" spans="1:2" ht="14.25" hidden="1" customHeight="1">
      <c r="A3394" s="154"/>
      <c r="B3394" s="155"/>
    </row>
    <row r="3395" spans="1:2" ht="14.25" hidden="1" customHeight="1">
      <c r="A3395" s="154"/>
      <c r="B3395" s="155"/>
    </row>
    <row r="3396" spans="1:2" ht="14.25" hidden="1" customHeight="1">
      <c r="A3396" s="154"/>
      <c r="B3396" s="155"/>
    </row>
    <row r="3397" spans="1:2" ht="14.25" hidden="1" customHeight="1">
      <c r="A3397" s="154"/>
      <c r="B3397" s="155"/>
    </row>
    <row r="3398" spans="1:2" ht="14.25" hidden="1" customHeight="1">
      <c r="A3398" s="154"/>
      <c r="B3398" s="155"/>
    </row>
    <row r="3399" spans="1:2" ht="14.25" hidden="1" customHeight="1">
      <c r="A3399" s="154"/>
      <c r="B3399" s="155"/>
    </row>
    <row r="3400" spans="1:2" ht="14.25" hidden="1" customHeight="1">
      <c r="A3400" s="154"/>
      <c r="B3400" s="155"/>
    </row>
    <row r="3401" spans="1:2" ht="14.25" hidden="1" customHeight="1">
      <c r="A3401" s="154"/>
      <c r="B3401" s="155"/>
    </row>
    <row r="3402" spans="1:2" ht="14.25" hidden="1" customHeight="1">
      <c r="A3402" s="154"/>
      <c r="B3402" s="155"/>
    </row>
    <row r="3403" spans="1:2" ht="14.25" hidden="1" customHeight="1">
      <c r="A3403" s="154"/>
      <c r="B3403" s="155"/>
    </row>
    <row r="3404" spans="1:2" ht="14.25" hidden="1" customHeight="1">
      <c r="A3404" s="154"/>
      <c r="B3404" s="155"/>
    </row>
    <row r="3405" spans="1:2" ht="14.25" hidden="1" customHeight="1">
      <c r="A3405" s="154"/>
      <c r="B3405" s="155"/>
    </row>
    <row r="3406" spans="1:2" ht="14.25" hidden="1" customHeight="1">
      <c r="A3406" s="154"/>
      <c r="B3406" s="155"/>
    </row>
    <row r="3407" spans="1:2" ht="14.25" hidden="1" customHeight="1">
      <c r="A3407" s="154"/>
      <c r="B3407" s="155"/>
    </row>
    <row r="3408" spans="1:2" ht="14.25" hidden="1" customHeight="1">
      <c r="A3408" s="154"/>
      <c r="B3408" s="155"/>
    </row>
    <row r="3409" spans="1:2" ht="14.25" hidden="1" customHeight="1">
      <c r="A3409" s="154"/>
      <c r="B3409" s="155"/>
    </row>
    <row r="3410" spans="1:2" ht="14.25" hidden="1" customHeight="1">
      <c r="A3410" s="154"/>
      <c r="B3410" s="155"/>
    </row>
    <row r="3411" spans="1:2" ht="14.25" hidden="1" customHeight="1">
      <c r="A3411" s="154"/>
      <c r="B3411" s="155"/>
    </row>
    <row r="3412" spans="1:2" ht="14.25" hidden="1" customHeight="1">
      <c r="A3412" s="154"/>
      <c r="B3412" s="155"/>
    </row>
    <row r="3413" spans="1:2" ht="14.25" hidden="1" customHeight="1">
      <c r="A3413" s="154"/>
      <c r="B3413" s="155"/>
    </row>
    <row r="3414" spans="1:2" ht="14.25" hidden="1" customHeight="1">
      <c r="A3414" s="154"/>
      <c r="B3414" s="155"/>
    </row>
    <row r="3415" spans="1:2" ht="14.25" hidden="1" customHeight="1">
      <c r="A3415" s="154"/>
      <c r="B3415" s="155"/>
    </row>
    <row r="3416" spans="1:2" ht="14.25" hidden="1" customHeight="1">
      <c r="A3416" s="154"/>
      <c r="B3416" s="155"/>
    </row>
    <row r="3417" spans="1:2" ht="14.25" hidden="1" customHeight="1">
      <c r="A3417" s="154"/>
      <c r="B3417" s="155"/>
    </row>
    <row r="3418" spans="1:2" ht="14.25" hidden="1" customHeight="1">
      <c r="A3418" s="154"/>
      <c r="B3418" s="155"/>
    </row>
    <row r="3419" spans="1:2" ht="14.25" hidden="1" customHeight="1">
      <c r="A3419" s="154"/>
      <c r="B3419" s="155"/>
    </row>
    <row r="3420" spans="1:2" ht="14.25" hidden="1" customHeight="1">
      <c r="A3420" s="154"/>
      <c r="B3420" s="155"/>
    </row>
    <row r="3421" spans="1:2" ht="14.25" hidden="1" customHeight="1">
      <c r="A3421" s="154"/>
      <c r="B3421" s="155"/>
    </row>
    <row r="3422" spans="1:2" ht="14.25" hidden="1" customHeight="1">
      <c r="A3422" s="154"/>
      <c r="B3422" s="155"/>
    </row>
    <row r="3423" spans="1:2" ht="14.25" hidden="1" customHeight="1">
      <c r="A3423" s="154"/>
      <c r="B3423" s="155"/>
    </row>
    <row r="3424" spans="1:2" ht="14.25" hidden="1" customHeight="1">
      <c r="A3424" s="154"/>
      <c r="B3424" s="155"/>
    </row>
    <row r="3425" spans="1:2" ht="14.25" hidden="1" customHeight="1">
      <c r="A3425" s="154"/>
      <c r="B3425" s="155"/>
    </row>
    <row r="3426" spans="1:2" ht="14.25" hidden="1" customHeight="1">
      <c r="A3426" s="154"/>
      <c r="B3426" s="155"/>
    </row>
    <row r="3427" spans="1:2" ht="14.25" hidden="1" customHeight="1">
      <c r="A3427" s="154"/>
      <c r="B3427" s="155"/>
    </row>
    <row r="3428" spans="1:2" ht="14.25" hidden="1" customHeight="1">
      <c r="A3428" s="154"/>
      <c r="B3428" s="155"/>
    </row>
    <row r="3429" spans="1:2" ht="14.25" hidden="1" customHeight="1">
      <c r="A3429" s="154"/>
      <c r="B3429" s="155"/>
    </row>
    <row r="3430" spans="1:2" ht="14.25" hidden="1" customHeight="1">
      <c r="A3430" s="154"/>
      <c r="B3430" s="155"/>
    </row>
    <row r="3431" spans="1:2" ht="14.25" hidden="1" customHeight="1">
      <c r="A3431" s="154"/>
      <c r="B3431" s="155"/>
    </row>
    <row r="3432" spans="1:2" ht="14.25" hidden="1" customHeight="1">
      <c r="A3432" s="154"/>
      <c r="B3432" s="155"/>
    </row>
    <row r="3433" spans="1:2" ht="14.25" hidden="1" customHeight="1">
      <c r="A3433" s="154"/>
      <c r="B3433" s="155"/>
    </row>
    <row r="3434" spans="1:2" ht="14.25" hidden="1" customHeight="1">
      <c r="A3434" s="154"/>
      <c r="B3434" s="155"/>
    </row>
    <row r="3435" spans="1:2" ht="14.25" hidden="1" customHeight="1">
      <c r="A3435" s="154"/>
      <c r="B3435" s="155"/>
    </row>
    <row r="3436" spans="1:2" ht="14.25" hidden="1" customHeight="1">
      <c r="A3436" s="154"/>
      <c r="B3436" s="155"/>
    </row>
    <row r="3437" spans="1:2" ht="14.25" hidden="1" customHeight="1">
      <c r="A3437" s="154"/>
      <c r="B3437" s="155"/>
    </row>
    <row r="3438" spans="1:2" ht="14.25" hidden="1" customHeight="1">
      <c r="A3438" s="154"/>
      <c r="B3438" s="155"/>
    </row>
    <row r="3439" spans="1:2" ht="14.25" hidden="1" customHeight="1">
      <c r="A3439" s="154"/>
      <c r="B3439" s="155"/>
    </row>
    <row r="3440" spans="1:2" ht="14.25" hidden="1" customHeight="1">
      <c r="A3440" s="154"/>
      <c r="B3440" s="155"/>
    </row>
    <row r="3441" spans="1:2" ht="14.25" hidden="1" customHeight="1">
      <c r="A3441" s="154"/>
      <c r="B3441" s="155"/>
    </row>
    <row r="3442" spans="1:2" ht="14.25" hidden="1" customHeight="1">
      <c r="A3442" s="154"/>
      <c r="B3442" s="155"/>
    </row>
    <row r="3443" spans="1:2" ht="14.25" hidden="1" customHeight="1">
      <c r="A3443" s="154"/>
      <c r="B3443" s="155"/>
    </row>
    <row r="3444" spans="1:2" ht="14.25" hidden="1" customHeight="1">
      <c r="A3444" s="154"/>
      <c r="B3444" s="155"/>
    </row>
    <row r="3445" spans="1:2" ht="14.25" hidden="1" customHeight="1">
      <c r="A3445" s="154"/>
      <c r="B3445" s="155"/>
    </row>
    <row r="3446" spans="1:2" ht="14.25" hidden="1" customHeight="1">
      <c r="A3446" s="154"/>
      <c r="B3446" s="155"/>
    </row>
    <row r="3447" spans="1:2" ht="14.25" hidden="1" customHeight="1">
      <c r="A3447" s="154"/>
      <c r="B3447" s="155"/>
    </row>
    <row r="3448" spans="1:2" ht="14.25" hidden="1" customHeight="1">
      <c r="A3448" s="154"/>
      <c r="B3448" s="155"/>
    </row>
    <row r="3449" spans="1:2" ht="14.25" hidden="1" customHeight="1">
      <c r="A3449" s="154"/>
      <c r="B3449" s="155"/>
    </row>
    <row r="3450" spans="1:2" ht="14.25" hidden="1" customHeight="1">
      <c r="A3450" s="154"/>
      <c r="B3450" s="155"/>
    </row>
    <row r="3451" spans="1:2" ht="14.25" hidden="1" customHeight="1">
      <c r="A3451" s="154"/>
      <c r="B3451" s="155"/>
    </row>
    <row r="3452" spans="1:2" ht="14.25" hidden="1" customHeight="1">
      <c r="A3452" s="154"/>
      <c r="B3452" s="155"/>
    </row>
    <row r="3453" spans="1:2" ht="14.25" hidden="1" customHeight="1">
      <c r="A3453" s="154"/>
      <c r="B3453" s="155"/>
    </row>
    <row r="3454" spans="1:2" ht="14.25" hidden="1" customHeight="1">
      <c r="A3454" s="154"/>
      <c r="B3454" s="155"/>
    </row>
    <row r="3455" spans="1:2" ht="14.25" hidden="1" customHeight="1">
      <c r="A3455" s="154"/>
      <c r="B3455" s="155"/>
    </row>
    <row r="3456" spans="1:2" ht="14.25" hidden="1" customHeight="1">
      <c r="A3456" s="154"/>
      <c r="B3456" s="155"/>
    </row>
    <row r="3457" spans="1:2" ht="14.25" hidden="1" customHeight="1">
      <c r="A3457" s="154"/>
      <c r="B3457" s="155"/>
    </row>
    <row r="3458" spans="1:2" ht="14.25" hidden="1" customHeight="1">
      <c r="A3458" s="154"/>
      <c r="B3458" s="155"/>
    </row>
    <row r="3459" spans="1:2" ht="14.25" hidden="1" customHeight="1">
      <c r="A3459" s="154"/>
      <c r="B3459" s="155"/>
    </row>
    <row r="3460" spans="1:2" ht="14.25" hidden="1" customHeight="1">
      <c r="A3460" s="154"/>
      <c r="B3460" s="155"/>
    </row>
    <row r="3461" spans="1:2" ht="14.25" hidden="1" customHeight="1">
      <c r="A3461" s="154"/>
      <c r="B3461" s="155"/>
    </row>
    <row r="3462" spans="1:2" ht="14.25" hidden="1" customHeight="1">
      <c r="A3462" s="154"/>
      <c r="B3462" s="155"/>
    </row>
    <row r="3463" spans="1:2" ht="14.25" hidden="1" customHeight="1">
      <c r="A3463" s="154"/>
      <c r="B3463" s="155"/>
    </row>
    <row r="3464" spans="1:2" ht="14.25" hidden="1" customHeight="1">
      <c r="A3464" s="154"/>
      <c r="B3464" s="155"/>
    </row>
    <row r="3465" spans="1:2" ht="14.25" hidden="1" customHeight="1">
      <c r="A3465" s="154"/>
      <c r="B3465" s="155"/>
    </row>
    <row r="3466" spans="1:2" ht="14.25" hidden="1" customHeight="1">
      <c r="A3466" s="154"/>
      <c r="B3466" s="155"/>
    </row>
    <row r="3467" spans="1:2" ht="14.25" hidden="1" customHeight="1">
      <c r="A3467" s="154"/>
      <c r="B3467" s="155"/>
    </row>
    <row r="3468" spans="1:2" ht="14.25" hidden="1" customHeight="1">
      <c r="A3468" s="154"/>
      <c r="B3468" s="155"/>
    </row>
    <row r="3469" spans="1:2" ht="14.25" hidden="1" customHeight="1">
      <c r="A3469" s="154"/>
      <c r="B3469" s="155"/>
    </row>
    <row r="3470" spans="1:2" ht="14.25" hidden="1" customHeight="1">
      <c r="A3470" s="154"/>
      <c r="B3470" s="155"/>
    </row>
    <row r="3471" spans="1:2" ht="14.25" hidden="1" customHeight="1">
      <c r="A3471" s="154"/>
      <c r="B3471" s="155"/>
    </row>
    <row r="3472" spans="1:2" ht="14.25" hidden="1" customHeight="1">
      <c r="A3472" s="154"/>
      <c r="B3472" s="155"/>
    </row>
    <row r="3473" spans="1:2" ht="14.25" hidden="1" customHeight="1">
      <c r="A3473" s="154"/>
      <c r="B3473" s="155"/>
    </row>
    <row r="3474" spans="1:2" ht="14.25" hidden="1" customHeight="1">
      <c r="A3474" s="154"/>
      <c r="B3474" s="155"/>
    </row>
    <row r="3475" spans="1:2" ht="14.25" hidden="1" customHeight="1">
      <c r="A3475" s="154"/>
      <c r="B3475" s="155"/>
    </row>
    <row r="3476" spans="1:2" ht="14.25" hidden="1" customHeight="1">
      <c r="A3476" s="154"/>
      <c r="B3476" s="155"/>
    </row>
    <row r="3477" spans="1:2" ht="14.25" hidden="1" customHeight="1">
      <c r="A3477" s="154"/>
      <c r="B3477" s="155"/>
    </row>
    <row r="3478" spans="1:2" ht="14.25" hidden="1" customHeight="1">
      <c r="A3478" s="154"/>
      <c r="B3478" s="155"/>
    </row>
    <row r="3479" spans="1:2" ht="14.25" hidden="1" customHeight="1">
      <c r="A3479" s="154"/>
      <c r="B3479" s="155"/>
    </row>
    <row r="3480" spans="1:2" ht="14.25" hidden="1" customHeight="1">
      <c r="A3480" s="154"/>
      <c r="B3480" s="155"/>
    </row>
    <row r="3481" spans="1:2" ht="14.25" hidden="1" customHeight="1">
      <c r="A3481" s="154"/>
      <c r="B3481" s="155"/>
    </row>
    <row r="3482" spans="1:2" ht="14.25" hidden="1" customHeight="1">
      <c r="A3482" s="154"/>
      <c r="B3482" s="155"/>
    </row>
    <row r="3483" spans="1:2" ht="14.25" hidden="1" customHeight="1">
      <c r="A3483" s="154"/>
      <c r="B3483" s="155"/>
    </row>
    <row r="3484" spans="1:2" ht="14.25" hidden="1" customHeight="1">
      <c r="A3484" s="154"/>
      <c r="B3484" s="155"/>
    </row>
    <row r="3485" spans="1:2" ht="14.25" hidden="1" customHeight="1">
      <c r="A3485" s="154"/>
      <c r="B3485" s="155"/>
    </row>
    <row r="3486" spans="1:2" ht="14.25" hidden="1" customHeight="1">
      <c r="A3486" s="154"/>
      <c r="B3486" s="155"/>
    </row>
    <row r="3487" spans="1:2" ht="14.25" hidden="1" customHeight="1">
      <c r="A3487" s="154"/>
      <c r="B3487" s="155"/>
    </row>
    <row r="3488" spans="1:2" ht="14.25" hidden="1" customHeight="1">
      <c r="A3488" s="154"/>
      <c r="B3488" s="155"/>
    </row>
    <row r="3489" spans="1:2" ht="14.25" hidden="1" customHeight="1">
      <c r="A3489" s="154"/>
      <c r="B3489" s="155"/>
    </row>
    <row r="3490" spans="1:2" ht="14.25" hidden="1" customHeight="1">
      <c r="A3490" s="154"/>
      <c r="B3490" s="155"/>
    </row>
    <row r="3491" spans="1:2" ht="14.25" hidden="1" customHeight="1">
      <c r="A3491" s="154"/>
      <c r="B3491" s="155"/>
    </row>
    <row r="3492" spans="1:2" ht="14.25" hidden="1" customHeight="1">
      <c r="A3492" s="154"/>
      <c r="B3492" s="155"/>
    </row>
    <row r="3493" spans="1:2" ht="14.25" hidden="1" customHeight="1">
      <c r="A3493" s="154"/>
      <c r="B3493" s="155"/>
    </row>
    <row r="3494" spans="1:2" ht="14.25" hidden="1" customHeight="1">
      <c r="A3494" s="154"/>
      <c r="B3494" s="155"/>
    </row>
    <row r="3495" spans="1:2" ht="14.25" hidden="1" customHeight="1">
      <c r="A3495" s="154"/>
      <c r="B3495" s="155"/>
    </row>
    <row r="3496" spans="1:2" ht="14.25" hidden="1" customHeight="1">
      <c r="A3496" s="154"/>
      <c r="B3496" s="155"/>
    </row>
    <row r="3497" spans="1:2" ht="14.25" hidden="1" customHeight="1">
      <c r="A3497" s="154"/>
      <c r="B3497" s="155"/>
    </row>
    <row r="3498" spans="1:2" ht="14.25" hidden="1" customHeight="1">
      <c r="A3498" s="154"/>
      <c r="B3498" s="155"/>
    </row>
    <row r="3499" spans="1:2" ht="14.25" hidden="1" customHeight="1">
      <c r="A3499" s="154"/>
      <c r="B3499" s="155"/>
    </row>
    <row r="3500" spans="1:2" ht="14.25" hidden="1" customHeight="1">
      <c r="A3500" s="154"/>
      <c r="B3500" s="155"/>
    </row>
    <row r="3501" spans="1:2" ht="14.25" hidden="1" customHeight="1">
      <c r="A3501" s="154"/>
      <c r="B3501" s="155"/>
    </row>
    <row r="3502" spans="1:2" ht="14.25" hidden="1" customHeight="1">
      <c r="A3502" s="154"/>
      <c r="B3502" s="155"/>
    </row>
    <row r="3503" spans="1:2" ht="14.25" hidden="1" customHeight="1">
      <c r="A3503" s="154"/>
      <c r="B3503" s="155"/>
    </row>
    <row r="3504" spans="1:2" ht="14.25" hidden="1" customHeight="1">
      <c r="A3504" s="154"/>
      <c r="B3504" s="155"/>
    </row>
    <row r="3505" spans="1:2" ht="14.25" hidden="1" customHeight="1">
      <c r="A3505" s="154"/>
      <c r="B3505" s="155"/>
    </row>
    <row r="3506" spans="1:2" ht="14.25" hidden="1" customHeight="1">
      <c r="A3506" s="154"/>
      <c r="B3506" s="155"/>
    </row>
    <row r="3507" spans="1:2" ht="14.25" hidden="1" customHeight="1">
      <c r="A3507" s="154"/>
      <c r="B3507" s="155"/>
    </row>
    <row r="3508" spans="1:2" ht="14.25" hidden="1" customHeight="1">
      <c r="A3508" s="154"/>
      <c r="B3508" s="155"/>
    </row>
    <row r="3509" spans="1:2" ht="14.25" hidden="1" customHeight="1">
      <c r="A3509" s="154"/>
      <c r="B3509" s="155"/>
    </row>
    <row r="3510" spans="1:2" ht="14.25" hidden="1" customHeight="1">
      <c r="A3510" s="154"/>
      <c r="B3510" s="155"/>
    </row>
    <row r="3511" spans="1:2" ht="14.25" hidden="1" customHeight="1">
      <c r="A3511" s="154"/>
      <c r="B3511" s="155"/>
    </row>
    <row r="3512" spans="1:2" ht="14.25" hidden="1" customHeight="1">
      <c r="A3512" s="154"/>
      <c r="B3512" s="155"/>
    </row>
    <row r="3513" spans="1:2" ht="14.25" hidden="1" customHeight="1">
      <c r="A3513" s="154"/>
      <c r="B3513" s="155"/>
    </row>
    <row r="3514" spans="1:2" ht="14.25" hidden="1" customHeight="1">
      <c r="A3514" s="154"/>
      <c r="B3514" s="155"/>
    </row>
    <row r="3515" spans="1:2" ht="14.25" hidden="1" customHeight="1">
      <c r="A3515" s="154"/>
      <c r="B3515" s="155"/>
    </row>
    <row r="3516" spans="1:2" ht="14.25" hidden="1" customHeight="1">
      <c r="A3516" s="154"/>
      <c r="B3516" s="155"/>
    </row>
    <row r="3517" spans="1:2" ht="14.25" hidden="1" customHeight="1">
      <c r="A3517" s="154"/>
      <c r="B3517" s="155"/>
    </row>
    <row r="3518" spans="1:2" ht="14.25" hidden="1" customHeight="1">
      <c r="A3518" s="154"/>
      <c r="B3518" s="155"/>
    </row>
    <row r="3519" spans="1:2" ht="14.25" hidden="1" customHeight="1">
      <c r="A3519" s="154"/>
      <c r="B3519" s="155"/>
    </row>
    <row r="3520" spans="1:2" ht="14.25" hidden="1" customHeight="1">
      <c r="A3520" s="154"/>
      <c r="B3520" s="155"/>
    </row>
    <row r="3521" spans="1:2" ht="14.25" hidden="1" customHeight="1">
      <c r="A3521" s="154"/>
      <c r="B3521" s="155"/>
    </row>
    <row r="3522" spans="1:2" ht="14.25" hidden="1" customHeight="1">
      <c r="A3522" s="154"/>
      <c r="B3522" s="155"/>
    </row>
    <row r="3523" spans="1:2" ht="14.25" hidden="1" customHeight="1">
      <c r="A3523" s="154"/>
      <c r="B3523" s="155"/>
    </row>
    <row r="3524" spans="1:2" ht="14.25" hidden="1" customHeight="1">
      <c r="A3524" s="154"/>
      <c r="B3524" s="155"/>
    </row>
    <row r="3525" spans="1:2" ht="14.25" hidden="1" customHeight="1">
      <c r="A3525" s="154"/>
      <c r="B3525" s="155"/>
    </row>
    <row r="3526" spans="1:2" ht="14.25" hidden="1" customHeight="1">
      <c r="A3526" s="154"/>
      <c r="B3526" s="155"/>
    </row>
    <row r="3527" spans="1:2" ht="14.25" hidden="1" customHeight="1">
      <c r="A3527" s="154"/>
      <c r="B3527" s="155"/>
    </row>
    <row r="3528" spans="1:2" ht="14.25" hidden="1" customHeight="1">
      <c r="A3528" s="154"/>
      <c r="B3528" s="155"/>
    </row>
    <row r="3529" spans="1:2" ht="14.25" hidden="1" customHeight="1">
      <c r="A3529" s="154"/>
      <c r="B3529" s="155"/>
    </row>
    <row r="3530" spans="1:2" ht="14.25" hidden="1" customHeight="1">
      <c r="A3530" s="154"/>
      <c r="B3530" s="155"/>
    </row>
    <row r="3531" spans="1:2" ht="14.25" hidden="1" customHeight="1">
      <c r="A3531" s="154"/>
      <c r="B3531" s="155"/>
    </row>
    <row r="3532" spans="1:2" ht="14.25" hidden="1" customHeight="1">
      <c r="A3532" s="154"/>
      <c r="B3532" s="155"/>
    </row>
    <row r="3533" spans="1:2" ht="14.25" hidden="1" customHeight="1">
      <c r="A3533" s="154"/>
      <c r="B3533" s="155"/>
    </row>
    <row r="3534" spans="1:2" ht="14.25" hidden="1" customHeight="1">
      <c r="A3534" s="154"/>
      <c r="B3534" s="155"/>
    </row>
    <row r="3535" spans="1:2" ht="14.25" hidden="1" customHeight="1">
      <c r="A3535" s="154"/>
      <c r="B3535" s="155"/>
    </row>
    <row r="3536" spans="1:2" ht="14.25" hidden="1" customHeight="1">
      <c r="A3536" s="154"/>
      <c r="B3536" s="155"/>
    </row>
    <row r="3537" spans="1:2" ht="14.25" hidden="1" customHeight="1">
      <c r="A3537" s="154"/>
      <c r="B3537" s="155"/>
    </row>
    <row r="3538" spans="1:2" ht="14.25" hidden="1" customHeight="1">
      <c r="A3538" s="154"/>
      <c r="B3538" s="155"/>
    </row>
    <row r="3539" spans="1:2" ht="14.25" hidden="1" customHeight="1">
      <c r="A3539" s="154"/>
      <c r="B3539" s="155"/>
    </row>
    <row r="3540" spans="1:2" ht="14.25" hidden="1" customHeight="1">
      <c r="A3540" s="154"/>
      <c r="B3540" s="155"/>
    </row>
    <row r="3541" spans="1:2" ht="14.25" hidden="1" customHeight="1">
      <c r="A3541" s="154"/>
      <c r="B3541" s="155"/>
    </row>
    <row r="3542" spans="1:2" ht="14.25" hidden="1" customHeight="1">
      <c r="A3542" s="154"/>
      <c r="B3542" s="155"/>
    </row>
    <row r="3543" spans="1:2" ht="14.25" hidden="1" customHeight="1">
      <c r="A3543" s="154"/>
      <c r="B3543" s="155"/>
    </row>
    <row r="3544" spans="1:2" ht="14.25" hidden="1" customHeight="1">
      <c r="A3544" s="154"/>
      <c r="B3544" s="155"/>
    </row>
    <row r="3545" spans="1:2" ht="14.25" hidden="1" customHeight="1">
      <c r="A3545" s="154"/>
      <c r="B3545" s="155"/>
    </row>
    <row r="3546" spans="1:2" ht="14.25" hidden="1" customHeight="1">
      <c r="A3546" s="154"/>
      <c r="B3546" s="155"/>
    </row>
    <row r="3547" spans="1:2" ht="14.25" hidden="1" customHeight="1">
      <c r="A3547" s="154"/>
      <c r="B3547" s="155"/>
    </row>
    <row r="3548" spans="1:2" ht="14.25" hidden="1" customHeight="1">
      <c r="A3548" s="154"/>
      <c r="B3548" s="155"/>
    </row>
    <row r="3549" spans="1:2" ht="14.25" hidden="1" customHeight="1">
      <c r="A3549" s="154"/>
      <c r="B3549" s="155"/>
    </row>
    <row r="3550" spans="1:2" ht="14.25" hidden="1" customHeight="1">
      <c r="A3550" s="154"/>
      <c r="B3550" s="155"/>
    </row>
    <row r="3551" spans="1:2" ht="14.25" hidden="1" customHeight="1">
      <c r="A3551" s="154"/>
      <c r="B3551" s="155"/>
    </row>
    <row r="3552" spans="1:2" ht="14.25" hidden="1" customHeight="1">
      <c r="A3552" s="154"/>
      <c r="B3552" s="155"/>
    </row>
    <row r="3553" spans="1:2" ht="14.25" hidden="1" customHeight="1">
      <c r="A3553" s="154"/>
      <c r="B3553" s="155"/>
    </row>
    <row r="3554" spans="1:2" ht="14.25" hidden="1" customHeight="1">
      <c r="A3554" s="154"/>
      <c r="B3554" s="155"/>
    </row>
    <row r="3555" spans="1:2" ht="14.25" hidden="1" customHeight="1">
      <c r="A3555" s="154"/>
      <c r="B3555" s="155"/>
    </row>
    <row r="3556" spans="1:2" ht="14.25" hidden="1" customHeight="1">
      <c r="A3556" s="154"/>
      <c r="B3556" s="155"/>
    </row>
    <row r="3557" spans="1:2" ht="14.25" hidden="1" customHeight="1">
      <c r="A3557" s="154"/>
      <c r="B3557" s="155"/>
    </row>
    <row r="3558" spans="1:2" ht="14.25" hidden="1" customHeight="1">
      <c r="A3558" s="154"/>
      <c r="B3558" s="155"/>
    </row>
    <row r="3559" spans="1:2" ht="14.25" hidden="1" customHeight="1">
      <c r="A3559" s="154"/>
      <c r="B3559" s="155"/>
    </row>
    <row r="3560" spans="1:2" ht="14.25" hidden="1" customHeight="1">
      <c r="A3560" s="154"/>
      <c r="B3560" s="155"/>
    </row>
    <row r="3561" spans="1:2" ht="14.25" hidden="1" customHeight="1">
      <c r="A3561" s="154"/>
      <c r="B3561" s="155"/>
    </row>
    <row r="3562" spans="1:2" ht="14.25" hidden="1" customHeight="1">
      <c r="A3562" s="154"/>
      <c r="B3562" s="155"/>
    </row>
    <row r="3563" spans="1:2" ht="14.25" hidden="1" customHeight="1">
      <c r="A3563" s="154"/>
      <c r="B3563" s="155"/>
    </row>
    <row r="3564" spans="1:2" ht="14.25" hidden="1" customHeight="1">
      <c r="A3564" s="154"/>
      <c r="B3564" s="155"/>
    </row>
    <row r="3565" spans="1:2" ht="14.25" hidden="1" customHeight="1">
      <c r="A3565" s="154"/>
      <c r="B3565" s="155"/>
    </row>
    <row r="3566" spans="1:2" ht="14.25" hidden="1" customHeight="1">
      <c r="A3566" s="154"/>
      <c r="B3566" s="155"/>
    </row>
    <row r="3567" spans="1:2" ht="14.25" hidden="1" customHeight="1">
      <c r="A3567" s="154"/>
      <c r="B3567" s="155"/>
    </row>
    <row r="3568" spans="1:2" ht="14.25" hidden="1" customHeight="1">
      <c r="A3568" s="154"/>
      <c r="B3568" s="155"/>
    </row>
    <row r="3569" spans="1:2" ht="14.25" hidden="1" customHeight="1">
      <c r="A3569" s="154"/>
      <c r="B3569" s="155"/>
    </row>
    <row r="3570" spans="1:2" ht="14.25" hidden="1" customHeight="1">
      <c r="A3570" s="154"/>
      <c r="B3570" s="155"/>
    </row>
    <row r="3571" spans="1:2" ht="14.25" hidden="1" customHeight="1">
      <c r="A3571" s="154"/>
      <c r="B3571" s="155"/>
    </row>
    <row r="3572" spans="1:2" ht="14.25" hidden="1" customHeight="1">
      <c r="A3572" s="154"/>
      <c r="B3572" s="155"/>
    </row>
    <row r="3573" spans="1:2" ht="14.25" hidden="1" customHeight="1">
      <c r="A3573" s="154"/>
      <c r="B3573" s="155"/>
    </row>
    <row r="3574" spans="1:2" ht="14.25" hidden="1" customHeight="1">
      <c r="A3574" s="154"/>
      <c r="B3574" s="155"/>
    </row>
    <row r="3575" spans="1:2" ht="14.25" hidden="1" customHeight="1">
      <c r="A3575" s="154"/>
      <c r="B3575" s="155"/>
    </row>
    <row r="3576" spans="1:2" ht="14.25" hidden="1" customHeight="1">
      <c r="A3576" s="154"/>
      <c r="B3576" s="155"/>
    </row>
    <row r="3577" spans="1:2" ht="14.25" hidden="1" customHeight="1">
      <c r="A3577" s="154"/>
      <c r="B3577" s="155"/>
    </row>
    <row r="3578" spans="1:2" ht="14.25" hidden="1" customHeight="1">
      <c r="A3578" s="154"/>
      <c r="B3578" s="155"/>
    </row>
    <row r="3579" spans="1:2" ht="14.25" hidden="1" customHeight="1">
      <c r="A3579" s="154"/>
      <c r="B3579" s="155"/>
    </row>
    <row r="3580" spans="1:2" ht="14.25" hidden="1" customHeight="1">
      <c r="A3580" s="154"/>
      <c r="B3580" s="155"/>
    </row>
    <row r="3581" spans="1:2" ht="14.25" hidden="1" customHeight="1">
      <c r="A3581" s="154"/>
      <c r="B3581" s="155"/>
    </row>
    <row r="3582" spans="1:2" ht="14.25" hidden="1" customHeight="1">
      <c r="A3582" s="154"/>
      <c r="B3582" s="155"/>
    </row>
    <row r="3583" spans="1:2" ht="14.25" hidden="1" customHeight="1">
      <c r="A3583" s="154"/>
      <c r="B3583" s="155"/>
    </row>
    <row r="3584" spans="1:2" ht="14.25" hidden="1" customHeight="1">
      <c r="A3584" s="154"/>
      <c r="B3584" s="155"/>
    </row>
    <row r="3585" spans="1:2" ht="14.25" hidden="1" customHeight="1">
      <c r="A3585" s="154"/>
      <c r="B3585" s="155"/>
    </row>
    <row r="3586" spans="1:2" ht="14.25" hidden="1" customHeight="1">
      <c r="A3586" s="154"/>
      <c r="B3586" s="155"/>
    </row>
    <row r="3587" spans="1:2" ht="14.25" hidden="1" customHeight="1">
      <c r="A3587" s="154"/>
      <c r="B3587" s="155"/>
    </row>
    <row r="3588" spans="1:2" ht="14.25" hidden="1" customHeight="1">
      <c r="A3588" s="154"/>
      <c r="B3588" s="155"/>
    </row>
    <row r="3589" spans="1:2" ht="14.25" hidden="1" customHeight="1">
      <c r="A3589" s="154"/>
      <c r="B3589" s="155"/>
    </row>
    <row r="3590" spans="1:2" ht="14.25" hidden="1" customHeight="1">
      <c r="A3590" s="154"/>
      <c r="B3590" s="155"/>
    </row>
    <row r="3591" spans="1:2" ht="14.25" hidden="1" customHeight="1">
      <c r="A3591" s="154"/>
      <c r="B3591" s="155"/>
    </row>
    <row r="3592" spans="1:2" ht="14.25" hidden="1" customHeight="1">
      <c r="A3592" s="154"/>
      <c r="B3592" s="155"/>
    </row>
    <row r="3593" spans="1:2" ht="14.25" hidden="1" customHeight="1">
      <c r="A3593" s="154"/>
      <c r="B3593" s="155"/>
    </row>
    <row r="3594" spans="1:2" ht="14.25" hidden="1" customHeight="1">
      <c r="A3594" s="154"/>
      <c r="B3594" s="155"/>
    </row>
    <row r="3595" spans="1:2" ht="14.25" hidden="1" customHeight="1">
      <c r="A3595" s="154"/>
      <c r="B3595" s="155"/>
    </row>
    <row r="3596" spans="1:2" ht="14.25" hidden="1" customHeight="1">
      <c r="A3596" s="154"/>
      <c r="B3596" s="155"/>
    </row>
    <row r="3597" spans="1:2" ht="14.25" hidden="1" customHeight="1">
      <c r="A3597" s="154"/>
      <c r="B3597" s="155"/>
    </row>
    <row r="3598" spans="1:2" ht="14.25" hidden="1" customHeight="1">
      <c r="A3598" s="154"/>
      <c r="B3598" s="155"/>
    </row>
    <row r="3599" spans="1:2" ht="14.25" hidden="1" customHeight="1">
      <c r="A3599" s="154"/>
      <c r="B3599" s="155"/>
    </row>
    <row r="3600" spans="1:2" ht="14.25" hidden="1" customHeight="1">
      <c r="A3600" s="154"/>
      <c r="B3600" s="155"/>
    </row>
    <row r="3601" spans="1:2" ht="14.25" hidden="1" customHeight="1">
      <c r="A3601" s="154"/>
      <c r="B3601" s="155"/>
    </row>
    <row r="3602" spans="1:2" ht="14.25" hidden="1" customHeight="1">
      <c r="A3602" s="154"/>
      <c r="B3602" s="155"/>
    </row>
    <row r="3603" spans="1:2" ht="14.25" hidden="1" customHeight="1">
      <c r="A3603" s="154"/>
      <c r="B3603" s="155"/>
    </row>
    <row r="3604" spans="1:2" ht="14.25" hidden="1" customHeight="1">
      <c r="A3604" s="154"/>
      <c r="B3604" s="155"/>
    </row>
    <row r="3605" spans="1:2" ht="14.25" hidden="1" customHeight="1">
      <c r="A3605" s="154"/>
      <c r="B3605" s="155"/>
    </row>
    <row r="3606" spans="1:2" ht="14.25" hidden="1" customHeight="1">
      <c r="A3606" s="154"/>
      <c r="B3606" s="155"/>
    </row>
    <row r="3607" spans="1:2" ht="14.25" hidden="1" customHeight="1">
      <c r="A3607" s="154"/>
      <c r="B3607" s="155"/>
    </row>
    <row r="3608" spans="1:2" ht="14.25" hidden="1" customHeight="1">
      <c r="A3608" s="154"/>
      <c r="B3608" s="155"/>
    </row>
    <row r="3609" spans="1:2" ht="14.25" hidden="1" customHeight="1">
      <c r="A3609" s="154"/>
      <c r="B3609" s="155"/>
    </row>
    <row r="3610" spans="1:2" hidden="1">
      <c r="A3610" s="154"/>
      <c r="B3610" s="155"/>
    </row>
    <row r="3611" spans="1:2" hidden="1">
      <c r="A3611" s="154"/>
      <c r="B3611" s="155"/>
    </row>
    <row r="3612" spans="1:2" hidden="1">
      <c r="A3612" s="154"/>
      <c r="B3612" s="155"/>
    </row>
    <row r="3613" spans="1:2" hidden="1">
      <c r="A3613" s="154"/>
      <c r="B3613" s="155"/>
    </row>
    <row r="3614" spans="1:2" hidden="1">
      <c r="A3614" s="154"/>
      <c r="B3614" s="155"/>
    </row>
    <row r="3615" spans="1:2" hidden="1">
      <c r="A3615" s="154"/>
      <c r="B3615" s="155"/>
    </row>
    <row r="3616" spans="1:2" hidden="1">
      <c r="A3616" s="154"/>
      <c r="B3616" s="155"/>
    </row>
    <row r="3617" spans="1:2" hidden="1">
      <c r="A3617" s="154"/>
      <c r="B3617" s="155"/>
    </row>
    <row r="3618" spans="1:2" hidden="1">
      <c r="A3618" s="154"/>
      <c r="B3618" s="155"/>
    </row>
    <row r="3619" spans="1:2" hidden="1">
      <c r="A3619" s="154"/>
      <c r="B3619" s="155"/>
    </row>
    <row r="3620" spans="1:2" hidden="1">
      <c r="A3620" s="154"/>
      <c r="B3620" s="155"/>
    </row>
    <row r="3621" spans="1:2" hidden="1">
      <c r="A3621" s="154"/>
      <c r="B3621" s="155"/>
    </row>
    <row r="3622" spans="1:2" hidden="1">
      <c r="A3622" s="154"/>
      <c r="B3622" s="155"/>
    </row>
    <row r="3623" spans="1:2" hidden="1">
      <c r="A3623" s="154"/>
      <c r="B3623" s="155"/>
    </row>
    <row r="3624" spans="1:2" hidden="1">
      <c r="A3624" s="154"/>
      <c r="B3624" s="155"/>
    </row>
    <row r="3625" spans="1:2" hidden="1">
      <c r="A3625" s="154"/>
      <c r="B3625" s="155"/>
    </row>
    <row r="3626" spans="1:2" hidden="1">
      <c r="A3626" s="154"/>
      <c r="B3626" s="155"/>
    </row>
    <row r="3627" spans="1:2" hidden="1">
      <c r="A3627" s="154"/>
      <c r="B3627" s="155"/>
    </row>
    <row r="3628" spans="1:2" hidden="1">
      <c r="A3628" s="154"/>
      <c r="B3628" s="155"/>
    </row>
    <row r="3629" spans="1:2" hidden="1">
      <c r="A3629" s="154"/>
      <c r="B3629" s="155"/>
    </row>
    <row r="3630" spans="1:2" hidden="1">
      <c r="A3630" s="154"/>
      <c r="B3630" s="155"/>
    </row>
    <row r="3631" spans="1:2" hidden="1">
      <c r="A3631" s="154"/>
      <c r="B3631" s="155"/>
    </row>
    <row r="3632" spans="1:2" hidden="1">
      <c r="A3632" s="154"/>
      <c r="B3632" s="155"/>
    </row>
    <row r="3633" spans="1:2" hidden="1">
      <c r="A3633" s="154"/>
      <c r="B3633" s="155"/>
    </row>
    <row r="3634" spans="1:2" hidden="1">
      <c r="A3634" s="154"/>
      <c r="B3634" s="155"/>
    </row>
    <row r="3635" spans="1:2" hidden="1">
      <c r="A3635" s="154"/>
      <c r="B3635" s="155"/>
    </row>
    <row r="3636" spans="1:2" hidden="1">
      <c r="A3636" s="154"/>
      <c r="B3636" s="155"/>
    </row>
    <row r="3637" spans="1:2" hidden="1">
      <c r="A3637" s="154"/>
      <c r="B3637" s="155"/>
    </row>
    <row r="3638" spans="1:2" hidden="1">
      <c r="A3638" s="154"/>
      <c r="B3638" s="155"/>
    </row>
    <row r="3639" spans="1:2" hidden="1">
      <c r="A3639" s="154"/>
      <c r="B3639" s="155"/>
    </row>
    <row r="3640" spans="1:2" hidden="1">
      <c r="A3640" s="154"/>
      <c r="B3640" s="155"/>
    </row>
    <row r="3641" spans="1:2" hidden="1">
      <c r="A3641" s="154"/>
      <c r="B3641" s="155"/>
    </row>
    <row r="3642" spans="1:2" hidden="1">
      <c r="A3642" s="154"/>
      <c r="B3642" s="155"/>
    </row>
    <row r="3643" spans="1:2" hidden="1">
      <c r="A3643" s="154"/>
      <c r="B3643" s="155"/>
    </row>
    <row r="3644" spans="1:2" hidden="1">
      <c r="A3644" s="154"/>
      <c r="B3644" s="155"/>
    </row>
    <row r="3645" spans="1:2" hidden="1">
      <c r="A3645" s="154"/>
      <c r="B3645" s="155"/>
    </row>
    <row r="3646" spans="1:2" hidden="1">
      <c r="A3646" s="154"/>
      <c r="B3646" s="155"/>
    </row>
    <row r="3647" spans="1:2" hidden="1">
      <c r="A3647" s="154"/>
      <c r="B3647" s="155"/>
    </row>
    <row r="3648" spans="1:2" hidden="1">
      <c r="A3648" s="154"/>
      <c r="B3648" s="155"/>
    </row>
    <row r="3649" spans="1:2" hidden="1">
      <c r="A3649" s="154"/>
      <c r="B3649" s="155"/>
    </row>
    <row r="3650" spans="1:2" hidden="1">
      <c r="A3650" s="154"/>
      <c r="B3650" s="155"/>
    </row>
    <row r="3651" spans="1:2" hidden="1">
      <c r="A3651" s="154"/>
      <c r="B3651" s="155"/>
    </row>
    <row r="3652" spans="1:2" hidden="1">
      <c r="A3652" s="154"/>
      <c r="B3652" s="155"/>
    </row>
    <row r="3653" spans="1:2" hidden="1">
      <c r="A3653" s="154"/>
      <c r="B3653" s="155"/>
    </row>
    <row r="3654" spans="1:2" hidden="1">
      <c r="A3654" s="154"/>
      <c r="B3654" s="155"/>
    </row>
    <row r="3655" spans="1:2" hidden="1">
      <c r="A3655" s="154"/>
      <c r="B3655" s="155"/>
    </row>
    <row r="3656" spans="1:2" hidden="1">
      <c r="A3656" s="154"/>
      <c r="B3656" s="155"/>
    </row>
    <row r="3657" spans="1:2" hidden="1">
      <c r="A3657" s="154"/>
      <c r="B3657" s="155"/>
    </row>
    <row r="3658" spans="1:2" hidden="1">
      <c r="A3658" s="154"/>
      <c r="B3658" s="155"/>
    </row>
    <row r="3659" spans="1:2" hidden="1">
      <c r="A3659" s="154"/>
      <c r="B3659" s="155"/>
    </row>
    <row r="3660" spans="1:2" hidden="1">
      <c r="A3660" s="154"/>
      <c r="B3660" s="155"/>
    </row>
    <row r="3661" spans="1:2" hidden="1">
      <c r="A3661" s="154"/>
      <c r="B3661" s="155"/>
    </row>
    <row r="3662" spans="1:2" hidden="1">
      <c r="A3662" s="154"/>
      <c r="B3662" s="155"/>
    </row>
    <row r="3663" spans="1:2" hidden="1">
      <c r="A3663" s="154"/>
      <c r="B3663" s="155"/>
    </row>
    <row r="3664" spans="1:2" hidden="1">
      <c r="A3664" s="154"/>
      <c r="B3664" s="155"/>
    </row>
    <row r="3665" spans="1:2" hidden="1">
      <c r="A3665" s="154"/>
      <c r="B3665" s="155"/>
    </row>
    <row r="3666" spans="1:2" hidden="1">
      <c r="A3666" s="154"/>
      <c r="B3666" s="155"/>
    </row>
    <row r="3667" spans="1:2" hidden="1">
      <c r="A3667" s="154"/>
      <c r="B3667" s="155"/>
    </row>
    <row r="3668" spans="1:2" hidden="1">
      <c r="A3668" s="154"/>
      <c r="B3668" s="155"/>
    </row>
    <row r="3669" spans="1:2" hidden="1">
      <c r="A3669" s="154"/>
      <c r="B3669" s="155"/>
    </row>
    <row r="3670" spans="1:2" hidden="1">
      <c r="A3670" s="154"/>
      <c r="B3670" s="155"/>
    </row>
    <row r="3671" spans="1:2" hidden="1">
      <c r="A3671" s="154"/>
      <c r="B3671" s="155"/>
    </row>
    <row r="3672" spans="1:2" hidden="1">
      <c r="A3672" s="154"/>
      <c r="B3672" s="155"/>
    </row>
    <row r="3673" spans="1:2" hidden="1">
      <c r="A3673" s="154"/>
      <c r="B3673" s="155"/>
    </row>
    <row r="3674" spans="1:2" hidden="1">
      <c r="A3674" s="154"/>
      <c r="B3674" s="155"/>
    </row>
    <row r="3675" spans="1:2" hidden="1">
      <c r="A3675" s="154"/>
      <c r="B3675" s="155"/>
    </row>
    <row r="3676" spans="1:2" hidden="1">
      <c r="A3676" s="154"/>
      <c r="B3676" s="155"/>
    </row>
    <row r="3677" spans="1:2" hidden="1">
      <c r="A3677" s="154"/>
      <c r="B3677" s="155"/>
    </row>
    <row r="3678" spans="1:2" hidden="1">
      <c r="A3678" s="154"/>
      <c r="B3678" s="155"/>
    </row>
    <row r="3679" spans="1:2" hidden="1">
      <c r="A3679" s="154"/>
      <c r="B3679" s="155"/>
    </row>
    <row r="3680" spans="1:2" hidden="1">
      <c r="A3680" s="154"/>
      <c r="B3680" s="155"/>
    </row>
    <row r="3681" spans="1:2" hidden="1">
      <c r="A3681" s="154"/>
      <c r="B3681" s="155"/>
    </row>
    <row r="3682" spans="1:2" hidden="1">
      <c r="A3682" s="154"/>
      <c r="B3682" s="155"/>
    </row>
    <row r="3683" spans="1:2" hidden="1">
      <c r="A3683" s="154"/>
      <c r="B3683" s="155"/>
    </row>
    <row r="3684" spans="1:2" hidden="1">
      <c r="A3684" s="154"/>
      <c r="B3684" s="155"/>
    </row>
    <row r="3685" spans="1:2" hidden="1">
      <c r="A3685" s="154"/>
      <c r="B3685" s="155"/>
    </row>
    <row r="3686" spans="1:2" hidden="1">
      <c r="A3686" s="154"/>
      <c r="B3686" s="155"/>
    </row>
    <row r="3687" spans="1:2" hidden="1">
      <c r="A3687" s="154"/>
      <c r="B3687" s="155"/>
    </row>
    <row r="3688" spans="1:2" hidden="1">
      <c r="A3688" s="154"/>
      <c r="B3688" s="155"/>
    </row>
    <row r="3689" spans="1:2" hidden="1">
      <c r="A3689" s="154"/>
      <c r="B3689" s="155"/>
    </row>
    <row r="3690" spans="1:2" hidden="1">
      <c r="A3690" s="154"/>
      <c r="B3690" s="155"/>
    </row>
    <row r="3691" spans="1:2" hidden="1">
      <c r="A3691" s="154"/>
      <c r="B3691" s="155"/>
    </row>
    <row r="3692" spans="1:2" hidden="1">
      <c r="A3692" s="154"/>
      <c r="B3692" s="155"/>
    </row>
    <row r="3693" spans="1:2" hidden="1">
      <c r="A3693" s="154"/>
      <c r="B3693" s="155"/>
    </row>
    <row r="3694" spans="1:2" hidden="1">
      <c r="A3694" s="154"/>
      <c r="B3694" s="155"/>
    </row>
    <row r="3695" spans="1:2" hidden="1">
      <c r="A3695" s="154"/>
      <c r="B3695" s="155"/>
    </row>
    <row r="3696" spans="1:2" hidden="1">
      <c r="A3696" s="154"/>
      <c r="B3696" s="155"/>
    </row>
    <row r="3697" spans="1:2" hidden="1">
      <c r="A3697" s="154"/>
      <c r="B3697" s="155"/>
    </row>
    <row r="3698" spans="1:2" hidden="1">
      <c r="A3698" s="154"/>
      <c r="B3698" s="155"/>
    </row>
    <row r="3699" spans="1:2" hidden="1">
      <c r="A3699" s="154"/>
      <c r="B3699" s="155"/>
    </row>
    <row r="3700" spans="1:2" hidden="1">
      <c r="A3700" s="154"/>
      <c r="B3700" s="155"/>
    </row>
    <row r="3701" spans="1:2" hidden="1">
      <c r="A3701" s="154"/>
      <c r="B3701" s="155"/>
    </row>
    <row r="3702" spans="1:2" hidden="1">
      <c r="A3702" s="154"/>
      <c r="B3702" s="155"/>
    </row>
    <row r="3703" spans="1:2" hidden="1">
      <c r="A3703" s="154"/>
      <c r="B3703" s="155"/>
    </row>
    <row r="3704" spans="1:2" hidden="1">
      <c r="A3704" s="154"/>
      <c r="B3704" s="155"/>
    </row>
    <row r="3705" spans="1:2" hidden="1">
      <c r="A3705" s="154"/>
      <c r="B3705" s="155"/>
    </row>
    <row r="3706" spans="1:2" hidden="1">
      <c r="A3706" s="154"/>
      <c r="B3706" s="155"/>
    </row>
    <row r="3707" spans="1:2" hidden="1">
      <c r="A3707" s="154"/>
      <c r="B3707" s="155"/>
    </row>
    <row r="3708" spans="1:2" hidden="1">
      <c r="A3708" s="154"/>
      <c r="B3708" s="155"/>
    </row>
    <row r="3709" spans="1:2" hidden="1">
      <c r="A3709" s="154"/>
      <c r="B3709" s="155"/>
    </row>
    <row r="3710" spans="1:2" hidden="1">
      <c r="A3710" s="154"/>
      <c r="B3710" s="155"/>
    </row>
    <row r="3711" spans="1:2" hidden="1">
      <c r="A3711" s="154"/>
      <c r="B3711" s="155"/>
    </row>
    <row r="3712" spans="1:2" hidden="1">
      <c r="A3712" s="154"/>
      <c r="B3712" s="155"/>
    </row>
    <row r="3713" spans="1:2" hidden="1">
      <c r="A3713" s="154"/>
      <c r="B3713" s="155"/>
    </row>
    <row r="3714" spans="1:2" hidden="1">
      <c r="A3714" s="154"/>
      <c r="B3714" s="155"/>
    </row>
    <row r="3715" spans="1:2" hidden="1">
      <c r="A3715" s="154"/>
      <c r="B3715" s="155"/>
    </row>
    <row r="3716" spans="1:2" hidden="1">
      <c r="A3716" s="154"/>
      <c r="B3716" s="155"/>
    </row>
    <row r="3717" spans="1:2" hidden="1">
      <c r="A3717" s="154"/>
      <c r="B3717" s="155"/>
    </row>
    <row r="3718" spans="1:2" hidden="1">
      <c r="A3718" s="154"/>
      <c r="B3718" s="155"/>
    </row>
    <row r="3719" spans="1:2" hidden="1">
      <c r="A3719" s="154"/>
      <c r="B3719" s="155"/>
    </row>
    <row r="3720" spans="1:2" hidden="1">
      <c r="A3720" s="154"/>
      <c r="B3720" s="155"/>
    </row>
    <row r="3721" spans="1:2" hidden="1">
      <c r="A3721" s="154"/>
      <c r="B3721" s="155"/>
    </row>
    <row r="3722" spans="1:2" hidden="1">
      <c r="A3722" s="154"/>
      <c r="B3722" s="155"/>
    </row>
    <row r="3723" spans="1:2" hidden="1">
      <c r="A3723" s="154"/>
      <c r="B3723" s="155"/>
    </row>
    <row r="3724" spans="1:2" hidden="1">
      <c r="A3724" s="154"/>
      <c r="B3724" s="155"/>
    </row>
    <row r="3725" spans="1:2" hidden="1">
      <c r="A3725" s="154"/>
      <c r="B3725" s="155"/>
    </row>
    <row r="3726" spans="1:2" hidden="1">
      <c r="A3726" s="154"/>
      <c r="B3726" s="155"/>
    </row>
    <row r="3727" spans="1:2" hidden="1">
      <c r="A3727" s="154"/>
      <c r="B3727" s="155"/>
    </row>
    <row r="3728" spans="1:2" hidden="1">
      <c r="A3728" s="154"/>
      <c r="B3728" s="155"/>
    </row>
    <row r="3729" spans="1:2" hidden="1">
      <c r="A3729" s="154"/>
      <c r="B3729" s="155"/>
    </row>
    <row r="3730" spans="1:2" hidden="1">
      <c r="A3730" s="154"/>
      <c r="B3730" s="155"/>
    </row>
    <row r="3731" spans="1:2" hidden="1">
      <c r="A3731" s="154"/>
      <c r="B3731" s="155"/>
    </row>
    <row r="3732" spans="1:2" hidden="1">
      <c r="A3732" s="154"/>
      <c r="B3732" s="155"/>
    </row>
    <row r="3733" spans="1:2" hidden="1">
      <c r="A3733" s="154"/>
      <c r="B3733" s="155"/>
    </row>
    <row r="3734" spans="1:2" hidden="1">
      <c r="A3734" s="154"/>
      <c r="B3734" s="155"/>
    </row>
    <row r="3735" spans="1:2" hidden="1">
      <c r="A3735" s="154"/>
      <c r="B3735" s="155"/>
    </row>
    <row r="3736" spans="1:2" hidden="1">
      <c r="A3736" s="154"/>
      <c r="B3736" s="155"/>
    </row>
    <row r="3737" spans="1:2" hidden="1">
      <c r="A3737" s="154"/>
      <c r="B3737" s="155"/>
    </row>
    <row r="3738" spans="1:2" hidden="1">
      <c r="A3738" s="154"/>
      <c r="B3738" s="155"/>
    </row>
    <row r="3739" spans="1:2" hidden="1">
      <c r="A3739" s="154"/>
      <c r="B3739" s="155"/>
    </row>
    <row r="3740" spans="1:2" hidden="1">
      <c r="A3740" s="154"/>
      <c r="B3740" s="155"/>
    </row>
    <row r="3741" spans="1:2" hidden="1">
      <c r="A3741" s="154"/>
      <c r="B3741" s="155"/>
    </row>
    <row r="3742" spans="1:2" hidden="1">
      <c r="A3742" s="154"/>
      <c r="B3742" s="155"/>
    </row>
    <row r="3743" spans="1:2" hidden="1">
      <c r="A3743" s="154"/>
      <c r="B3743" s="155"/>
    </row>
    <row r="3744" spans="1:2" hidden="1">
      <c r="A3744" s="154"/>
      <c r="B3744" s="155"/>
    </row>
    <row r="3745" spans="1:2" hidden="1">
      <c r="A3745" s="154"/>
      <c r="B3745" s="155"/>
    </row>
    <row r="3746" spans="1:2" hidden="1">
      <c r="A3746" s="154"/>
      <c r="B3746" s="155"/>
    </row>
    <row r="3747" spans="1:2" hidden="1">
      <c r="A3747" s="154"/>
      <c r="B3747" s="155"/>
    </row>
    <row r="3748" spans="1:2" hidden="1">
      <c r="A3748" s="154"/>
      <c r="B3748" s="155"/>
    </row>
    <row r="3749" spans="1:2" hidden="1">
      <c r="A3749" s="154"/>
      <c r="B3749" s="155"/>
    </row>
    <row r="3750" spans="1:2" hidden="1">
      <c r="A3750" s="154"/>
      <c r="B3750" s="155"/>
    </row>
    <row r="3751" spans="1:2" hidden="1">
      <c r="A3751" s="154"/>
      <c r="B3751" s="155"/>
    </row>
    <row r="3752" spans="1:2" hidden="1">
      <c r="A3752" s="154"/>
      <c r="B3752" s="155"/>
    </row>
    <row r="3753" spans="1:2" hidden="1">
      <c r="A3753" s="154"/>
      <c r="B3753" s="155"/>
    </row>
    <row r="3754" spans="1:2" hidden="1">
      <c r="A3754" s="154"/>
      <c r="B3754" s="155"/>
    </row>
    <row r="3755" spans="1:2" hidden="1">
      <c r="A3755" s="154"/>
      <c r="B3755" s="155"/>
    </row>
    <row r="3756" spans="1:2" hidden="1">
      <c r="A3756" s="154"/>
      <c r="B3756" s="155"/>
    </row>
    <row r="3757" spans="1:2" hidden="1">
      <c r="A3757" s="154"/>
      <c r="B3757" s="155"/>
    </row>
    <row r="3758" spans="1:2" hidden="1">
      <c r="A3758" s="154"/>
      <c r="B3758" s="155"/>
    </row>
    <row r="3759" spans="1:2" hidden="1">
      <c r="A3759" s="154"/>
      <c r="B3759" s="155"/>
    </row>
    <row r="3760" spans="1:2" hidden="1">
      <c r="A3760" s="154"/>
      <c r="B3760" s="155"/>
    </row>
    <row r="3761" spans="1:2" hidden="1">
      <c r="A3761" s="154"/>
      <c r="B3761" s="155"/>
    </row>
    <row r="3762" spans="1:2" hidden="1">
      <c r="A3762" s="154"/>
      <c r="B3762" s="155"/>
    </row>
    <row r="3763" spans="1:2" hidden="1">
      <c r="A3763" s="154"/>
      <c r="B3763" s="155"/>
    </row>
    <row r="3764" spans="1:2" hidden="1">
      <c r="A3764" s="154"/>
      <c r="B3764" s="155"/>
    </row>
    <row r="3765" spans="1:2" hidden="1">
      <c r="A3765" s="154"/>
      <c r="B3765" s="155"/>
    </row>
    <row r="3766" spans="1:2" hidden="1">
      <c r="A3766" s="154"/>
      <c r="B3766" s="155"/>
    </row>
    <row r="3767" spans="1:2" hidden="1">
      <c r="A3767" s="154"/>
      <c r="B3767" s="155"/>
    </row>
    <row r="3768" spans="1:2" hidden="1">
      <c r="A3768" s="154"/>
      <c r="B3768" s="155"/>
    </row>
    <row r="3769" spans="1:2" hidden="1">
      <c r="A3769" s="154"/>
      <c r="B3769" s="155"/>
    </row>
    <row r="3770" spans="1:2" hidden="1">
      <c r="A3770" s="154"/>
      <c r="B3770" s="155"/>
    </row>
    <row r="3771" spans="1:2" hidden="1">
      <c r="A3771" s="154"/>
      <c r="B3771" s="155"/>
    </row>
    <row r="3772" spans="1:2" hidden="1">
      <c r="A3772" s="154"/>
      <c r="B3772" s="155"/>
    </row>
    <row r="3773" spans="1:2" hidden="1">
      <c r="A3773" s="154"/>
      <c r="B3773" s="155"/>
    </row>
    <row r="3774" spans="1:2" hidden="1">
      <c r="A3774" s="154"/>
      <c r="B3774" s="155"/>
    </row>
    <row r="3775" spans="1:2" hidden="1">
      <c r="A3775" s="154"/>
      <c r="B3775" s="155"/>
    </row>
    <row r="3776" spans="1:2" hidden="1">
      <c r="A3776" s="154"/>
      <c r="B3776" s="155"/>
    </row>
    <row r="3777" spans="1:2" hidden="1">
      <c r="A3777" s="154"/>
      <c r="B3777" s="155"/>
    </row>
    <row r="3778" spans="1:2" hidden="1">
      <c r="A3778" s="154"/>
      <c r="B3778" s="155"/>
    </row>
    <row r="3779" spans="1:2" hidden="1">
      <c r="A3779" s="154"/>
      <c r="B3779" s="155"/>
    </row>
    <row r="3780" spans="1:2" hidden="1">
      <c r="A3780" s="154"/>
      <c r="B3780" s="155"/>
    </row>
    <row r="3781" spans="1:2" hidden="1">
      <c r="A3781" s="154"/>
      <c r="B3781" s="155"/>
    </row>
    <row r="3782" spans="1:2" hidden="1">
      <c r="A3782" s="154"/>
      <c r="B3782" s="155"/>
    </row>
    <row r="3783" spans="1:2" hidden="1">
      <c r="A3783" s="154"/>
      <c r="B3783" s="155"/>
    </row>
    <row r="3784" spans="1:2" hidden="1">
      <c r="A3784" s="154"/>
      <c r="B3784" s="155"/>
    </row>
    <row r="3785" spans="1:2" hidden="1">
      <c r="A3785" s="154"/>
      <c r="B3785" s="155"/>
    </row>
    <row r="3786" spans="1:2" hidden="1">
      <c r="A3786" s="154"/>
      <c r="B3786" s="155"/>
    </row>
    <row r="3787" spans="1:2" hidden="1">
      <c r="A3787" s="154"/>
      <c r="B3787" s="155"/>
    </row>
    <row r="3788" spans="1:2" hidden="1">
      <c r="A3788" s="154"/>
      <c r="B3788" s="155"/>
    </row>
    <row r="3789" spans="1:2" hidden="1">
      <c r="A3789" s="154"/>
      <c r="B3789" s="155"/>
    </row>
    <row r="3790" spans="1:2" hidden="1">
      <c r="A3790" s="154"/>
      <c r="B3790" s="155"/>
    </row>
    <row r="3791" spans="1:2" hidden="1">
      <c r="A3791" s="154"/>
      <c r="B3791" s="155"/>
    </row>
    <row r="3792" spans="1:2" hidden="1">
      <c r="A3792" s="154"/>
      <c r="B3792" s="155"/>
    </row>
    <row r="3793" spans="1:2" hidden="1">
      <c r="A3793" s="154"/>
      <c r="B3793" s="155"/>
    </row>
    <row r="3794" spans="1:2" hidden="1">
      <c r="A3794" s="154"/>
      <c r="B3794" s="155"/>
    </row>
    <row r="3795" spans="1:2" hidden="1">
      <c r="A3795" s="154"/>
      <c r="B3795" s="155"/>
    </row>
    <row r="3796" spans="1:2" hidden="1">
      <c r="A3796" s="154"/>
      <c r="B3796" s="155"/>
    </row>
    <row r="3797" spans="1:2" hidden="1">
      <c r="A3797" s="154"/>
      <c r="B3797" s="155"/>
    </row>
    <row r="3798" spans="1:2" hidden="1">
      <c r="A3798" s="154"/>
      <c r="B3798" s="155"/>
    </row>
    <row r="3799" spans="1:2" hidden="1">
      <c r="A3799" s="154"/>
      <c r="B3799" s="155"/>
    </row>
    <row r="3800" spans="1:2" hidden="1">
      <c r="A3800" s="154"/>
      <c r="B3800" s="155"/>
    </row>
    <row r="3801" spans="1:2" hidden="1">
      <c r="A3801" s="154"/>
      <c r="B3801" s="155"/>
    </row>
    <row r="3802" spans="1:2" hidden="1">
      <c r="A3802" s="154"/>
      <c r="B3802" s="155"/>
    </row>
    <row r="3803" spans="1:2" hidden="1">
      <c r="A3803" s="154"/>
      <c r="B3803" s="155"/>
    </row>
    <row r="3804" spans="1:2" hidden="1">
      <c r="A3804" s="154"/>
      <c r="B3804" s="155"/>
    </row>
    <row r="3805" spans="1:2" hidden="1">
      <c r="A3805" s="154"/>
      <c r="B3805" s="155"/>
    </row>
    <row r="3806" spans="1:2" hidden="1">
      <c r="A3806" s="154"/>
      <c r="B3806" s="155"/>
    </row>
    <row r="3807" spans="1:2" hidden="1">
      <c r="A3807" s="154"/>
      <c r="B3807" s="155"/>
    </row>
    <row r="3808" spans="1:2" hidden="1">
      <c r="A3808" s="154"/>
      <c r="B3808" s="155"/>
    </row>
    <row r="3809" spans="1:2" hidden="1">
      <c r="A3809" s="154"/>
      <c r="B3809" s="155"/>
    </row>
    <row r="3810" spans="1:2" hidden="1">
      <c r="A3810" s="154"/>
      <c r="B3810" s="155"/>
    </row>
    <row r="3811" spans="1:2" hidden="1">
      <c r="A3811" s="154"/>
      <c r="B3811" s="155"/>
    </row>
    <row r="3812" spans="1:2" hidden="1">
      <c r="A3812" s="154"/>
      <c r="B3812" s="155"/>
    </row>
    <row r="3813" spans="1:2" hidden="1">
      <c r="A3813" s="154"/>
      <c r="B3813" s="155"/>
    </row>
    <row r="3814" spans="1:2" hidden="1">
      <c r="A3814" s="154"/>
      <c r="B3814" s="155"/>
    </row>
    <row r="3815" spans="1:2" hidden="1">
      <c r="A3815" s="154"/>
      <c r="B3815" s="155"/>
    </row>
    <row r="3816" spans="1:2" hidden="1">
      <c r="A3816" s="154"/>
      <c r="B3816" s="155"/>
    </row>
    <row r="3817" spans="1:2" hidden="1">
      <c r="A3817" s="154"/>
      <c r="B3817" s="155"/>
    </row>
    <row r="3818" spans="1:2" hidden="1">
      <c r="A3818" s="154"/>
      <c r="B3818" s="155"/>
    </row>
    <row r="3819" spans="1:2" hidden="1">
      <c r="A3819" s="154"/>
      <c r="B3819" s="155"/>
    </row>
    <row r="3820" spans="1:2" hidden="1">
      <c r="A3820" s="154"/>
      <c r="B3820" s="155"/>
    </row>
    <row r="3821" spans="1:2" hidden="1">
      <c r="A3821" s="154"/>
      <c r="B3821" s="155"/>
    </row>
    <row r="3822" spans="1:2" hidden="1">
      <c r="A3822" s="154"/>
      <c r="B3822" s="155"/>
    </row>
    <row r="3823" spans="1:2" hidden="1">
      <c r="A3823" s="154"/>
      <c r="B3823" s="155"/>
    </row>
    <row r="3824" spans="1:2" hidden="1">
      <c r="A3824" s="154"/>
      <c r="B3824" s="155"/>
    </row>
    <row r="3825" spans="1:2" hidden="1">
      <c r="A3825" s="154"/>
      <c r="B3825" s="155"/>
    </row>
    <row r="3826" spans="1:2" hidden="1">
      <c r="A3826" s="154"/>
      <c r="B3826" s="155"/>
    </row>
    <row r="3827" spans="1:2" hidden="1">
      <c r="A3827" s="154"/>
      <c r="B3827" s="155"/>
    </row>
    <row r="3828" spans="1:2" hidden="1">
      <c r="A3828" s="154"/>
      <c r="B3828" s="155"/>
    </row>
    <row r="3829" spans="1:2" hidden="1">
      <c r="A3829" s="154"/>
      <c r="B3829" s="155"/>
    </row>
    <row r="3830" spans="1:2" hidden="1">
      <c r="A3830" s="154"/>
      <c r="B3830" s="155"/>
    </row>
    <row r="3831" spans="1:2" hidden="1">
      <c r="A3831" s="154"/>
      <c r="B3831" s="155"/>
    </row>
    <row r="3832" spans="1:2" hidden="1">
      <c r="A3832" s="154"/>
      <c r="B3832" s="155"/>
    </row>
    <row r="3833" spans="1:2" hidden="1">
      <c r="A3833" s="154"/>
      <c r="B3833" s="155"/>
    </row>
    <row r="3834" spans="1:2" hidden="1">
      <c r="A3834" s="154"/>
      <c r="B3834" s="155"/>
    </row>
    <row r="3835" spans="1:2" hidden="1">
      <c r="A3835" s="154"/>
      <c r="B3835" s="155"/>
    </row>
    <row r="3836" spans="1:2" hidden="1">
      <c r="A3836" s="154"/>
      <c r="B3836" s="155"/>
    </row>
    <row r="3837" spans="1:2" hidden="1">
      <c r="A3837" s="154"/>
      <c r="B3837" s="155"/>
    </row>
    <row r="3838" spans="1:2" hidden="1">
      <c r="A3838" s="154"/>
      <c r="B3838" s="155"/>
    </row>
    <row r="3839" spans="1:2" hidden="1">
      <c r="A3839" s="154"/>
      <c r="B3839" s="155"/>
    </row>
    <row r="3840" spans="1:2" hidden="1">
      <c r="A3840" s="154"/>
      <c r="B3840" s="155"/>
    </row>
    <row r="3841" spans="1:2" hidden="1">
      <c r="A3841" s="154"/>
      <c r="B3841" s="155"/>
    </row>
    <row r="3842" spans="1:2" hidden="1">
      <c r="A3842" s="154"/>
      <c r="B3842" s="155"/>
    </row>
    <row r="3843" spans="1:2" hidden="1">
      <c r="A3843" s="154"/>
      <c r="B3843" s="155"/>
    </row>
    <row r="3844" spans="1:2" hidden="1">
      <c r="A3844" s="154"/>
      <c r="B3844" s="155"/>
    </row>
    <row r="3845" spans="1:2" hidden="1">
      <c r="A3845" s="154"/>
      <c r="B3845" s="155"/>
    </row>
    <row r="3846" spans="1:2" hidden="1">
      <c r="A3846" s="154"/>
      <c r="B3846" s="155"/>
    </row>
    <row r="3847" spans="1:2" hidden="1">
      <c r="A3847" s="154"/>
      <c r="B3847" s="155"/>
    </row>
    <row r="3848" spans="1:2" hidden="1">
      <c r="A3848" s="154"/>
      <c r="B3848" s="155"/>
    </row>
    <row r="3849" spans="1:2" hidden="1">
      <c r="A3849" s="154"/>
      <c r="B3849" s="155"/>
    </row>
    <row r="3850" spans="1:2" hidden="1">
      <c r="A3850" s="154"/>
      <c r="B3850" s="155"/>
    </row>
    <row r="3851" spans="1:2" hidden="1">
      <c r="A3851" s="154"/>
      <c r="B3851" s="155"/>
    </row>
    <row r="3852" spans="1:2" hidden="1">
      <c r="A3852" s="154"/>
      <c r="B3852" s="155"/>
    </row>
    <row r="3853" spans="1:2" hidden="1">
      <c r="A3853" s="154"/>
      <c r="B3853" s="155"/>
    </row>
    <row r="3854" spans="1:2" hidden="1">
      <c r="A3854" s="154"/>
      <c r="B3854" s="155"/>
    </row>
    <row r="3855" spans="1:2" hidden="1">
      <c r="A3855" s="154"/>
      <c r="B3855" s="155"/>
    </row>
    <row r="3856" spans="1:2" hidden="1">
      <c r="A3856" s="154"/>
      <c r="B3856" s="155"/>
    </row>
    <row r="3857" spans="1:2" hidden="1">
      <c r="A3857" s="154"/>
      <c r="B3857" s="155"/>
    </row>
    <row r="3858" spans="1:2" hidden="1">
      <c r="A3858" s="154"/>
      <c r="B3858" s="155"/>
    </row>
    <row r="3859" spans="1:2" hidden="1">
      <c r="A3859" s="154"/>
      <c r="B3859" s="155"/>
    </row>
    <row r="3860" spans="1:2" hidden="1">
      <c r="A3860" s="154"/>
      <c r="B3860" s="155"/>
    </row>
    <row r="3861" spans="1:2" hidden="1">
      <c r="A3861" s="154"/>
      <c r="B3861" s="155"/>
    </row>
    <row r="3862" spans="1:2" hidden="1">
      <c r="A3862" s="154"/>
      <c r="B3862" s="155"/>
    </row>
    <row r="3863" spans="1:2" hidden="1">
      <c r="A3863" s="154"/>
      <c r="B3863" s="155"/>
    </row>
    <row r="3864" spans="1:2" hidden="1">
      <c r="A3864" s="164"/>
      <c r="B3864" s="155"/>
    </row>
  </sheetData>
  <dataConsolidate/>
  <hyperlinks>
    <hyperlink ref="B204" r:id="rId1" display="506511" xr:uid="{8C7FE46D-1CD9-4985-B4D2-3DB10975F050}"/>
    <hyperlink ref="B205" r:id="rId2" display="506523" xr:uid="{038E680E-7ED6-4772-B1A5-401DC7E34B05}"/>
    <hyperlink ref="D1136" r:id="rId3" xr:uid="{FD82D000-4F15-4C1F-896E-A8AED5D63F8B}"/>
    <hyperlink ref="D1761" r:id="rId4" xr:uid="{717E5237-7551-4005-82B3-936D3B28C589}"/>
    <hyperlink ref="D1762" r:id="rId5" xr:uid="{2DBB0D27-6871-4FF1-961E-5431EEDBB647}"/>
    <hyperlink ref="D1763" r:id="rId6" xr:uid="{B8CE3CEF-49ED-4888-93DD-4F8D6097848A}"/>
    <hyperlink ref="D1764" r:id="rId7" xr:uid="{C3DF95CD-5578-4B34-965B-E889C75F9A03}"/>
    <hyperlink ref="D1765" r:id="rId8" xr:uid="{B1B2A84D-9707-45B2-9AD6-F1EDFC396DAA}"/>
    <hyperlink ref="I1790" r:id="rId9" xr:uid="{7D762088-DFB2-4765-89B4-3FEBF29B85D3}"/>
    <hyperlink ref="I1816" r:id="rId10" xr:uid="{1D03FBED-6D26-4A86-8D8B-B0747DC1958C}"/>
    <hyperlink ref="I1823" r:id="rId11" xr:uid="{771BCC40-AC7E-439D-BB43-27929DD500E2}"/>
    <hyperlink ref="D1844" r:id="rId12" xr:uid="{65CF50A3-A38F-43C3-AC37-2D9E406E2E6E}"/>
    <hyperlink ref="B1894" r:id="rId13" display="546539" xr:uid="{72034403-CB46-424E-828D-BF594D3BACD1}"/>
    <hyperlink ref="B1895" r:id="rId14" display="546540" xr:uid="{DA40C9DA-5ACF-4ED9-8ED7-3DFF3861034A}"/>
    <hyperlink ref="B1896" r:id="rId15" display="546541" xr:uid="{A2CDACF2-4757-4EDC-8DF7-210DF0B2E092}"/>
    <hyperlink ref="B1897" r:id="rId16" display="546573" xr:uid="{CBE26C65-4C77-42CA-A9B8-698BD4F653A3}"/>
    <hyperlink ref="B1898" r:id="rId17" display="546574" xr:uid="{364695C0-0A5D-48A8-A766-098E3FE37825}"/>
    <hyperlink ref="B1899" r:id="rId18" display="546575" xr:uid="{682808D9-C84B-4F85-AA9A-80A85675F24C}"/>
    <hyperlink ref="B1900" r:id="rId19" display="546589" xr:uid="{44C0D037-10A8-4852-A638-EDB036690CCB}"/>
    <hyperlink ref="B1901" r:id="rId20" display="546597" xr:uid="{DA9B93EA-2799-496D-9862-C1C6BFACA54C}"/>
    <hyperlink ref="B1902" r:id="rId21" display="546600" xr:uid="{A47E1B87-4E79-4019-81E9-788E5B4DF758}"/>
    <hyperlink ref="D1907" r:id="rId22" xr:uid="{C53F195A-958C-45DA-935D-B166747A8E4D}"/>
    <hyperlink ref="D1908" r:id="rId23" xr:uid="{883A4007-F783-495B-AD5E-704C106547FC}"/>
    <hyperlink ref="D1959" r:id="rId24" xr:uid="{0671FAEF-FDC1-40E6-98A4-116F38809D0C}"/>
    <hyperlink ref="D1960" r:id="rId25" xr:uid="{7A0127B9-3A0A-4710-B8BB-F320720B05C3}"/>
    <hyperlink ref="D1961" r:id="rId26" xr:uid="{A7BB3F25-58FF-42D3-A0A8-737C538D670B}"/>
    <hyperlink ref="D1968" r:id="rId27" xr:uid="{E7202642-0B7E-462E-9FE8-25E182510FDB}"/>
    <hyperlink ref="D1969" r:id="rId28" xr:uid="{0DA96EFC-FC15-436A-98A2-D9785046795F}"/>
    <hyperlink ref="D1970" r:id="rId29" xr:uid="{52C9D9B3-51FA-4E39-97F3-A08EEAE981ED}"/>
    <hyperlink ref="D1974" r:id="rId30" xr:uid="{F12AB60B-F542-41C8-9B3B-3B53E3DB8C16}"/>
    <hyperlink ref="D1975" r:id="rId31" xr:uid="{39E209CD-5265-4B65-829C-5D5FB8167944}"/>
    <hyperlink ref="D1976" r:id="rId32" xr:uid="{63D00FD2-6C43-4C4E-94CB-FF8C5C43D7E5}"/>
    <hyperlink ref="D1977" r:id="rId33" xr:uid="{BEAA8F06-B64A-4866-9C76-7DB8491895DD}"/>
    <hyperlink ref="D2006" r:id="rId34" xr:uid="{57684EDE-6548-4023-A3F9-836BFF42F3B7}"/>
    <hyperlink ref="D2007" r:id="rId35" xr:uid="{158E504A-A08E-4393-BF03-7CD9872FE566}"/>
    <hyperlink ref="D2014" r:id="rId36" xr:uid="{C5551722-BBCB-4765-A9EC-B02F04DD824F}"/>
    <hyperlink ref="D2018" r:id="rId37" xr:uid="{0DAA5363-94C2-444A-865D-5ECD228E201A}"/>
    <hyperlink ref="D2015" r:id="rId38" xr:uid="{6E9F6D24-4858-4558-937D-A963223B2EAD}"/>
    <hyperlink ref="D2016" r:id="rId39" xr:uid="{5C1EA105-907D-4471-8D3E-25D387516437}"/>
    <hyperlink ref="D2017" r:id="rId40" xr:uid="{A9326EE3-6F04-4B77-B9D2-7AD855CC99AC}"/>
    <hyperlink ref="D2019" r:id="rId41" xr:uid="{4C107085-3ACF-4CAA-B42B-EA22A7D6FA18}"/>
    <hyperlink ref="D2023" r:id="rId42" xr:uid="{D1166E67-49D8-4DA8-AFD0-E3BE1271965B}"/>
    <hyperlink ref="D2024" r:id="rId43" xr:uid="{F9535735-4E42-4A10-B157-5E6F581F1C4E}"/>
    <hyperlink ref="D2025" r:id="rId44" xr:uid="{7792D6BF-CF25-4402-B9F5-5631425D4415}"/>
    <hyperlink ref="D2026" r:id="rId45" xr:uid="{8F30D06B-FE49-47EF-85E0-D8EEC95B3498}"/>
    <hyperlink ref="D2027" r:id="rId46" xr:uid="{615A3165-8458-441D-A2F4-E2CBF3A48747}"/>
    <hyperlink ref="D2099" r:id="rId47" xr:uid="{84FFA891-4EF7-45B9-BABC-5788F6AA8AA9}"/>
    <hyperlink ref="D2100" r:id="rId48" xr:uid="{44DD5EE8-0041-4D44-A4F1-8F25A327F1BE}"/>
    <hyperlink ref="D2101" r:id="rId49" xr:uid="{E443CD74-BF03-458B-9C26-74E9915D745B}"/>
    <hyperlink ref="D2102" r:id="rId50" xr:uid="{A31DE2CD-DEEE-4395-9300-85F2E2053409}"/>
    <hyperlink ref="D2108" r:id="rId51" xr:uid="{DE564386-6974-4846-A7CF-A6EB3ACAE300}"/>
    <hyperlink ref="D2109" r:id="rId52" xr:uid="{897159ED-D72B-4B45-A5AE-A9EB74F78B78}"/>
    <hyperlink ref="D2110" r:id="rId53" xr:uid="{5D961BD0-3B23-4778-AC63-EDE20EF9F1C8}"/>
    <hyperlink ref="D2111" r:id="rId54" xr:uid="{473DC038-44F8-44EE-A5D5-C25F28C65433}"/>
    <hyperlink ref="D2118" r:id="rId55" xr:uid="{919D578A-0624-4890-A403-F79EA9EA675E}"/>
    <hyperlink ref="D2119" r:id="rId56" xr:uid="{52F6B4C2-A7F0-41A4-A587-CEA7D2C04F48}"/>
    <hyperlink ref="D2122" r:id="rId57" xr:uid="{71679EC5-F4BA-4A47-BCD7-7FE5601AC959}"/>
    <hyperlink ref="D2123" r:id="rId58" xr:uid="{A1309C0F-55ED-4A5A-A2DA-EE9CAD6F140C}"/>
    <hyperlink ref="D2124" r:id="rId59" xr:uid="{0306EB46-1FF7-41D4-8080-C94C6E91FF85}"/>
    <hyperlink ref="D2125" r:id="rId60" xr:uid="{AAB3F922-82D5-449C-BDF5-25B34678B23D}"/>
    <hyperlink ref="D2126" r:id="rId61" xr:uid="{C04F69A6-F741-4C99-9AE3-392F5AD5344F}"/>
    <hyperlink ref="D2132" r:id="rId62" xr:uid="{C4BD78AF-0235-4A93-9707-33895729C681}"/>
    <hyperlink ref="D2133" r:id="rId63" xr:uid="{343E1349-BD01-4ADD-A447-CD1F733AEF46}"/>
    <hyperlink ref="D2139" r:id="rId64" xr:uid="{03795718-BF88-4D40-BA66-5FD3E92ACDFD}"/>
    <hyperlink ref="D2138" r:id="rId65" xr:uid="{18E7E193-F86B-400A-87A0-1C74C257703E}"/>
    <hyperlink ref="D2191" r:id="rId66" xr:uid="{3B9995CE-CB19-4C0F-BF0A-A87110414FA3}"/>
    <hyperlink ref="D2192" r:id="rId67" xr:uid="{A76C717D-BF4C-4747-989D-848736270AA5}"/>
    <hyperlink ref="D2193" r:id="rId68" xr:uid="{430561FF-8F03-41E4-A29A-DC56AF5AAC26}"/>
    <hyperlink ref="D2194" r:id="rId69" xr:uid="{27EA4AF8-80A9-4D22-8D57-88CD5CD56A45}"/>
    <hyperlink ref="D2198" r:id="rId70" xr:uid="{8112649C-E995-4C71-99B9-6631ED58CB51}"/>
    <hyperlink ref="D2199" r:id="rId71" xr:uid="{E96A93E8-F870-4776-A477-2248F251D053}"/>
    <hyperlink ref="D2200" r:id="rId72" xr:uid="{953F7374-6360-4DE4-A977-AA0EDF0B0C45}"/>
    <hyperlink ref="D2201" r:id="rId73" xr:uid="{CEDCCCE9-9B7E-4C48-BDB5-99569FC6345C}"/>
    <hyperlink ref="D2202" r:id="rId74" display="_x000a_CNDMH - Revisión Pala P206" xr:uid="{4597D999-3E52-4CC5-A72A-C933235DC0A9}"/>
    <hyperlink ref="D2208" r:id="rId75" xr:uid="{F5C22A40-DFC7-41C5-9A78-09DCB7FC3E19}"/>
    <hyperlink ref="D2209" r:id="rId76" xr:uid="{E1323D3A-D5E7-4664-A082-0D2ED0AB5C8C}"/>
    <hyperlink ref="D2210" r:id="rId77" xr:uid="{DFA73181-26A9-43A5-938D-BAB866DBD757}"/>
    <hyperlink ref="D2211" r:id="rId78" xr:uid="{A9B4A429-2749-4E17-AD95-7A97DF5DE100}"/>
    <hyperlink ref="D2212" r:id="rId79" xr:uid="{072733CA-36E4-42CB-9EFE-41BCB9F3A55E}"/>
    <hyperlink ref="D2223" r:id="rId80" xr:uid="{A14347BD-4671-4CCD-B4D6-25154213DC00}"/>
    <hyperlink ref="D2224" r:id="rId81" xr:uid="{B06BF087-A6D3-4877-9165-4BC28C335E21}"/>
    <hyperlink ref="D2225" r:id="rId82" xr:uid="{DA241CE0-9B96-46F6-A10A-0D894EBB7493}"/>
    <hyperlink ref="D2226" r:id="rId83" xr:uid="{6E69A3C5-223D-478E-A3FE-F7680CBAA24C}"/>
    <hyperlink ref="D2227" r:id="rId84" xr:uid="{0ED41F5A-C8B7-4D0E-A44D-B8557E74F749}"/>
    <hyperlink ref="D2228" r:id="rId85" xr:uid="{0BE82D46-2719-4A94-9FB2-A3C0F3E49C6E}"/>
    <hyperlink ref="D2229" r:id="rId86" xr:uid="{60BF4463-41C4-41B6-86BB-76063E3BFF0E}"/>
    <hyperlink ref="D2236" r:id="rId87" xr:uid="{CDD4CA43-2E08-4756-A1A7-DAE7E3B548AC}"/>
    <hyperlink ref="D2237" r:id="rId88" xr:uid="{55559870-732C-4763-89F5-E1A25089A7B2}"/>
    <hyperlink ref="D2238" r:id="rId89" xr:uid="{FA35E326-7053-4B48-B877-17BCE24B7B5F}"/>
    <hyperlink ref="D2239" r:id="rId90" xr:uid="{D15AF29C-05A7-44F2-B382-A866C57213CC}"/>
    <hyperlink ref="D2240" r:id="rId91" xr:uid="{D5881781-407F-4F2A-93DA-6396BD52FF52}"/>
    <hyperlink ref="D2241" r:id="rId92" xr:uid="{039BE284-A470-4084-9181-6ED8B958936E}"/>
    <hyperlink ref="D2242" r:id="rId93" xr:uid="{3749E0CE-5B9D-44C8-BCD3-C8FD85521BF0}"/>
    <hyperlink ref="D2251" r:id="rId94" xr:uid="{5A19A51F-B9A7-47E1-9CB2-0DD2EA0947FB}"/>
    <hyperlink ref="D2252" r:id="rId95" xr:uid="{3CFAF67E-4B92-4324-A6FD-01D091B0C7BD}"/>
    <hyperlink ref="D2253" r:id="rId96" xr:uid="{8091A985-5C74-4641-981A-95CBBDEAA367}"/>
    <hyperlink ref="D2254" r:id="rId97" xr:uid="{5DC1D2C7-90BF-451B-809B-7E2277D1ECEE}"/>
    <hyperlink ref="D2255" r:id="rId98" xr:uid="{2A02EAE0-1059-43BE-924D-0A0FF25CF385}"/>
    <hyperlink ref="D2256" r:id="rId99" xr:uid="{6663299D-0D90-4FA5-871C-8D5D8071BF94}"/>
    <hyperlink ref="D2257" r:id="rId100" xr:uid="{C1D367EF-F4B3-4BB7-ACC3-E3364FC2C57D}"/>
    <hyperlink ref="D2265" r:id="rId101" xr:uid="{7E9C2DAA-6CF6-4332-9ECB-BF686E2AE34D}"/>
    <hyperlink ref="D2266" r:id="rId102" xr:uid="{62047666-EA5C-4491-86C6-9631C577362D}"/>
    <hyperlink ref="D2268" r:id="rId103" xr:uid="{E8D9D89C-F9B0-4DFB-B207-FFF127314C4D}"/>
    <hyperlink ref="D2269" r:id="rId104" xr:uid="{7B1F7CC9-B002-45D5-BEB4-910DBF8FF98D}"/>
    <hyperlink ref="D2270" r:id="rId105" xr:uid="{983A4DBA-29FD-4995-A2C9-FEB081E61803}"/>
    <hyperlink ref="D2358" r:id="rId106" xr:uid="{B44900F8-3BDC-44BD-AFDD-41492A387D01}"/>
    <hyperlink ref="D2359" r:id="rId107" xr:uid="{FA9EE1C2-D923-451E-B62F-9471434F6E23}"/>
    <hyperlink ref="D2360" r:id="rId108" xr:uid="{D6A47D39-F3C0-447A-AAAA-D5057E5D53B3}"/>
    <hyperlink ref="D2361" r:id="rId109" xr:uid="{50D54E7E-C421-415E-B86F-C456483F1224}"/>
    <hyperlink ref="D2362" r:id="rId110" xr:uid="{35A7CB70-3964-4D8B-8435-F4DA83F3DCE0}"/>
    <hyperlink ref="D2363" r:id="rId111" xr:uid="{A95AAD5C-D393-4AD4-B0E9-53CCFC87D121}"/>
    <hyperlink ref="D2364" r:id="rId112" xr:uid="{C04D8AF4-C9A9-4DCD-B5C7-D96C5433034F}"/>
    <hyperlink ref="D2365" r:id="rId113" xr:uid="{2C2737F4-74A1-4AFF-92F9-88EAA5717DDE}"/>
    <hyperlink ref="D2366" r:id="rId114" xr:uid="{E9CB77C6-E920-40EA-A223-45549AC7FA53}"/>
    <hyperlink ref="D2374" r:id="rId115" xr:uid="{1A4395D9-33A1-4833-A43F-9BE57B293CA0}"/>
    <hyperlink ref="D2373" r:id="rId116" xr:uid="{F9F03AFE-64F1-4DEC-8AF7-C3EEC325AB22}"/>
    <hyperlink ref="D2372" r:id="rId117" xr:uid="{F7A9BA24-F2E0-429A-8F38-925B0DFA0580}"/>
    <hyperlink ref="D2375" r:id="rId118" xr:uid="{93BC533A-C8D9-4777-AE0A-0CE27D5E0202}"/>
    <hyperlink ref="D2376" r:id="rId119" xr:uid="{4D6538E7-BADC-4829-8B1F-4C6FB219F181}"/>
    <hyperlink ref="D2377" r:id="rId120" xr:uid="{29BA6205-6A2F-4ABC-97FC-C760D93CC31A}"/>
    <hyperlink ref="D2378" r:id="rId121" xr:uid="{40BF2207-0EE5-4834-91DE-06D441D7F5FC}"/>
    <hyperlink ref="D2385" r:id="rId122" xr:uid="{6A466E89-ECCB-48A8-8C00-078FA664017C}"/>
    <hyperlink ref="D2386" r:id="rId123" xr:uid="{E3DC1AAB-157D-4201-8F3E-1EE7BFF71514}"/>
    <hyperlink ref="D2387" r:id="rId124" xr:uid="{BB5CD1BA-155E-4A57-A948-75BEB032F572}"/>
    <hyperlink ref="D2388" r:id="rId125" xr:uid="{10B9E6C1-DFBB-410F-8FC7-716DAB7F8702}"/>
    <hyperlink ref="D2398" r:id="rId126" xr:uid="{B4FD8AA8-1114-42F7-9626-58B864BBA617}"/>
    <hyperlink ref="D2399" r:id="rId127" xr:uid="{CD612025-751D-473B-B800-175E094C8B6F}"/>
    <hyperlink ref="D2400" r:id="rId128" xr:uid="{BC500494-CFEE-4BAD-9AB6-7E1EA7AC211B}"/>
    <hyperlink ref="D2401" r:id="rId129" xr:uid="{60B1EF81-183E-45B2-93B5-E7496BF53342}"/>
    <hyperlink ref="D2405" r:id="rId130" xr:uid="{293C2B92-E41E-4F7A-8714-60E2D6CE8194}"/>
    <hyperlink ref="D2406" r:id="rId131" xr:uid="{FF4A97A9-0447-4133-B739-53E5A231887E}"/>
    <hyperlink ref="D2407" r:id="rId132" xr:uid="{A2A215B1-B5B4-444E-941D-489A185F0C1B}"/>
    <hyperlink ref="D2408" r:id="rId133" xr:uid="{D38DD951-8704-4DED-8815-1D5E46E95734}"/>
  </hyperlinks>
  <pageMargins left="0.7" right="0.7" top="0.75" bottom="0.75" header="0.3" footer="0.3"/>
  <pageSetup orientation="portrait" r:id="rId134"/>
  <tableParts count="1">
    <tablePart r:id="rId135"/>
  </tableParts>
  <extLst>
    <ext xmlns:x14="http://schemas.microsoft.com/office/spreadsheetml/2009/9/main" uri="{CCE6A557-97BC-4b89-ADB6-D9C93CAAB3DF}">
      <x14:dataValidations xmlns:xm="http://schemas.microsoft.com/office/excel/2006/main" count="5">
        <x14:dataValidation type="list" allowBlank="1" showInputMessage="1" showErrorMessage="1" xr:uid="{02A6B3DD-7AB9-4D3D-8C6F-6BBA015BF69E}">
          <x14:formula1>
            <xm:f>Configuraciones!$G$2:$G$4</xm:f>
          </x14:formula1>
          <xm:sqref>A1139:A1168 A267:A1137 A1:A265 A1170:A1048576</xm:sqref>
        </x14:dataValidation>
        <x14:dataValidation type="list" allowBlank="1" showInputMessage="1" showErrorMessage="1" xr:uid="{E829A1DD-3D3D-45AE-B663-FDB1BCEC1544}">
          <x14:formula1>
            <xm:f>Configuraciones!$A$2:$A$6</xm:f>
          </x14:formula1>
          <xm:sqref>F1:F265 F1139:F1168 F598:F1137 F267:F592 F1170:F1048576</xm:sqref>
        </x14:dataValidation>
        <x14:dataValidation type="list" allowBlank="1" showInputMessage="1" showErrorMessage="1" xr:uid="{1BD8BC68-BEC0-43F5-A499-0FC6E32BE4CC}">
          <x14:formula1>
            <xm:f>Configuraciones!$C$2:$C$12</xm:f>
          </x14:formula1>
          <xm:sqref>K431:K815 J598:J815 J235:J312 K235:K245 J313:K429 J430:J590 K1138 J816:K1137 J1170:J1175 J1139:K1168 K1169:K1175 J1176:K1495 J1496:J1504 J1511:J1528 J1529:K1790 K1792:K2010 J1:K234 J1791:J2160 K2012:K2160 J2161:K2270 K2272:K1048576 J2278:J1048576</xm:sqref>
        </x14:dataValidation>
        <x14:dataValidation type="list" allowBlank="1" showInputMessage="1" showErrorMessage="1" xr:uid="{1A498739-BCE2-4BBB-9E99-A2F28EF8535A}">
          <x14:formula1>
            <xm:f>Configuraciones!$C$2:$C$13</xm:f>
          </x14:formula1>
          <xm:sqref>K2011</xm:sqref>
        </x14:dataValidation>
        <x14:dataValidation type="list" allowBlank="1" showInputMessage="1" showErrorMessage="1" xr:uid="{520B06D0-AEB9-432D-A148-5F7DF40B80CF}">
          <x14:formula1>
            <xm:f>Configuraciones!$E$2:$E$18</xm:f>
          </x14:formula1>
          <xm:sqref>C1:C2270 C2272 C2275 C2278:C1048576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79537-F91B-4D0C-B6BE-7F235F4F0872}">
  <dimension ref="B2:K30"/>
  <sheetViews>
    <sheetView topLeftCell="D1" workbookViewId="0">
      <selection activeCell="F29" sqref="F29"/>
    </sheetView>
  </sheetViews>
  <sheetFormatPr baseColWidth="10" defaultColWidth="8.81640625" defaultRowHeight="14.5"/>
  <cols>
    <col min="2" max="2" width="10.54296875" bestFit="1" customWidth="1"/>
    <col min="3" max="3" width="14.81640625" customWidth="1"/>
    <col min="4" max="4" width="11" customWidth="1"/>
    <col min="5" max="5" width="61.7265625" customWidth="1"/>
    <col min="6" max="6" width="100.54296875" customWidth="1"/>
    <col min="7" max="7" width="9.81640625" customWidth="1"/>
    <col min="8" max="8" width="19.54296875" customWidth="1"/>
    <col min="9" max="9" width="19.1796875" customWidth="1"/>
    <col min="10" max="10" width="20.26953125" customWidth="1"/>
    <col min="11" max="11" width="18.26953125" customWidth="1"/>
  </cols>
  <sheetData>
    <row r="2" spans="2:11" ht="21" customHeight="1">
      <c r="B2" s="117" t="s">
        <v>0</v>
      </c>
      <c r="C2" s="118" t="s">
        <v>1</v>
      </c>
      <c r="D2" s="119" t="s">
        <v>2</v>
      </c>
      <c r="E2" s="119" t="s">
        <v>3</v>
      </c>
      <c r="F2" s="119" t="s">
        <v>4</v>
      </c>
      <c r="G2" s="119" t="s">
        <v>5</v>
      </c>
      <c r="H2" s="119" t="s">
        <v>6</v>
      </c>
      <c r="I2" s="119" t="s">
        <v>7</v>
      </c>
      <c r="J2" s="119" t="s">
        <v>8</v>
      </c>
      <c r="K2" s="119" t="s">
        <v>9</v>
      </c>
    </row>
    <row r="3" spans="2:11">
      <c r="B3" s="201" t="s">
        <v>20</v>
      </c>
      <c r="C3" s="202" t="s">
        <v>14610</v>
      </c>
      <c r="D3" s="203" t="s">
        <v>49</v>
      </c>
      <c r="E3" s="203" t="s">
        <v>8771</v>
      </c>
      <c r="F3" s="203" t="s">
        <v>14611</v>
      </c>
      <c r="G3" s="203" t="s">
        <v>40</v>
      </c>
      <c r="H3" s="204" t="s">
        <v>14612</v>
      </c>
      <c r="I3" s="204" t="s">
        <v>14613</v>
      </c>
      <c r="J3" s="23" t="s">
        <v>32</v>
      </c>
      <c r="K3" s="24" t="s">
        <v>72</v>
      </c>
    </row>
    <row r="4" spans="2:11">
      <c r="B4" s="197" t="s">
        <v>20</v>
      </c>
      <c r="C4" s="198" t="s">
        <v>14632</v>
      </c>
      <c r="D4" s="199" t="s">
        <v>21</v>
      </c>
      <c r="E4" s="199" t="s">
        <v>14633</v>
      </c>
      <c r="F4" s="207" t="s">
        <v>14634</v>
      </c>
      <c r="G4" s="199" t="s">
        <v>40</v>
      </c>
      <c r="H4" s="200" t="s">
        <v>14635</v>
      </c>
      <c r="I4" s="200" t="s">
        <v>14636</v>
      </c>
      <c r="J4" s="17" t="s">
        <v>64</v>
      </c>
      <c r="K4" s="18" t="s">
        <v>9367</v>
      </c>
    </row>
    <row r="5" spans="2:11">
      <c r="B5" s="197"/>
      <c r="C5" s="198"/>
      <c r="D5" s="199"/>
      <c r="E5" s="199"/>
      <c r="F5" s="199"/>
      <c r="G5" s="199"/>
      <c r="H5" s="200"/>
      <c r="I5" s="200"/>
      <c r="J5" s="17"/>
      <c r="K5" s="18"/>
    </row>
    <row r="6" spans="2:11">
      <c r="B6" s="201"/>
      <c r="C6" s="202"/>
      <c r="D6" s="203"/>
      <c r="E6" s="203"/>
      <c r="F6" s="203"/>
      <c r="G6" s="203"/>
      <c r="H6" s="204"/>
      <c r="I6" s="204"/>
      <c r="J6" s="23"/>
      <c r="K6" s="24"/>
    </row>
    <row r="7" spans="2:11">
      <c r="B7" s="197"/>
      <c r="C7" s="198"/>
      <c r="D7" s="199"/>
      <c r="E7" s="199"/>
      <c r="F7" s="199"/>
      <c r="G7" s="199"/>
      <c r="H7" s="200"/>
      <c r="I7" s="200"/>
      <c r="J7" s="17"/>
      <c r="K7" s="18"/>
    </row>
    <row r="13" spans="2:11">
      <c r="B13" s="117" t="s">
        <v>0</v>
      </c>
      <c r="C13" s="118" t="s">
        <v>1</v>
      </c>
      <c r="D13" s="119" t="s">
        <v>2</v>
      </c>
      <c r="E13" s="119" t="s">
        <v>3</v>
      </c>
      <c r="F13" s="119" t="s">
        <v>4</v>
      </c>
      <c r="G13" s="119" t="s">
        <v>5</v>
      </c>
      <c r="H13" s="119" t="s">
        <v>6</v>
      </c>
      <c r="I13" s="119" t="s">
        <v>7</v>
      </c>
      <c r="J13" s="119" t="s">
        <v>8</v>
      </c>
      <c r="K13" s="119" t="s">
        <v>9</v>
      </c>
    </row>
    <row r="14" spans="2:11">
      <c r="B14" s="201" t="s">
        <v>95</v>
      </c>
      <c r="C14" s="202" t="s">
        <v>14627</v>
      </c>
      <c r="D14" s="203" t="s">
        <v>97</v>
      </c>
      <c r="E14" s="203" t="s">
        <v>14628</v>
      </c>
      <c r="F14" s="206" t="s">
        <v>14629</v>
      </c>
      <c r="G14" s="203" t="s">
        <v>40</v>
      </c>
      <c r="H14" s="204" t="s">
        <v>14630</v>
      </c>
      <c r="I14" s="204" t="s">
        <v>14631</v>
      </c>
      <c r="J14" s="23" t="s">
        <v>8036</v>
      </c>
      <c r="K14" s="24" t="s">
        <v>9367</v>
      </c>
    </row>
    <row r="15" spans="2:11">
      <c r="B15" s="201" t="s">
        <v>95</v>
      </c>
      <c r="C15" s="202" t="s">
        <v>14637</v>
      </c>
      <c r="D15" s="203" t="s">
        <v>97</v>
      </c>
      <c r="E15" s="203" t="s">
        <v>14638</v>
      </c>
      <c r="F15" s="206" t="s">
        <v>14639</v>
      </c>
      <c r="G15" s="203" t="s">
        <v>40</v>
      </c>
      <c r="H15" s="204" t="s">
        <v>14640</v>
      </c>
      <c r="I15" s="204" t="s">
        <v>14641</v>
      </c>
      <c r="J15" s="23" t="s">
        <v>14551</v>
      </c>
      <c r="K15" s="24" t="s">
        <v>9367</v>
      </c>
    </row>
    <row r="16" spans="2:11">
      <c r="B16" s="201"/>
      <c r="C16" s="202"/>
      <c r="D16" s="203"/>
      <c r="E16" s="203"/>
      <c r="F16" s="203"/>
      <c r="G16" s="203"/>
      <c r="H16" s="204"/>
      <c r="I16" s="204"/>
      <c r="J16" s="23"/>
      <c r="K16" s="24"/>
    </row>
    <row r="17" spans="2:11">
      <c r="B17" s="197"/>
      <c r="C17" s="198"/>
      <c r="D17" s="199"/>
      <c r="E17" s="199"/>
      <c r="F17" s="199"/>
      <c r="G17" s="199"/>
      <c r="H17" s="200"/>
      <c r="I17" s="200"/>
      <c r="J17" s="17"/>
      <c r="K17" s="18"/>
    </row>
    <row r="18" spans="2:11">
      <c r="B18" s="201"/>
      <c r="C18" s="202"/>
      <c r="D18" s="203"/>
      <c r="E18" s="203"/>
      <c r="F18" s="203"/>
      <c r="G18" s="203"/>
      <c r="H18" s="204"/>
      <c r="I18" s="204"/>
      <c r="J18" s="23"/>
      <c r="K18" s="24"/>
    </row>
    <row r="23" spans="2:11">
      <c r="B23" s="197"/>
      <c r="C23" s="198"/>
      <c r="D23" s="199"/>
      <c r="E23" s="199"/>
      <c r="F23" s="199"/>
      <c r="G23" s="199"/>
      <c r="H23" s="200"/>
      <c r="I23" s="200"/>
      <c r="J23" s="17"/>
      <c r="K23" s="18"/>
    </row>
    <row r="24" spans="2:11">
      <c r="B24" s="201"/>
      <c r="C24" s="202"/>
      <c r="D24" s="203"/>
      <c r="E24" s="203"/>
      <c r="F24" s="203"/>
      <c r="G24" s="203"/>
      <c r="H24" s="204"/>
      <c r="I24" s="204"/>
      <c r="J24" s="23"/>
      <c r="K24" s="24"/>
    </row>
    <row r="28" spans="2:11">
      <c r="B28" s="197"/>
      <c r="C28" s="198"/>
      <c r="D28" s="199"/>
      <c r="E28" s="199"/>
      <c r="F28" s="199"/>
      <c r="G28" s="199"/>
      <c r="H28" s="200"/>
      <c r="I28" s="200"/>
      <c r="J28" s="17"/>
      <c r="K28" s="18"/>
    </row>
    <row r="29" spans="2:11">
      <c r="B29" s="201"/>
      <c r="C29" s="202"/>
      <c r="D29" s="203"/>
      <c r="E29" s="203"/>
      <c r="F29" s="203"/>
      <c r="G29" s="203"/>
      <c r="H29" s="204"/>
      <c r="I29" s="204"/>
      <c r="J29" s="23"/>
      <c r="K29" s="24"/>
    </row>
    <row r="30" spans="2:11">
      <c r="B30" s="197"/>
      <c r="C30" s="198"/>
      <c r="D30" s="199"/>
      <c r="E30" s="199"/>
      <c r="F30" s="205"/>
      <c r="G30" s="199"/>
      <c r="H30" s="200"/>
      <c r="I30" s="200"/>
      <c r="J30" s="17"/>
      <c r="K30" s="18"/>
    </row>
  </sheetData>
  <sortState xmlns:xlrd2="http://schemas.microsoft.com/office/spreadsheetml/2017/richdata2" ref="B27:L38">
    <sortCondition descending="1" ref="B27:B38"/>
  </sortState>
  <hyperlinks>
    <hyperlink ref="E14" r:id="rId1" xr:uid="{78FB74CD-6C5E-482A-8E2B-54600CB4423F}"/>
    <hyperlink ref="E4" r:id="rId2" xr:uid="{09CE2A9B-72BD-43DF-949B-EAAF92EB2F8E}"/>
    <hyperlink ref="E15" r:id="rId3" xr:uid="{B987CEB3-5F3A-4948-B89A-C335D69FA7FE}"/>
  </hyperlink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026A3EA5-557A-4816-896D-7A3A98AABC59}">
          <x14:formula1>
            <xm:f>Configuraciones!$E$2:$E$16</xm:f>
          </x14:formula1>
          <xm:sqref>D2 D13</xm:sqref>
        </x14:dataValidation>
        <x14:dataValidation type="list" allowBlank="1" showInputMessage="1" showErrorMessage="1" xr:uid="{985017B8-770D-448B-A41B-7ADC0483576F}">
          <x14:formula1>
            <xm:f>Configuraciones!$A$2:$A$6</xm:f>
          </x14:formula1>
          <xm:sqref>G38 G22:G24 G15 G2:G11 G13:G20 G28:G30</xm:sqref>
        </x14:dataValidation>
        <x14:dataValidation type="list" allowBlank="1" showInputMessage="1" showErrorMessage="1" xr:uid="{FA1B711D-1B80-4B54-A612-4642C914330D}">
          <x14:formula1>
            <xm:f>Configuraciones!$G$2:$G$4</xm:f>
          </x14:formula1>
          <xm:sqref>B38 B22:B24 B15 B2:B11 B13:B20 B28:B30</xm:sqref>
        </x14:dataValidation>
        <x14:dataValidation type="list" allowBlank="1" showInputMessage="1" showErrorMessage="1" xr:uid="{20166054-4B8D-46C5-A8A1-6A3A04A3E7F7}">
          <x14:formula1>
            <xm:f>Configuraciones!$E$2:$E$17</xm:f>
          </x14:formula1>
          <xm:sqref>D22 D11</xm:sqref>
        </x14:dataValidation>
        <x14:dataValidation type="list" allowBlank="1" showInputMessage="1" showErrorMessage="1" xr:uid="{A46BC4E4-B23D-4A27-AD46-6A143B9A791F}">
          <x14:formula1>
            <xm:f>Configuraciones!$C$2:$C$12</xm:f>
          </x14:formula1>
          <xm:sqref>K11 L33:L38 L3 L5:L10 L26:L31 K22:K24 K15 K2:K9 K13:K20 K28:K30</xm:sqref>
        </x14:dataValidation>
        <x14:dataValidation type="list" allowBlank="1" showInputMessage="1" showErrorMessage="1" xr:uid="{2DD14B90-D6FC-40B8-B99D-445EADE7EA73}">
          <x14:formula1>
            <xm:f>Configuraciones!$E$2:$E$18</xm:f>
          </x14:formula1>
          <xm:sqref>D23:D24 D15 D3:D9 D14:D20 D28:D30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48A63-6712-42EA-AB4D-DDBC8A85C6EB}">
  <dimension ref="C3:K23"/>
  <sheetViews>
    <sheetView topLeftCell="B1" workbookViewId="0">
      <selection activeCell="F31" sqref="F31"/>
    </sheetView>
  </sheetViews>
  <sheetFormatPr baseColWidth="10" defaultColWidth="8.81640625" defaultRowHeight="14.5"/>
  <cols>
    <col min="3" max="3" width="8.26953125" bestFit="1" customWidth="1"/>
    <col min="4" max="4" width="14.453125" bestFit="1" customWidth="1"/>
    <col min="5" max="5" width="11.81640625" bestFit="1" customWidth="1"/>
    <col min="6" max="6" width="72" bestFit="1" customWidth="1"/>
    <col min="7" max="7" width="11" bestFit="1" customWidth="1"/>
    <col min="8" max="9" width="16.7265625" bestFit="1" customWidth="1"/>
    <col min="10" max="10" width="18.26953125" bestFit="1" customWidth="1"/>
    <col min="11" max="11" width="14.453125" bestFit="1" customWidth="1"/>
  </cols>
  <sheetData>
    <row r="3" spans="3:11">
      <c r="C3" s="112" t="s">
        <v>0</v>
      </c>
      <c r="D3" s="113" t="s">
        <v>1</v>
      </c>
      <c r="E3" s="114" t="s">
        <v>2</v>
      </c>
      <c r="F3" s="114" t="s">
        <v>3</v>
      </c>
      <c r="G3" s="114" t="s">
        <v>5</v>
      </c>
      <c r="H3" s="114" t="s">
        <v>6</v>
      </c>
      <c r="I3" s="114" t="s">
        <v>7</v>
      </c>
      <c r="J3" s="115" t="s">
        <v>8</v>
      </c>
      <c r="K3" s="116" t="s">
        <v>9</v>
      </c>
    </row>
    <row r="4" spans="3:11">
      <c r="C4" s="7" t="s">
        <v>20</v>
      </c>
      <c r="D4" s="8" t="s">
        <v>11609</v>
      </c>
      <c r="E4" s="7" t="s">
        <v>13</v>
      </c>
      <c r="F4" s="9" t="s">
        <v>11610</v>
      </c>
      <c r="G4" s="7" t="s">
        <v>40</v>
      </c>
      <c r="H4" s="10">
        <v>45298.900694444441</v>
      </c>
      <c r="I4" s="10">
        <v>45329.006944444445</v>
      </c>
      <c r="J4" s="11" t="s">
        <v>11612</v>
      </c>
      <c r="K4" s="12" t="s">
        <v>9367</v>
      </c>
    </row>
    <row r="5" spans="3:11">
      <c r="C5" s="2" t="s">
        <v>106</v>
      </c>
      <c r="D5" s="3" t="s">
        <v>11613</v>
      </c>
      <c r="E5" s="2" t="s">
        <v>108</v>
      </c>
      <c r="F5" s="13" t="s">
        <v>11614</v>
      </c>
      <c r="G5" s="2" t="s">
        <v>214</v>
      </c>
      <c r="H5" s="6">
        <v>45298.947222222225</v>
      </c>
      <c r="I5" s="6"/>
      <c r="J5" s="4" t="s">
        <v>111</v>
      </c>
      <c r="K5" s="5" t="s">
        <v>9367</v>
      </c>
    </row>
    <row r="6" spans="3:11">
      <c r="C6" s="7" t="s">
        <v>20</v>
      </c>
      <c r="D6" s="8" t="s">
        <v>11616</v>
      </c>
      <c r="E6" s="7" t="s">
        <v>21</v>
      </c>
      <c r="F6" s="9" t="s">
        <v>11617</v>
      </c>
      <c r="G6" s="7" t="s">
        <v>40</v>
      </c>
      <c r="H6" s="10">
        <v>45329.223611111112</v>
      </c>
      <c r="I6" s="10">
        <v>45329.261805555558</v>
      </c>
      <c r="J6" s="11" t="s">
        <v>64</v>
      </c>
      <c r="K6" s="12" t="s">
        <v>9367</v>
      </c>
    </row>
    <row r="7" spans="3:11">
      <c r="C7" s="2" t="s">
        <v>20</v>
      </c>
      <c r="D7" s="3" t="s">
        <v>11619</v>
      </c>
      <c r="E7" s="2" t="s">
        <v>21</v>
      </c>
      <c r="F7" s="13" t="s">
        <v>11620</v>
      </c>
      <c r="G7" s="2" t="s">
        <v>214</v>
      </c>
      <c r="H7" s="6">
        <v>45329.04791666667</v>
      </c>
      <c r="I7" s="6"/>
      <c r="J7" s="4" t="s">
        <v>64</v>
      </c>
      <c r="K7" s="5" t="s">
        <v>9367</v>
      </c>
    </row>
    <row r="8" spans="3:11">
      <c r="C8" s="7" t="s">
        <v>20</v>
      </c>
      <c r="D8" s="8" t="s">
        <v>11622</v>
      </c>
      <c r="E8" s="7" t="s">
        <v>49</v>
      </c>
      <c r="F8" s="9" t="s">
        <v>11623</v>
      </c>
      <c r="G8" s="7" t="s">
        <v>40</v>
      </c>
      <c r="H8" s="10">
        <v>45329.010416666664</v>
      </c>
      <c r="I8" s="10">
        <v>45329.036805555559</v>
      </c>
      <c r="J8" s="11" t="s">
        <v>11625</v>
      </c>
      <c r="K8" s="12" t="s">
        <v>9367</v>
      </c>
    </row>
    <row r="9" spans="3:11">
      <c r="C9" s="2" t="s">
        <v>95</v>
      </c>
      <c r="D9" s="3" t="s">
        <v>11626</v>
      </c>
      <c r="E9" s="2" t="s">
        <v>118</v>
      </c>
      <c r="F9" s="13" t="s">
        <v>11627</v>
      </c>
      <c r="G9" s="2" t="s">
        <v>40</v>
      </c>
      <c r="H9" s="6">
        <v>45329.26458333333</v>
      </c>
      <c r="I9" s="6">
        <v>45329.270833333336</v>
      </c>
      <c r="J9" s="4" t="s">
        <v>11629</v>
      </c>
      <c r="K9" s="5" t="s">
        <v>9367</v>
      </c>
    </row>
    <row r="10" spans="3:11">
      <c r="C10" s="7" t="s">
        <v>106</v>
      </c>
      <c r="D10" s="8" t="s">
        <v>11630</v>
      </c>
      <c r="E10" s="7" t="s">
        <v>108</v>
      </c>
      <c r="F10" s="9" t="s">
        <v>11631</v>
      </c>
      <c r="G10" s="7" t="s">
        <v>40</v>
      </c>
      <c r="H10" s="10">
        <v>45329.267361111109</v>
      </c>
      <c r="I10" s="10">
        <v>45329.3</v>
      </c>
      <c r="J10" s="11" t="s">
        <v>111</v>
      </c>
      <c r="K10" s="12" t="s">
        <v>9367</v>
      </c>
    </row>
    <row r="11" spans="3:11">
      <c r="C11" s="2" t="s">
        <v>95</v>
      </c>
      <c r="D11" s="3" t="s">
        <v>11633</v>
      </c>
      <c r="E11" s="2" t="s">
        <v>6047</v>
      </c>
      <c r="F11" s="2" t="s">
        <v>11634</v>
      </c>
      <c r="G11" s="2" t="s">
        <v>40</v>
      </c>
      <c r="H11" s="6">
        <v>45329.256249999999</v>
      </c>
      <c r="I11" s="6">
        <v>45329.263888888891</v>
      </c>
      <c r="J11" s="4" t="s">
        <v>10418</v>
      </c>
      <c r="K11" s="5" t="s">
        <v>9367</v>
      </c>
    </row>
    <row r="12" spans="3:11">
      <c r="C12" s="7" t="s">
        <v>95</v>
      </c>
      <c r="D12" s="8" t="s">
        <v>11636</v>
      </c>
      <c r="E12" s="7" t="s">
        <v>113</v>
      </c>
      <c r="F12" s="7" t="s">
        <v>11637</v>
      </c>
      <c r="G12" s="7" t="s">
        <v>40</v>
      </c>
      <c r="H12" s="10">
        <v>45329.395833333336</v>
      </c>
      <c r="I12" s="10">
        <v>45329.42083333333</v>
      </c>
      <c r="J12" s="11" t="s">
        <v>11639</v>
      </c>
      <c r="K12" s="12" t="s">
        <v>72</v>
      </c>
    </row>
    <row r="13" spans="3:11">
      <c r="C13" s="2" t="s">
        <v>95</v>
      </c>
      <c r="D13" s="3" t="s">
        <v>11640</v>
      </c>
      <c r="E13" s="2" t="s">
        <v>97</v>
      </c>
      <c r="F13" s="2" t="s">
        <v>1933</v>
      </c>
      <c r="G13" s="2" t="s">
        <v>40</v>
      </c>
      <c r="H13" s="6">
        <v>45329.408333333333</v>
      </c>
      <c r="I13" s="6">
        <v>45329.447916666664</v>
      </c>
      <c r="J13" s="4" t="s">
        <v>32</v>
      </c>
      <c r="K13" s="5" t="s">
        <v>72</v>
      </c>
    </row>
    <row r="14" spans="3:11">
      <c r="C14" s="7" t="s">
        <v>106</v>
      </c>
      <c r="D14" s="8" t="s">
        <v>11641</v>
      </c>
      <c r="E14" s="7" t="s">
        <v>108</v>
      </c>
      <c r="F14" s="7" t="s">
        <v>11642</v>
      </c>
      <c r="G14" s="7" t="s">
        <v>40</v>
      </c>
      <c r="H14" s="10">
        <v>45329.410416666666</v>
      </c>
      <c r="I14" s="10">
        <v>45329.413888888892</v>
      </c>
      <c r="J14" s="11" t="s">
        <v>11644</v>
      </c>
      <c r="K14" s="12" t="s">
        <v>72</v>
      </c>
    </row>
    <row r="15" spans="3:11">
      <c r="C15" s="2" t="s">
        <v>20</v>
      </c>
      <c r="D15" s="3" t="s">
        <v>11645</v>
      </c>
      <c r="E15" s="2" t="s">
        <v>21</v>
      </c>
      <c r="F15" s="2" t="s">
        <v>11646</v>
      </c>
      <c r="G15" s="2" t="s">
        <v>214</v>
      </c>
      <c r="H15" s="10">
        <v>45329.448611111111</v>
      </c>
      <c r="I15" s="6"/>
      <c r="J15" s="4"/>
      <c r="K15" s="5" t="s">
        <v>132</v>
      </c>
    </row>
    <row r="16" spans="3:11">
      <c r="C16" s="7" t="s">
        <v>106</v>
      </c>
      <c r="D16" s="8" t="s">
        <v>11649</v>
      </c>
      <c r="E16" s="7" t="s">
        <v>108</v>
      </c>
      <c r="F16" s="7" t="s">
        <v>11650</v>
      </c>
      <c r="G16" s="7" t="s">
        <v>40</v>
      </c>
      <c r="H16" s="10">
        <v>45329.479166666664</v>
      </c>
      <c r="I16" s="10">
        <v>45329.577777777777</v>
      </c>
      <c r="J16" s="11" t="s">
        <v>111</v>
      </c>
      <c r="K16" s="12" t="s">
        <v>72</v>
      </c>
    </row>
    <row r="17" spans="3:11">
      <c r="C17" s="2" t="s">
        <v>95</v>
      </c>
      <c r="D17" s="3" t="s">
        <v>11651</v>
      </c>
      <c r="E17" s="2" t="s">
        <v>28</v>
      </c>
      <c r="F17" s="2" t="s">
        <v>11652</v>
      </c>
      <c r="G17" s="2" t="s">
        <v>40</v>
      </c>
      <c r="H17" s="6">
        <v>45329.538194444445</v>
      </c>
      <c r="I17" s="6">
        <v>45329.548611111109</v>
      </c>
      <c r="J17" s="4" t="s">
        <v>5094</v>
      </c>
      <c r="K17" s="5" t="s">
        <v>72</v>
      </c>
    </row>
    <row r="18" spans="3:11">
      <c r="C18" s="7" t="s">
        <v>106</v>
      </c>
      <c r="D18" s="8" t="s">
        <v>11654</v>
      </c>
      <c r="E18" s="7" t="s">
        <v>108</v>
      </c>
      <c r="F18" s="7" t="s">
        <v>11655</v>
      </c>
      <c r="G18" s="7" t="s">
        <v>40</v>
      </c>
      <c r="H18" s="10">
        <v>45329.55</v>
      </c>
      <c r="I18" s="10">
        <v>45329.553472222222</v>
      </c>
      <c r="J18" s="11" t="s">
        <v>616</v>
      </c>
      <c r="K18" s="12" t="s">
        <v>72</v>
      </c>
    </row>
    <row r="19" spans="3:11">
      <c r="C19" s="2" t="s">
        <v>95</v>
      </c>
      <c r="D19" s="3" t="s">
        <v>11657</v>
      </c>
      <c r="E19" s="2" t="s">
        <v>118</v>
      </c>
      <c r="F19" s="2" t="s">
        <v>11658</v>
      </c>
      <c r="G19" s="2" t="s">
        <v>40</v>
      </c>
      <c r="H19" s="6">
        <v>45329.637499999997</v>
      </c>
      <c r="I19" s="6">
        <v>45329.768055555556</v>
      </c>
      <c r="J19" s="4" t="s">
        <v>6774</v>
      </c>
      <c r="K19" s="5" t="s">
        <v>72</v>
      </c>
    </row>
    <row r="20" spans="3:11">
      <c r="C20" s="7" t="s">
        <v>106</v>
      </c>
      <c r="D20" s="8" t="s">
        <v>11659</v>
      </c>
      <c r="E20" s="7" t="s">
        <v>37</v>
      </c>
      <c r="F20" s="7" t="s">
        <v>11660</v>
      </c>
      <c r="G20" s="7" t="s">
        <v>40</v>
      </c>
      <c r="H20" s="10">
        <v>45329.665277777778</v>
      </c>
      <c r="I20" s="10">
        <v>45329.750694444447</v>
      </c>
      <c r="J20" s="11" t="s">
        <v>11662</v>
      </c>
      <c r="K20" s="12" t="s">
        <v>72</v>
      </c>
    </row>
    <row r="21" spans="3:11">
      <c r="C21" s="2" t="s">
        <v>106</v>
      </c>
      <c r="D21" s="3" t="s">
        <v>11663</v>
      </c>
      <c r="E21" s="2" t="s">
        <v>78</v>
      </c>
      <c r="F21" s="2" t="s">
        <v>11664</v>
      </c>
      <c r="G21" s="2" t="s">
        <v>40</v>
      </c>
      <c r="H21" s="6">
        <v>45329.666666666664</v>
      </c>
      <c r="I21" s="6">
        <v>45329.771527777775</v>
      </c>
      <c r="J21" s="4" t="s">
        <v>258</v>
      </c>
      <c r="K21" s="5" t="s">
        <v>72</v>
      </c>
    </row>
    <row r="22" spans="3:11">
      <c r="C22" s="7" t="s">
        <v>106</v>
      </c>
      <c r="D22" s="8" t="s">
        <v>11665</v>
      </c>
      <c r="E22" s="7" t="s">
        <v>108</v>
      </c>
      <c r="F22" s="7" t="s">
        <v>11257</v>
      </c>
      <c r="G22" s="7" t="s">
        <v>40</v>
      </c>
      <c r="H22" s="10">
        <v>45329.693749999999</v>
      </c>
      <c r="I22" s="10">
        <v>45329.770833333336</v>
      </c>
      <c r="J22" s="11" t="s">
        <v>1173</v>
      </c>
      <c r="K22" s="12" t="s">
        <v>72</v>
      </c>
    </row>
    <row r="23" spans="3:11">
      <c r="C23" s="2" t="s">
        <v>95</v>
      </c>
      <c r="D23" s="3" t="s">
        <v>11666</v>
      </c>
      <c r="E23" s="2" t="s">
        <v>1763</v>
      </c>
      <c r="F23" s="2" t="s">
        <v>11667</v>
      </c>
      <c r="G23" s="2" t="s">
        <v>40</v>
      </c>
      <c r="H23" s="6">
        <v>45329.779166666667</v>
      </c>
      <c r="I23" s="6">
        <v>45329.791666666664</v>
      </c>
      <c r="J23" s="4"/>
      <c r="K23" s="5" t="s">
        <v>132</v>
      </c>
    </row>
  </sheetData>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3DFD03FF-8D3E-4E7F-80ED-47D1FF918743}">
          <x14:formula1>
            <xm:f>Configuraciones!$E$2:$E$17</xm:f>
          </x14:formula1>
          <xm:sqref>E4:E23</xm:sqref>
        </x14:dataValidation>
        <x14:dataValidation type="list" allowBlank="1" showInputMessage="1" showErrorMessage="1" xr:uid="{0161EA0C-994E-426E-8960-03A87F2D5001}">
          <x14:formula1>
            <xm:f>Configuraciones!$G$2:$G$4</xm:f>
          </x14:formula1>
          <xm:sqref>C3:C23</xm:sqref>
        </x14:dataValidation>
        <x14:dataValidation type="list" allowBlank="1" showInputMessage="1" showErrorMessage="1" xr:uid="{8508C0BF-DF47-484D-87C1-242ACF57D197}">
          <x14:formula1>
            <xm:f>Configuraciones!$A$2:$A$6</xm:f>
          </x14:formula1>
          <xm:sqref>G3:G23</xm:sqref>
        </x14:dataValidation>
        <x14:dataValidation type="list" allowBlank="1" showInputMessage="1" showErrorMessage="1" xr:uid="{7825FAF4-D0DC-43E7-A567-CA29D2DC5352}">
          <x14:formula1>
            <xm:f>Configuraciones!$E$2:$E$16</xm:f>
          </x14:formula1>
          <xm:sqref>E3</xm:sqref>
        </x14:dataValidation>
        <x14:dataValidation type="list" allowBlank="1" showInputMessage="1" showErrorMessage="1" xr:uid="{2BA6E991-9E7E-4F34-8295-5AF1F3776489}">
          <x14:formula1>
            <xm:f>Configuraciones!$C$2:$C$12</xm:f>
          </x14:formula1>
          <xm:sqref>K3:K23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18FFE-D271-46B4-ACC2-750E4A8E0950}">
  <dimension ref="A1:G18"/>
  <sheetViews>
    <sheetView workbookViewId="0">
      <selection activeCell="E19" sqref="E19"/>
    </sheetView>
  </sheetViews>
  <sheetFormatPr baseColWidth="10" defaultColWidth="8.81640625" defaultRowHeight="14.5"/>
  <cols>
    <col min="1" max="1" width="12.26953125" style="25" bestFit="1" customWidth="1"/>
    <col min="2" max="2" width="8.81640625" style="25"/>
    <col min="3" max="3" width="22.26953125" style="25" bestFit="1" customWidth="1"/>
    <col min="4" max="4" width="8.81640625" style="25"/>
    <col min="5" max="5" width="12.54296875" style="25" bestFit="1" customWidth="1"/>
    <col min="6" max="7" width="8.81640625" style="25"/>
  </cols>
  <sheetData>
    <row r="1" spans="1:7">
      <c r="A1" s="27" t="s">
        <v>14642</v>
      </c>
      <c r="B1" s="28"/>
      <c r="C1" s="27" t="s">
        <v>14643</v>
      </c>
      <c r="D1" s="28"/>
      <c r="E1" s="27" t="s">
        <v>14644</v>
      </c>
      <c r="F1" s="28"/>
      <c r="G1" s="27" t="s">
        <v>14645</v>
      </c>
    </row>
    <row r="2" spans="1:7">
      <c r="A2" s="26" t="s">
        <v>2152</v>
      </c>
      <c r="C2" s="26" t="s">
        <v>72</v>
      </c>
      <c r="E2" s="26" t="s">
        <v>49</v>
      </c>
      <c r="G2" s="26" t="s">
        <v>20</v>
      </c>
    </row>
    <row r="3" spans="1:7">
      <c r="A3" s="26" t="s">
        <v>40</v>
      </c>
      <c r="C3" s="26" t="s">
        <v>41</v>
      </c>
      <c r="E3" s="26" t="s">
        <v>108</v>
      </c>
      <c r="G3" s="26" t="s">
        <v>95</v>
      </c>
    </row>
    <row r="4" spans="1:7">
      <c r="A4" s="26" t="s">
        <v>214</v>
      </c>
      <c r="C4" s="26" t="s">
        <v>132</v>
      </c>
      <c r="E4" s="26" t="s">
        <v>21</v>
      </c>
      <c r="G4" s="26" t="s">
        <v>106</v>
      </c>
    </row>
    <row r="5" spans="1:7">
      <c r="A5" s="26" t="s">
        <v>308</v>
      </c>
      <c r="C5" s="26" t="s">
        <v>265</v>
      </c>
      <c r="E5" s="26" t="s">
        <v>78</v>
      </c>
    </row>
    <row r="6" spans="1:7">
      <c r="A6" s="26" t="s">
        <v>130</v>
      </c>
      <c r="C6" s="26" t="s">
        <v>94</v>
      </c>
      <c r="E6" s="26" t="s">
        <v>113</v>
      </c>
    </row>
    <row r="7" spans="1:7">
      <c r="C7" s="26" t="s">
        <v>1557</v>
      </c>
      <c r="E7" s="26" t="s">
        <v>97</v>
      </c>
    </row>
    <row r="8" spans="1:7">
      <c r="C8" s="26" t="s">
        <v>88</v>
      </c>
      <c r="E8" s="26" t="s">
        <v>1763</v>
      </c>
    </row>
    <row r="9" spans="1:7">
      <c r="C9" s="26" t="s">
        <v>514</v>
      </c>
      <c r="E9" s="26" t="s">
        <v>118</v>
      </c>
    </row>
    <row r="10" spans="1:7">
      <c r="C10" s="26" t="s">
        <v>2179</v>
      </c>
      <c r="E10" s="26" t="s">
        <v>333</v>
      </c>
    </row>
    <row r="11" spans="1:7">
      <c r="C11" s="26" t="s">
        <v>9367</v>
      </c>
      <c r="E11" s="26" t="s">
        <v>313</v>
      </c>
    </row>
    <row r="12" spans="1:7">
      <c r="C12" s="26" t="s">
        <v>8290</v>
      </c>
      <c r="E12" s="26" t="s">
        <v>10056</v>
      </c>
    </row>
    <row r="13" spans="1:7">
      <c r="C13" s="26" t="s">
        <v>13169</v>
      </c>
      <c r="E13" s="26" t="s">
        <v>380</v>
      </c>
    </row>
    <row r="14" spans="1:7">
      <c r="C14" s="26" t="s">
        <v>14646</v>
      </c>
      <c r="E14" s="26" t="s">
        <v>28</v>
      </c>
    </row>
    <row r="15" spans="1:7">
      <c r="E15" s="26" t="s">
        <v>13</v>
      </c>
    </row>
    <row r="16" spans="1:7">
      <c r="E16" s="26" t="s">
        <v>37</v>
      </c>
    </row>
    <row r="17" spans="5:5">
      <c r="E17" s="26" t="s">
        <v>6047</v>
      </c>
    </row>
    <row r="18" spans="5:5">
      <c r="E18" s="25" t="s">
        <v>13980</v>
      </c>
    </row>
  </sheetData>
  <sortState xmlns:xlrd2="http://schemas.microsoft.com/office/spreadsheetml/2017/richdata2" ref="E2:E16">
    <sortCondition ref="E2:E16"/>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693B8-4F4B-472F-A7B6-A8623E844A9C}">
  <dimension ref="A2:AR27"/>
  <sheetViews>
    <sheetView topLeftCell="B1" zoomScale="90" zoomScaleNormal="90" workbookViewId="0">
      <selection activeCell="D7" sqref="D7"/>
    </sheetView>
  </sheetViews>
  <sheetFormatPr baseColWidth="10" defaultColWidth="11.453125" defaultRowHeight="14.5"/>
  <cols>
    <col min="1" max="1" width="10.81640625" style="120"/>
    <col min="2" max="5" width="20.54296875" style="120" customWidth="1"/>
    <col min="6" max="44" width="10.81640625" style="120"/>
  </cols>
  <sheetData>
    <row r="2" spans="2:5" ht="18.649999999999999" customHeight="1">
      <c r="B2" s="209" t="s">
        <v>14647</v>
      </c>
      <c r="C2" s="209"/>
      <c r="D2" s="209"/>
      <c r="E2" s="209"/>
    </row>
    <row r="3" spans="2:5" ht="21.5">
      <c r="B3" s="210" t="str">
        <f ca="1">TEXT(TODAY(), "DDDDDDDDDDDDDD")</f>
        <v>lunes</v>
      </c>
      <c r="C3" s="210"/>
      <c r="D3" s="211">
        <f ca="1">NOW()</f>
        <v>45558.717570138891</v>
      </c>
      <c r="E3" s="211"/>
    </row>
    <row r="5" spans="2:5">
      <c r="B5" s="121" t="s">
        <v>5</v>
      </c>
      <c r="C5" s="122" t="s">
        <v>14648</v>
      </c>
      <c r="D5" s="123" t="s">
        <v>14649</v>
      </c>
    </row>
    <row r="6" spans="2:5">
      <c r="B6" s="124" t="s">
        <v>2152</v>
      </c>
      <c r="C6" s="125">
        <f ca="1">COUNTIFS(Table1[Fecha Inicio], "&gt;=" &amp; DATE(YEAR(TODAY()), MONTH(TODAY()), DAY(TODAY())), Table1[Fecha Inicio], "&lt;" &amp; DATE(YEAR(TODAY()), MONTH(TODAY()), DAY(TODAY()) + 1), Table1[Estado], "Abierto")</f>
        <v>0</v>
      </c>
      <c r="D6" s="126">
        <f ca="1">COUNTIFS(Table1[Fecha Inicio], "&gt;=" &amp; DATE(YEAR(TODAY()), MONTH(TODAY()), 1), Table1[Fecha Inicio], "&lt;" &amp; TODAY(), Table1[Estado], "Abierto")</f>
        <v>0</v>
      </c>
    </row>
    <row r="7" spans="2:5">
      <c r="B7" s="124" t="s">
        <v>40</v>
      </c>
      <c r="C7" s="125">
        <f ca="1">COUNTIFS(Table1[Fecha Inicio], "&gt;=" &amp; DATE(YEAR(TODAY()), MONTH(TODAY()), DAY(TODAY())), Table1[Fecha Inicio], "&lt;" &amp; DATE(YEAR(TODAY()), MONTH(TODAY()), DAY(TODAY()) + 1), Table1[Estado], "Resuelto")</f>
        <v>0</v>
      </c>
      <c r="D7" s="126">
        <f ca="1">COUNTIFS(Table1[Fecha Inicio], "&gt;=" &amp; DATE(YEAR(TODAY()), MONTH(TODAY()), 1), Table1[Fecha Inicio], "&lt;" &amp; TODAY(), Table1[Estado], "Resuelto")</f>
        <v>72</v>
      </c>
    </row>
    <row r="8" spans="2:5">
      <c r="B8" s="124" t="s">
        <v>214</v>
      </c>
      <c r="C8" s="125">
        <f ca="1">COUNTIFS(Table1[Fecha Inicio], "&gt;=" &amp; DATE(YEAR(TODAY()), MONTH(TODAY()), DAY(TODAY())), Table1[Fecha Inicio], "&lt;" &amp; DATE(YEAR(TODAY()), MONTH(TODAY()), DAY(TODAY()) + 1), Table1[Estado], "Trabajando")</f>
        <v>0</v>
      </c>
      <c r="D8" s="126">
        <f ca="1">COUNTIFS(Table1[Fecha Inicio], "&gt;=" &amp; DATE(YEAR(TODAY()), MONTH(TODAY()), 1), Table1[Fecha Inicio], "&lt;" &amp; TODAY(), Table1[Estado], "Trabajando")</f>
        <v>4</v>
      </c>
    </row>
    <row r="9" spans="2:5">
      <c r="B9" s="124" t="s">
        <v>308</v>
      </c>
      <c r="C9" s="125">
        <f ca="1">COUNTIFS(Table1[Fecha Inicio], "&gt;=" &amp; DATE(YEAR(TODAY()), MONTH(TODAY()), DAY(TODAY())), Table1[Fecha Inicio], "&lt;" &amp; DATE(YEAR(TODAY()), MONTH(TODAY()), DAY(TODAY()) + 1), Table1[Estado], "Seguimiento")</f>
        <v>0</v>
      </c>
      <c r="D9" s="126">
        <f ca="1">COUNTIFS(Table1[Fecha Inicio], "&gt;=" &amp; DATE(YEAR(TODAY()), MONTH(TODAY()), 1), Table1[Fecha Inicio], "&lt;" &amp; TODAY(), Table1[Estado], "Seguimiento")</f>
        <v>0</v>
      </c>
    </row>
    <row r="10" spans="2:5">
      <c r="B10" s="127" t="s">
        <v>130</v>
      </c>
      <c r="C10" s="128">
        <f ca="1">COUNTIFS(Table1[Fecha Inicio], "&gt;=" &amp; DATE(YEAR(TODAY()), MONTH(TODAY()), DAY(TODAY())), Table1[Fecha Inicio], "&lt;" &amp; DATE(YEAR(TODAY()), MONTH(TODAY()), DAY(TODAY()) + 1), Table1[Estado], "Derivado")</f>
        <v>0</v>
      </c>
      <c r="D10" s="129">
        <f ca="1">COUNTIFS(Table1[Fecha Inicio], "&gt;=" &amp; DATE(YEAR(TODAY()), MONTH(TODAY()), 1), Table1[Fecha Inicio], "&lt;" &amp; TODAY(), Table1[Estado], "Derivado")</f>
        <v>0</v>
      </c>
    </row>
    <row r="12" spans="2:5">
      <c r="B12" s="130" t="s">
        <v>2152</v>
      </c>
      <c r="C12" s="130" t="s">
        <v>214</v>
      </c>
      <c r="D12" s="130" t="s">
        <v>308</v>
      </c>
      <c r="E12" s="130" t="s">
        <v>130</v>
      </c>
    </row>
    <row r="13" spans="2:5">
      <c r="B13" s="131" t="str" cm="1">
        <f t="array" aca="1" ref="B13" ca="1">_xlfn._xlws.FILTER(Table1[Numero Ticket], (Table1[Fecha Inicio] &gt;= DATE(YEAR(TODAY()), MONTH(TODAY()), 1)) * (Table1[Fecha Inicio] &lt; DATE(YEAR(TODAY()), MONTH(TODAY()) + 1, 1)) * (Table1[Estado] = "Abierto"), " 0 ")</f>
        <v xml:space="preserve"> 0 </v>
      </c>
      <c r="C13" s="131" t="str" cm="1">
        <f t="array" aca="1" ref="C13:C16" ca="1">_xlfn._xlws.FILTER(Table1[Numero Ticket], (Table1[Fecha Inicio] &gt;= DATE(YEAR(TODAY()), MONTH(TODAY()), 1)) * (Table1[Fecha Inicio] &lt; DATE(YEAR(TODAY()), MONTH(TODAY()) + 1, 1)) * (Table1[Estado] = "Trabajando"), " 0 ")</f>
        <v>00504495</v>
      </c>
      <c r="D13" s="131" t="str" cm="1">
        <f t="array" aca="1" ref="D13" ca="1">_xlfn._xlws.FILTER(Table1[Numero Ticket], (Table1[Fecha Inicio] &gt;= DATE(YEAR(TODAY()), MONTH(TODAY()), 1)) * (Table1[Fecha Inicio] &lt; DATE(YEAR(TODAY()), MONTH(TODAY()) + 1, 1)) * (Table1[Estado] = "Seguimiento"), " 0 ")</f>
        <v xml:space="preserve"> 0 </v>
      </c>
      <c r="E13" s="131" t="str" cm="1">
        <f t="array" aca="1" ref="E13" ca="1">_xlfn._xlws.FILTER(Table1[Numero Ticket], (Table1[Fecha Inicio] &gt;= DATE(YEAR(TODAY()), MONTH(TODAY()), 1)) * (Table1[Fecha Inicio] &lt; DATE(YEAR(TODAY()), MONTH(TODAY()) + 1, 1)) * (Table1[Estado] = "Derivado"), " 0 ")</f>
        <v xml:space="preserve"> 0 </v>
      </c>
    </row>
    <row r="14" spans="2:5">
      <c r="B14" s="131"/>
      <c r="C14" s="131" t="str">
        <f ca="1"/>
        <v>00504522</v>
      </c>
      <c r="D14" s="131"/>
      <c r="E14" s="131"/>
    </row>
    <row r="15" spans="2:5">
      <c r="B15" s="131"/>
      <c r="C15" s="131" t="str">
        <f ca="1"/>
        <v>00527476</v>
      </c>
      <c r="D15" s="131"/>
      <c r="E15" s="131"/>
    </row>
    <row r="16" spans="2:5">
      <c r="B16" s="131"/>
      <c r="C16" s="131" t="str">
        <f ca="1"/>
        <v>00551339</v>
      </c>
      <c r="D16" s="131"/>
      <c r="E16" s="131"/>
    </row>
    <row r="17" spans="2:5">
      <c r="B17" s="131"/>
      <c r="C17" s="131"/>
      <c r="D17" s="131"/>
      <c r="E17" s="131"/>
    </row>
    <row r="18" spans="2:5">
      <c r="B18" s="131"/>
      <c r="C18" s="131"/>
      <c r="D18" s="131"/>
      <c r="E18" s="131"/>
    </row>
    <row r="19" spans="2:5">
      <c r="B19" s="131"/>
      <c r="C19" s="131"/>
      <c r="D19" s="131"/>
      <c r="E19" s="131"/>
    </row>
    <row r="20" spans="2:5">
      <c r="B20" s="131"/>
      <c r="C20" s="131"/>
      <c r="D20" s="131"/>
      <c r="E20" s="131"/>
    </row>
    <row r="21" spans="2:5">
      <c r="B21" s="131"/>
      <c r="C21" s="131"/>
      <c r="D21" s="131"/>
      <c r="E21" s="131"/>
    </row>
    <row r="22" spans="2:5">
      <c r="B22" s="131"/>
      <c r="C22" s="131"/>
      <c r="D22" s="131"/>
      <c r="E22" s="131"/>
    </row>
    <row r="23" spans="2:5">
      <c r="B23" s="192"/>
      <c r="C23" s="192"/>
      <c r="D23" s="193"/>
      <c r="E23" s="192"/>
    </row>
    <row r="24" spans="2:5">
      <c r="B24" s="192"/>
      <c r="C24" s="192"/>
      <c r="D24" s="192"/>
      <c r="E24" s="192"/>
    </row>
    <row r="25" spans="2:5">
      <c r="B25" s="192"/>
      <c r="C25" s="192"/>
      <c r="D25" s="192"/>
      <c r="E25" s="192"/>
    </row>
    <row r="26" spans="2:5">
      <c r="B26" s="192"/>
      <c r="C26" s="192"/>
      <c r="D26" s="192"/>
      <c r="E26" s="192"/>
    </row>
    <row r="27" spans="2:5">
      <c r="B27" s="192"/>
      <c r="C27" s="192"/>
      <c r="D27" s="192"/>
      <c r="E27" s="192"/>
    </row>
  </sheetData>
  <mergeCells count="3">
    <mergeCell ref="B2:E2"/>
    <mergeCell ref="B3:C3"/>
    <mergeCell ref="D3:E3"/>
  </mergeCell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7FD1CB-A54A-4454-8A92-19304AE93E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Tickets 2023</vt:lpstr>
      <vt:lpstr>Tickets 2024</vt:lpstr>
      <vt:lpstr>Previa a correo</vt:lpstr>
      <vt:lpstr>Previa a correo Tarde</vt:lpstr>
      <vt:lpstr>Configuraciones</vt:lpstr>
      <vt:lpstr>Tickets Diarios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DONOSO Nelson</dc:creator>
  <cp:keywords/>
  <dc:description/>
  <cp:lastModifiedBy>AEDO Paulina</cp:lastModifiedBy>
  <cp:revision/>
  <dcterms:created xsi:type="dcterms:W3CDTF">2023-05-25T12:26:01Z</dcterms:created>
  <dcterms:modified xsi:type="dcterms:W3CDTF">2024-09-23T20:13:18Z</dcterms:modified>
  <cp:category/>
  <cp:contentStatus/>
</cp:coreProperties>
</file>